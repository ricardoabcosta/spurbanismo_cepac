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URBSP01\DGO_Monitoramento\0_06_OUC_AGUA-BRANCA\02_Estoque-OUCAB\"/>
    </mc:Choice>
  </mc:AlternateContent>
  <xr:revisionPtr revIDLastSave="0" documentId="13_ncr:1_{14594239-0082-4C50-B5E0-B6281001F216}" xr6:coauthVersionLast="47" xr6:coauthVersionMax="47" xr10:uidLastSave="{00000000-0000-0000-0000-000000000000}"/>
  <bookViews>
    <workbookView xWindow="-120" yWindow="-120" windowWidth="29040" windowHeight="15840" activeTab="11" xr2:uid="{D0AA89DB-1853-411D-BF78-E9F24E11DE63}"/>
  </bookViews>
  <sheets>
    <sheet name="A3" sheetId="2" r:id="rId1"/>
    <sheet name="B" sheetId="3" r:id="rId2"/>
    <sheet name="C" sheetId="4" r:id="rId3"/>
    <sheet name="E1" sheetId="5" r:id="rId4"/>
    <sheet name="E2" sheetId="6" r:id="rId5"/>
    <sheet name="F1" sheetId="7" r:id="rId6"/>
    <sheet name="F2" sheetId="8" r:id="rId7"/>
    <sheet name="G" sheetId="9" r:id="rId8"/>
    <sheet name="H" sheetId="10" r:id="rId9"/>
    <sheet name="I1" sheetId="11" r:id="rId10"/>
    <sheet name="I2" sheetId="12" r:id="rId11"/>
    <sheet name="Geral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0" i="3" l="1"/>
  <c r="M10" i="3"/>
  <c r="N12" i="3"/>
  <c r="M12" i="3"/>
  <c r="N9" i="3"/>
  <c r="M9" i="3"/>
  <c r="N8" i="3"/>
  <c r="M8" i="3"/>
  <c r="N7" i="3"/>
  <c r="M7" i="3"/>
  <c r="N5" i="3"/>
  <c r="M5" i="3"/>
  <c r="Q21" i="13"/>
  <c r="Q19" i="13"/>
  <c r="Q18" i="13"/>
  <c r="Q17" i="13"/>
  <c r="Q16" i="13"/>
  <c r="Q14" i="13"/>
  <c r="Q13" i="13"/>
  <c r="Q10" i="13"/>
  <c r="Q8" i="13"/>
  <c r="P9" i="13"/>
  <c r="P13" i="13"/>
  <c r="P14" i="13"/>
  <c r="P16" i="13"/>
  <c r="P17" i="13"/>
  <c r="P18" i="13"/>
  <c r="P19" i="13"/>
  <c r="P8" i="13"/>
  <c r="D23" i="13"/>
  <c r="C23" i="13"/>
  <c r="O21" i="13"/>
  <c r="N10" i="13"/>
  <c r="N13" i="13"/>
  <c r="N14" i="13"/>
  <c r="N16" i="13"/>
  <c r="N17" i="13"/>
  <c r="N18" i="13"/>
  <c r="N19" i="13"/>
  <c r="N21" i="13"/>
  <c r="N8" i="13"/>
  <c r="M23" i="13"/>
  <c r="K23" i="13"/>
  <c r="I23" i="13"/>
  <c r="G23" i="13"/>
  <c r="O23" i="13" s="1"/>
  <c r="H21" i="13"/>
  <c r="H19" i="13"/>
  <c r="H18" i="13"/>
  <c r="H17" i="13"/>
  <c r="H16" i="13"/>
  <c r="H14" i="13"/>
  <c r="H13" i="13"/>
  <c r="H10" i="13"/>
  <c r="R14" i="3"/>
  <c r="Q14" i="3"/>
  <c r="G14" i="3"/>
  <c r="H14" i="3"/>
  <c r="I14" i="3"/>
  <c r="F9" i="13" s="1"/>
  <c r="J14" i="3"/>
  <c r="J9" i="13" s="1"/>
  <c r="J23" i="13" s="1"/>
  <c r="K14" i="3"/>
  <c r="L14" i="3"/>
  <c r="O14" i="3"/>
  <c r="P14" i="3"/>
  <c r="E22" i="13"/>
  <c r="E21" i="13"/>
  <c r="C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L9" i="13" l="1"/>
  <c r="L23" i="13" s="1"/>
  <c r="H9" i="13"/>
  <c r="H23" i="13" s="1"/>
  <c r="F23" i="13"/>
  <c r="N23" i="13" s="1"/>
  <c r="N9" i="13"/>
  <c r="Q9" i="13" s="1"/>
  <c r="P23" i="13"/>
  <c r="E23" i="13"/>
  <c r="E20" i="13"/>
  <c r="N6" i="3"/>
  <c r="M6" i="3"/>
  <c r="M14" i="3" s="1"/>
  <c r="Q23" i="13" l="1"/>
  <c r="N14" i="3"/>
</calcChain>
</file>

<file path=xl/sharedStrings.xml><?xml version="1.0" encoding="utf-8"?>
<sst xmlns="http://schemas.openxmlformats.org/spreadsheetml/2006/main" count="489" uniqueCount="114">
  <si>
    <t>PLANILHA DE ACOMPANHAMENTO DAS PROPOSTAS DE ADESÃO A OPERAÇÃO URBANA CONSORCIADA ÁGUA BRANCA - LEI 15.893/13</t>
  </si>
  <si>
    <t>Nº DA PROPOSTA</t>
  </si>
  <si>
    <t>Nº PROCESSO SEI</t>
  </si>
  <si>
    <t>INTERESSADO</t>
  </si>
  <si>
    <t>Nº DOS CONTRIBUINTES</t>
  </si>
  <si>
    <t>ÁREA ADICIONAL DE CONSTUÇÃO RESIDENCIAL</t>
  </si>
  <si>
    <t>AREA DE CONSTRUÇÃO ADICIONAL NÃO RESIDENCIAL</t>
  </si>
  <si>
    <t>ÁREA ADICIONAL DE CONSTRUÇÃO TOTAL</t>
  </si>
  <si>
    <t>Nº CEPAC R</t>
  </si>
  <si>
    <t>Nº CEPAC nR</t>
  </si>
  <si>
    <t>Cancelados</t>
  </si>
  <si>
    <t>Bloqueados</t>
  </si>
  <si>
    <t>Nº CEPAC TOTAL</t>
  </si>
  <si>
    <t>Consumida</t>
  </si>
  <si>
    <t>Em analise</t>
  </si>
  <si>
    <t>STATUS  DO PROCESSO</t>
  </si>
  <si>
    <t>Responsavel</t>
  </si>
  <si>
    <t>Em  analise</t>
  </si>
  <si>
    <t>AREA ADICIONAL DE UNIDADES INCENTIVADAS</t>
  </si>
  <si>
    <t xml:space="preserve">Nº DA CERTIDÃO </t>
  </si>
  <si>
    <t>SETOR</t>
  </si>
  <si>
    <t>A3</t>
  </si>
  <si>
    <t>subtotal</t>
  </si>
  <si>
    <t>B</t>
  </si>
  <si>
    <t>C</t>
  </si>
  <si>
    <t>E1</t>
  </si>
  <si>
    <t>E2</t>
  </si>
  <si>
    <t>F1</t>
  </si>
  <si>
    <t>F2</t>
  </si>
  <si>
    <t>G</t>
  </si>
  <si>
    <t>H</t>
  </si>
  <si>
    <t>I1</t>
  </si>
  <si>
    <t>I2</t>
  </si>
  <si>
    <t>TOTAL</t>
  </si>
  <si>
    <t>WINDSOR Investimentos Imobiliarios Ltda</t>
  </si>
  <si>
    <t>AB-001/2023</t>
  </si>
  <si>
    <t>em analise</t>
  </si>
  <si>
    <t>7810.2023/0000183-7</t>
  </si>
  <si>
    <t>7810.2023/0001689-3</t>
  </si>
  <si>
    <t>CONTROLE ESTOQUES - OUCAB - LEI 15.893/13</t>
  </si>
  <si>
    <t>SETORES</t>
  </si>
  <si>
    <t>ESTOQUE GERAL (m²)</t>
  </si>
  <si>
    <t>ESTOQUE CONSUMIDO(m²)</t>
  </si>
  <si>
    <t>ESTOQUE EM ANÁLISE(m²)</t>
  </si>
  <si>
    <t>ESTOQUE ESTIMADO DISPONÍVEL (m²)</t>
  </si>
  <si>
    <t>nR</t>
  </si>
  <si>
    <t>Total</t>
  </si>
  <si>
    <t xml:space="preserve">TOTAL </t>
  </si>
  <si>
    <t>A</t>
  </si>
  <si>
    <t>A1</t>
  </si>
  <si>
    <t>A2</t>
  </si>
  <si>
    <t>D</t>
  </si>
  <si>
    <t>E</t>
  </si>
  <si>
    <t>F</t>
  </si>
  <si>
    <t>I</t>
  </si>
  <si>
    <t>Legenda:</t>
  </si>
  <si>
    <t>sem estoque disponível</t>
  </si>
  <si>
    <t>Residencial Incentivado</t>
  </si>
  <si>
    <t>não Residencial</t>
  </si>
  <si>
    <t>AB-0096</t>
  </si>
  <si>
    <t>197.063.0007-3, 197.063.0008-1</t>
  </si>
  <si>
    <t>Deferido</t>
  </si>
  <si>
    <t>Priscila</t>
  </si>
  <si>
    <t>AB-001/2024</t>
  </si>
  <si>
    <t>197.063.0001-3, 197.063.0002-2</t>
  </si>
  <si>
    <t>AB-0113</t>
  </si>
  <si>
    <t>AB-002/2024</t>
  </si>
  <si>
    <t>7810.2023/0000157-0</t>
  </si>
  <si>
    <t>*mudar para área consumida após CANCELAMENTO dos CEPAC</t>
  </si>
  <si>
    <t>Nº CEPAC-R</t>
  </si>
  <si>
    <t>Nº CEPAC-nR</t>
  </si>
  <si>
    <t>modelo/ inserir linha acima</t>
  </si>
  <si>
    <t>197.063.0001-4, 197.063.0002-2</t>
  </si>
  <si>
    <t>AB-003/2024</t>
  </si>
  <si>
    <t>7810.2023/0000159-6</t>
  </si>
  <si>
    <t>XX-0000</t>
  </si>
  <si>
    <t>AB-xxx/2024</t>
  </si>
  <si>
    <t>7810.2023/0000170-7</t>
  </si>
  <si>
    <t>197.060.0002-9</t>
  </si>
  <si>
    <t>modelo acima</t>
  </si>
  <si>
    <t>inserir linha acima do modelo</t>
  </si>
  <si>
    <t>R</t>
  </si>
  <si>
    <t>R total</t>
  </si>
  <si>
    <t>R Inc</t>
  </si>
  <si>
    <t>R não Inc</t>
  </si>
  <si>
    <t>O estoque estimado dísponivel subtrai o estoque consumido e o estoque em análise do estoque geral</t>
  </si>
  <si>
    <t>Residencial não Incentivado</t>
  </si>
  <si>
    <t>Obs:</t>
  </si>
  <si>
    <t xml:space="preserve">1 - </t>
  </si>
  <si>
    <t xml:space="preserve">2 - </t>
  </si>
  <si>
    <t>Lei 15.893/2013, Art. 39, § 2º A utilização de potencial adicional de construção para usos residenciais que não correspondam a unidades habitacionais incentivadas fica limitada a 675.000m² (seiscentos e setenta e cinco mil metros quadrados) para todo perímetro da Operação Urbana.</t>
  </si>
  <si>
    <t>-</t>
  </si>
  <si>
    <t>AB-0114</t>
  </si>
  <si>
    <t>197.061.0004-1, 197,061.0005-8, 197,061.0006-6</t>
  </si>
  <si>
    <t>AB-0112</t>
  </si>
  <si>
    <t>STATUS</t>
  </si>
  <si>
    <t>Cancelada</t>
  </si>
  <si>
    <t>AB-004/2024</t>
  </si>
  <si>
    <t>=</t>
  </si>
  <si>
    <t>AB-0115</t>
  </si>
  <si>
    <t>7810.2024/0001541-4</t>
  </si>
  <si>
    <t>197.064.0002-7</t>
  </si>
  <si>
    <t>Vladimir</t>
  </si>
  <si>
    <t>AB-001/2025</t>
  </si>
  <si>
    <t>Nome</t>
  </si>
  <si>
    <t>AB-0116</t>
  </si>
  <si>
    <t>7810.2025/0001489-4</t>
  </si>
  <si>
    <t xml:space="preserve"> BSP Empreendimentos Imobiliários D121 Ltda </t>
  </si>
  <si>
    <t>197.050.0013-0</t>
  </si>
  <si>
    <t>AB-001/2026</t>
  </si>
  <si>
    <t>BSP EMPREENDIMENTOS IMOBILIÁRIOS LTDA</t>
  </si>
  <si>
    <t>DEFERIDO</t>
  </si>
  <si>
    <t>PRISCILA/09/03/2026</t>
  </si>
  <si>
    <t>Atualização: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</si>
</sst>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" fontId="0" fillId="0" borderId="1" xfId="0" applyNumberFormat="1" applyBorder="1"/>
    <xf numFmtId="0" fontId="0" fillId="0" borderId="11" xfId="0" applyBorder="1"/>
    <xf numFmtId="49" fontId="0" fillId="0" borderId="11" xfId="0" applyNumberFormat="1" applyBorder="1"/>
    <xf numFmtId="49" fontId="0" fillId="0" borderId="11" xfId="0" applyNumberFormat="1" applyBorder="1" applyAlignment="1">
      <alignment wrapText="1"/>
    </xf>
    <xf numFmtId="4" fontId="0" fillId="0" borderId="11" xfId="0" applyNumberFormat="1" applyBorder="1"/>
    <xf numFmtId="0" fontId="0" fillId="0" borderId="10" xfId="0" applyBorder="1"/>
    <xf numFmtId="49" fontId="0" fillId="0" borderId="10" xfId="0" applyNumberFormat="1" applyBorder="1"/>
    <xf numFmtId="49" fontId="0" fillId="0" borderId="10" xfId="0" applyNumberFormat="1" applyBorder="1" applyAlignment="1">
      <alignment wrapText="1"/>
    </xf>
    <xf numFmtId="4" fontId="0" fillId="0" borderId="10" xfId="0" applyNumberFormat="1" applyBorder="1"/>
    <xf numFmtId="49" fontId="0" fillId="2" borderId="13" xfId="0" applyNumberFormat="1" applyFill="1" applyBorder="1"/>
    <xf numFmtId="49" fontId="0" fillId="2" borderId="13" xfId="0" applyNumberFormat="1" applyFill="1" applyBorder="1" applyAlignment="1">
      <alignment wrapText="1"/>
    </xf>
    <xf numFmtId="4" fontId="0" fillId="2" borderId="13" xfId="0" applyNumberFormat="1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" xfId="0" applyFill="1" applyBorder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" fontId="0" fillId="2" borderId="1" xfId="0" applyNumberFormat="1" applyFill="1" applyBorder="1"/>
    <xf numFmtId="0" fontId="0" fillId="2" borderId="10" xfId="0" applyFill="1" applyBorder="1"/>
    <xf numFmtId="49" fontId="0" fillId="2" borderId="10" xfId="0" applyNumberFormat="1" applyFill="1" applyBorder="1"/>
    <xf numFmtId="49" fontId="0" fillId="2" borderId="10" xfId="0" applyNumberFormat="1" applyFill="1" applyBorder="1" applyAlignment="1">
      <alignment wrapText="1"/>
    </xf>
    <xf numFmtId="4" fontId="0" fillId="2" borderId="10" xfId="0" applyNumberFormat="1" applyFill="1" applyBorder="1"/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49" fontId="0" fillId="3" borderId="0" xfId="0" applyNumberFormat="1" applyFill="1"/>
    <xf numFmtId="49" fontId="0" fillId="3" borderId="0" xfId="0" applyNumberFormat="1" applyFill="1" applyAlignment="1">
      <alignment wrapText="1"/>
    </xf>
    <xf numFmtId="4" fontId="0" fillId="3" borderId="0" xfId="0" applyNumberFormat="1" applyFill="1"/>
    <xf numFmtId="0" fontId="0" fillId="3" borderId="0" xfId="0" applyFill="1"/>
    <xf numFmtId="0" fontId="1" fillId="4" borderId="12" xfId="0" applyFont="1" applyFill="1" applyBorder="1" applyAlignment="1">
      <alignment horizontal="center"/>
    </xf>
    <xf numFmtId="49" fontId="0" fillId="4" borderId="13" xfId="0" applyNumberFormat="1" applyFill="1" applyBorder="1"/>
    <xf numFmtId="49" fontId="0" fillId="4" borderId="13" xfId="0" applyNumberFormat="1" applyFill="1" applyBorder="1" applyAlignment="1">
      <alignment wrapText="1"/>
    </xf>
    <xf numFmtId="4" fontId="0" fillId="4" borderId="13" xfId="0" applyNumberFormat="1" applyFill="1" applyBorder="1"/>
    <xf numFmtId="0" fontId="0" fillId="4" borderId="13" xfId="0" applyFill="1" applyBorder="1"/>
    <xf numFmtId="0" fontId="0" fillId="4" borderId="14" xfId="0" applyFill="1" applyBorder="1"/>
    <xf numFmtId="49" fontId="0" fillId="3" borderId="10" xfId="0" applyNumberFormat="1" applyFill="1" applyBorder="1"/>
    <xf numFmtId="4" fontId="0" fillId="3" borderId="10" xfId="0" applyNumberFormat="1" applyFill="1" applyBorder="1"/>
    <xf numFmtId="0" fontId="0" fillId="3" borderId="10" xfId="0" applyFill="1" applyBorder="1"/>
    <xf numFmtId="2" fontId="0" fillId="0" borderId="10" xfId="0" applyNumberFormat="1" applyBorder="1" applyAlignment="1">
      <alignment wrapText="1"/>
    </xf>
    <xf numFmtId="0" fontId="0" fillId="3" borderId="10" xfId="0" applyFill="1" applyBorder="1" applyAlignment="1">
      <alignment wrapText="1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0" fillId="0" borderId="25" xfId="0" applyNumberFormat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3" fontId="0" fillId="3" borderId="10" xfId="0" applyNumberFormat="1" applyFill="1" applyBorder="1"/>
    <xf numFmtId="3" fontId="1" fillId="0" borderId="6" xfId="0" applyNumberFormat="1" applyFont="1" applyBorder="1" applyAlignment="1">
      <alignment horizontal="center"/>
    </xf>
    <xf numFmtId="3" fontId="0" fillId="0" borderId="10" xfId="0" applyNumberFormat="1" applyBorder="1"/>
    <xf numFmtId="3" fontId="0" fillId="2" borderId="13" xfId="0" applyNumberFormat="1" applyFill="1" applyBorder="1"/>
    <xf numFmtId="3" fontId="0" fillId="0" borderId="0" xfId="0" applyNumberFormat="1"/>
    <xf numFmtId="49" fontId="0" fillId="5" borderId="10" xfId="0" applyNumberFormat="1" applyFill="1" applyBorder="1"/>
    <xf numFmtId="49" fontId="0" fillId="5" borderId="10" xfId="0" applyNumberFormat="1" applyFill="1" applyBorder="1" applyAlignment="1">
      <alignment wrapText="1"/>
    </xf>
    <xf numFmtId="4" fontId="0" fillId="5" borderId="10" xfId="0" applyNumberFormat="1" applyFill="1" applyBorder="1"/>
    <xf numFmtId="3" fontId="0" fillId="5" borderId="10" xfId="0" applyNumberFormat="1" applyFill="1" applyBorder="1"/>
    <xf numFmtId="0" fontId="0" fillId="5" borderId="10" xfId="0" applyFill="1" applyBorder="1"/>
    <xf numFmtId="0" fontId="0" fillId="5" borderId="0" xfId="0" applyFill="1"/>
    <xf numFmtId="0" fontId="1" fillId="0" borderId="18" xfId="0" applyFont="1" applyBorder="1"/>
    <xf numFmtId="0" fontId="1" fillId="0" borderId="27" xfId="0" applyFont="1" applyBorder="1"/>
    <xf numFmtId="0" fontId="1" fillId="5" borderId="16" xfId="0" applyFont="1" applyFill="1" applyBorder="1"/>
    <xf numFmtId="0" fontId="2" fillId="0" borderId="0" xfId="0" applyFont="1"/>
    <xf numFmtId="3" fontId="2" fillId="0" borderId="0" xfId="0" applyNumberFormat="1" applyFont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wrapText="1"/>
    </xf>
    <xf numFmtId="4" fontId="1" fillId="2" borderId="1" xfId="0" applyNumberFormat="1" applyFont="1" applyFill="1" applyBorder="1"/>
    <xf numFmtId="3" fontId="1" fillId="2" borderId="1" xfId="0" applyNumberFormat="1" applyFont="1" applyFill="1" applyBorder="1"/>
    <xf numFmtId="0" fontId="1" fillId="2" borderId="1" xfId="0" applyFont="1" applyFill="1" applyBorder="1"/>
    <xf numFmtId="0" fontId="1" fillId="0" borderId="16" xfId="0" applyFont="1" applyBorder="1"/>
    <xf numFmtId="0" fontId="1" fillId="6" borderId="25" xfId="0" applyFont="1" applyFill="1" applyBorder="1" applyAlignment="1">
      <alignment horizontal="left" vertical="center"/>
    </xf>
    <xf numFmtId="164" fontId="1" fillId="6" borderId="25" xfId="0" applyNumberFormat="1" applyFont="1" applyFill="1" applyBorder="1" applyAlignment="1">
      <alignment horizontal="left" vertical="center"/>
    </xf>
    <xf numFmtId="0" fontId="5" fillId="4" borderId="2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left" vertical="center"/>
    </xf>
    <xf numFmtId="164" fontId="5" fillId="4" borderId="19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6" borderId="22" xfId="0" applyFont="1" applyFill="1" applyBorder="1" applyAlignment="1">
      <alignment horizontal="left" vertical="center"/>
    </xf>
    <xf numFmtId="0" fontId="1" fillId="7" borderId="21" xfId="0" applyFont="1" applyFill="1" applyBorder="1" applyAlignment="1">
      <alignment horizontal="center" vertical="center"/>
    </xf>
    <xf numFmtId="164" fontId="4" fillId="4" borderId="17" xfId="0" applyNumberFormat="1" applyFont="1" applyFill="1" applyBorder="1" applyAlignment="1">
      <alignment horizontal="right"/>
    </xf>
    <xf numFmtId="0" fontId="1" fillId="0" borderId="19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21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0" fillId="0" borderId="15" xfId="0" applyBorder="1"/>
    <xf numFmtId="0" fontId="1" fillId="0" borderId="15" xfId="0" applyFont="1" applyBorder="1"/>
    <xf numFmtId="0" fontId="7" fillId="0" borderId="0" xfId="0" applyFont="1" applyAlignment="1">
      <alignment vertical="top" wrapText="1"/>
    </xf>
    <xf numFmtId="0" fontId="1" fillId="0" borderId="29" xfId="0" applyFont="1" applyBorder="1" applyAlignment="1">
      <alignment horizontal="right"/>
    </xf>
    <xf numFmtId="4" fontId="1" fillId="0" borderId="23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right"/>
    </xf>
    <xf numFmtId="4" fontId="1" fillId="0" borderId="24" xfId="0" applyNumberFormat="1" applyFont="1" applyBorder="1" applyAlignment="1">
      <alignment horizontal="right"/>
    </xf>
    <xf numFmtId="164" fontId="5" fillId="4" borderId="26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4" fontId="5" fillId="4" borderId="28" xfId="0" applyNumberFormat="1" applyFont="1" applyFill="1" applyBorder="1" applyAlignment="1">
      <alignment horizontal="right"/>
    </xf>
    <xf numFmtId="4" fontId="0" fillId="0" borderId="26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4" fontId="0" fillId="0" borderId="28" xfId="0" applyNumberFormat="1" applyBorder="1" applyAlignment="1">
      <alignment horizontal="right"/>
    </xf>
    <xf numFmtId="164" fontId="6" fillId="4" borderId="26" xfId="0" applyNumberFormat="1" applyFont="1" applyFill="1" applyBorder="1" applyAlignment="1">
      <alignment horizontal="right"/>
    </xf>
    <xf numFmtId="164" fontId="6" fillId="4" borderId="1" xfId="0" applyNumberFormat="1" applyFont="1" applyFill="1" applyBorder="1" applyAlignment="1">
      <alignment horizontal="right"/>
    </xf>
    <xf numFmtId="164" fontId="6" fillId="4" borderId="28" xfId="0" applyNumberFormat="1" applyFont="1" applyFill="1" applyBorder="1" applyAlignment="1">
      <alignment horizontal="right"/>
    </xf>
    <xf numFmtId="4" fontId="0" fillId="4" borderId="26" xfId="0" applyNumberFormat="1" applyFill="1" applyBorder="1" applyAlignment="1">
      <alignment horizontal="right"/>
    </xf>
    <xf numFmtId="4" fontId="0" fillId="4" borderId="1" xfId="0" applyNumberFormat="1" applyFill="1" applyBorder="1" applyAlignment="1">
      <alignment horizontal="right"/>
    </xf>
    <xf numFmtId="4" fontId="1" fillId="0" borderId="26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4" fontId="1" fillId="0" borderId="28" xfId="0" applyNumberFormat="1" applyFont="1" applyBorder="1" applyAlignment="1">
      <alignment horizontal="right"/>
    </xf>
    <xf numFmtId="164" fontId="5" fillId="4" borderId="6" xfId="0" applyNumberFormat="1" applyFont="1" applyFill="1" applyBorder="1" applyAlignment="1">
      <alignment horizontal="right"/>
    </xf>
    <xf numFmtId="164" fontId="5" fillId="4" borderId="7" xfId="0" applyNumberFormat="1" applyFont="1" applyFill="1" applyBorder="1" applyAlignment="1">
      <alignment horizontal="right"/>
    </xf>
    <xf numFmtId="164" fontId="5" fillId="4" borderId="5" xfId="0" applyNumberFormat="1" applyFont="1" applyFill="1" applyBorder="1" applyAlignment="1">
      <alignment horizontal="right"/>
    </xf>
    <xf numFmtId="164" fontId="5" fillId="4" borderId="20" xfId="0" applyNumberFormat="1" applyFont="1" applyFill="1" applyBorder="1" applyAlignment="1">
      <alignment horizontal="right"/>
    </xf>
    <xf numFmtId="4" fontId="1" fillId="7" borderId="12" xfId="0" applyNumberFormat="1" applyFont="1" applyFill="1" applyBorder="1" applyAlignment="1">
      <alignment horizontal="right" vertical="center"/>
    </xf>
    <xf numFmtId="4" fontId="1" fillId="7" borderId="21" xfId="0" applyNumberFormat="1" applyFont="1" applyFill="1" applyBorder="1" applyAlignment="1">
      <alignment horizontal="right" vertical="center"/>
    </xf>
    <xf numFmtId="164" fontId="1" fillId="6" borderId="23" xfId="0" applyNumberFormat="1" applyFont="1" applyFill="1" applyBorder="1" applyAlignment="1">
      <alignment horizontal="center"/>
    </xf>
    <xf numFmtId="164" fontId="1" fillId="6" borderId="11" xfId="0" applyNumberFormat="1" applyFont="1" applyFill="1" applyBorder="1" applyAlignment="1">
      <alignment horizontal="center"/>
    </xf>
    <xf numFmtId="164" fontId="1" fillId="6" borderId="24" xfId="0" applyNumberFormat="1" applyFont="1" applyFill="1" applyBorder="1" applyAlignment="1">
      <alignment horizontal="center"/>
    </xf>
    <xf numFmtId="164" fontId="5" fillId="4" borderId="26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5" fillId="4" borderId="28" xfId="0" applyNumberFormat="1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1" fillId="6" borderId="26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164" fontId="1" fillId="6" borderId="28" xfId="0" applyNumberFormat="1" applyFont="1" applyFill="1" applyBorder="1" applyAlignment="1">
      <alignment horizontal="center"/>
    </xf>
    <xf numFmtId="164" fontId="6" fillId="4" borderId="26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4" fontId="6" fillId="4" borderId="28" xfId="0" applyNumberFormat="1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164" fontId="5" fillId="4" borderId="7" xfId="0" applyNumberFormat="1" applyFont="1" applyFill="1" applyBorder="1" applyAlignment="1">
      <alignment horizontal="center"/>
    </xf>
    <xf numFmtId="164" fontId="1" fillId="7" borderId="12" xfId="0" applyNumberFormat="1" applyFont="1" applyFill="1" applyBorder="1" applyAlignment="1">
      <alignment horizontal="center" vertical="center"/>
    </xf>
    <xf numFmtId="164" fontId="1" fillId="7" borderId="14" xfId="0" applyNumberFormat="1" applyFont="1" applyFill="1" applyBorder="1" applyAlignment="1">
      <alignment horizontal="center" vertical="center"/>
    </xf>
    <xf numFmtId="49" fontId="7" fillId="3" borderId="10" xfId="0" applyNumberFormat="1" applyFont="1" applyFill="1" applyBorder="1"/>
    <xf numFmtId="49" fontId="7" fillId="0" borderId="10" xfId="0" applyNumberFormat="1" applyFont="1" applyBorder="1"/>
    <xf numFmtId="4" fontId="7" fillId="0" borderId="10" xfId="0" applyNumberFormat="1" applyFont="1" applyBorder="1"/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9BA0-93B4-4C52-AC20-335CF3870A2A}">
  <dimension ref="A1:V24"/>
  <sheetViews>
    <sheetView workbookViewId="0">
      <selection activeCell="H22" sqref="H22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6" t="s">
        <v>21</v>
      </c>
      <c r="B5" s="6"/>
      <c r="C5" s="6"/>
      <c r="D5" s="6"/>
      <c r="E5" s="6"/>
      <c r="F5" s="7"/>
      <c r="G5" s="8"/>
      <c r="H5" s="8"/>
      <c r="I5" s="8"/>
      <c r="J5" s="8"/>
      <c r="K5" s="8"/>
      <c r="L5" s="8"/>
      <c r="M5" s="8"/>
      <c r="N5" s="8"/>
      <c r="O5" s="5"/>
      <c r="P5" s="5"/>
      <c r="Q5" s="5"/>
      <c r="R5" s="5"/>
      <c r="S5" s="5"/>
      <c r="T5" s="5"/>
      <c r="U5" s="5"/>
      <c r="V5" s="5"/>
    </row>
    <row r="6" spans="1:22" ht="15.75" thickBot="1" x14ac:dyDescent="0.3">
      <c r="A6" s="30" t="s">
        <v>22</v>
      </c>
      <c r="B6" s="23"/>
      <c r="C6" s="23"/>
      <c r="D6" s="23"/>
      <c r="E6" s="23"/>
      <c r="F6" s="24"/>
      <c r="G6" s="25"/>
      <c r="H6" s="25"/>
      <c r="I6" s="25"/>
      <c r="J6" s="25"/>
      <c r="K6" s="25"/>
      <c r="L6" s="25"/>
      <c r="M6" s="25"/>
      <c r="N6" s="25"/>
      <c r="O6" s="22"/>
      <c r="P6" s="22"/>
      <c r="Q6" s="22"/>
      <c r="R6" s="22"/>
      <c r="S6" s="22"/>
      <c r="T6" s="22"/>
      <c r="U6" s="22"/>
      <c r="V6" s="22"/>
    </row>
    <row r="7" spans="1:22" ht="15.75" thickBot="1" x14ac:dyDescent="0.3">
      <c r="A7" s="37" t="s">
        <v>33</v>
      </c>
      <c r="B7" s="38"/>
      <c r="C7" s="38"/>
      <c r="D7" s="38"/>
      <c r="E7" s="38"/>
      <c r="F7" s="39"/>
      <c r="G7" s="40"/>
      <c r="H7" s="40"/>
      <c r="I7" s="40"/>
      <c r="J7" s="40"/>
      <c r="K7" s="40"/>
      <c r="L7" s="40"/>
      <c r="M7" s="40"/>
      <c r="N7" s="40"/>
      <c r="O7" s="41"/>
      <c r="P7" s="41"/>
      <c r="Q7" s="41"/>
      <c r="R7" s="41"/>
      <c r="S7" s="41"/>
      <c r="T7" s="41"/>
      <c r="U7" s="41"/>
      <c r="V7" s="42"/>
    </row>
    <row r="8" spans="1:22" x14ac:dyDescent="0.25">
      <c r="A8" s="32"/>
      <c r="B8" s="33"/>
      <c r="C8" s="33"/>
      <c r="D8" s="33"/>
      <c r="E8" s="33"/>
      <c r="F8" s="34"/>
      <c r="G8" s="35"/>
      <c r="H8" s="35"/>
      <c r="I8" s="35"/>
      <c r="J8" s="35"/>
      <c r="K8" s="35"/>
      <c r="L8" s="35"/>
      <c r="M8" s="35"/>
      <c r="N8" s="35"/>
      <c r="O8" s="36"/>
      <c r="P8" s="36"/>
      <c r="Q8" s="36"/>
      <c r="R8" s="36"/>
      <c r="S8" s="36"/>
      <c r="T8" s="36"/>
      <c r="U8" s="36"/>
      <c r="V8" s="36"/>
    </row>
    <row r="9" spans="1:22" x14ac:dyDescent="0.25">
      <c r="A9" s="32"/>
      <c r="B9" s="33"/>
      <c r="C9" s="33"/>
      <c r="D9" s="33"/>
      <c r="E9" s="33"/>
      <c r="F9" s="34"/>
      <c r="G9" s="35"/>
      <c r="H9" s="35"/>
      <c r="I9" s="35"/>
      <c r="J9" s="35"/>
      <c r="K9" s="35"/>
      <c r="L9" s="35"/>
      <c r="M9" s="35"/>
      <c r="N9" s="35"/>
      <c r="O9" s="36"/>
      <c r="P9" s="36"/>
      <c r="Q9" s="36"/>
      <c r="R9" s="36"/>
      <c r="S9" s="36"/>
      <c r="T9" s="36"/>
      <c r="U9" s="36"/>
      <c r="V9" s="36"/>
    </row>
    <row r="10" spans="1:22" x14ac:dyDescent="0.25">
      <c r="A10" s="32"/>
      <c r="B10" s="33"/>
      <c r="C10" s="33"/>
      <c r="D10" s="33"/>
      <c r="E10" s="33"/>
      <c r="F10" s="34"/>
      <c r="G10" s="35"/>
      <c r="H10" s="35"/>
      <c r="I10" s="35"/>
      <c r="J10" s="35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6"/>
    </row>
    <row r="11" spans="1:22" x14ac:dyDescent="0.25">
      <c r="A11" s="32"/>
      <c r="B11" s="33"/>
      <c r="C11" s="33"/>
      <c r="D11" s="33"/>
      <c r="E11" s="33"/>
      <c r="F11" s="34"/>
      <c r="G11" s="35"/>
      <c r="H11" s="35"/>
      <c r="I11" s="35"/>
      <c r="J11" s="35"/>
      <c r="K11" s="35"/>
      <c r="L11" s="35"/>
      <c r="M11" s="35"/>
      <c r="N11" s="35"/>
      <c r="O11" s="36"/>
      <c r="P11" s="36"/>
      <c r="Q11" s="36"/>
      <c r="R11" s="36"/>
      <c r="S11" s="36"/>
      <c r="T11" s="36"/>
      <c r="U11" s="36"/>
      <c r="V11" s="36"/>
    </row>
    <row r="12" spans="1:22" x14ac:dyDescent="0.25">
      <c r="A12" s="32"/>
      <c r="B12" s="33"/>
      <c r="C12" s="33"/>
      <c r="D12" s="33"/>
      <c r="E12" s="33"/>
      <c r="F12" s="34"/>
      <c r="G12" s="35"/>
      <c r="H12" s="35"/>
      <c r="I12" s="35"/>
      <c r="J12" s="35"/>
      <c r="K12" s="35"/>
      <c r="L12" s="35"/>
      <c r="M12" s="35"/>
      <c r="N12" s="35"/>
      <c r="O12" s="36"/>
      <c r="P12" s="36"/>
      <c r="Q12" s="36"/>
      <c r="R12" s="36"/>
      <c r="S12" s="36"/>
      <c r="T12" s="36"/>
      <c r="U12" s="36"/>
      <c r="V12" s="36"/>
    </row>
    <row r="13" spans="1:22" x14ac:dyDescent="0.25">
      <c r="A13" s="32"/>
      <c r="B13" s="33"/>
      <c r="C13" s="33"/>
      <c r="D13" s="33"/>
      <c r="E13" s="33"/>
      <c r="F13" s="34"/>
      <c r="G13" s="35"/>
      <c r="H13" s="35"/>
      <c r="I13" s="35"/>
      <c r="J13" s="35"/>
      <c r="K13" s="35"/>
      <c r="L13" s="35"/>
      <c r="M13" s="35"/>
      <c r="N13" s="35"/>
      <c r="O13" s="36"/>
      <c r="P13" s="36"/>
      <c r="Q13" s="36"/>
      <c r="R13" s="36"/>
      <c r="S13" s="36"/>
      <c r="T13" s="36"/>
      <c r="U13" s="36"/>
      <c r="V13" s="36"/>
    </row>
    <row r="14" spans="1:22" x14ac:dyDescent="0.25">
      <c r="A14" s="32"/>
      <c r="B14" s="33"/>
      <c r="C14" s="33"/>
      <c r="D14" s="33"/>
      <c r="E14" s="33"/>
      <c r="F14" s="34"/>
      <c r="G14" s="35"/>
      <c r="H14" s="35"/>
      <c r="I14" s="35"/>
      <c r="J14" s="35"/>
      <c r="K14" s="35"/>
      <c r="L14" s="35"/>
      <c r="M14" s="35"/>
      <c r="N14" s="35"/>
      <c r="O14" s="36"/>
      <c r="P14" s="36"/>
      <c r="Q14" s="36"/>
      <c r="R14" s="36"/>
      <c r="S14" s="36"/>
      <c r="T14" s="36"/>
      <c r="U14" s="36"/>
      <c r="V14" s="36"/>
    </row>
    <row r="15" spans="1:22" x14ac:dyDescent="0.25">
      <c r="A15" s="32"/>
      <c r="B15" s="33"/>
      <c r="C15" s="33"/>
      <c r="D15" s="33"/>
      <c r="E15" s="33"/>
      <c r="F15" s="34"/>
      <c r="G15" s="35"/>
      <c r="H15" s="35"/>
      <c r="I15" s="35"/>
      <c r="J15" s="35"/>
      <c r="K15" s="35"/>
      <c r="L15" s="35"/>
      <c r="M15" s="35"/>
      <c r="N15" s="35"/>
      <c r="O15" s="36"/>
      <c r="P15" s="36"/>
      <c r="Q15" s="36"/>
      <c r="R15" s="36"/>
      <c r="S15" s="36"/>
      <c r="T15" s="36"/>
      <c r="U15" s="36"/>
      <c r="V15" s="36"/>
    </row>
    <row r="16" spans="1:22" x14ac:dyDescent="0.25">
      <c r="A16" s="32"/>
      <c r="B16" s="33"/>
      <c r="C16" s="33"/>
      <c r="D16" s="33"/>
      <c r="E16" s="33"/>
      <c r="F16" s="34"/>
      <c r="G16" s="35"/>
      <c r="H16" s="35"/>
      <c r="I16" s="35"/>
      <c r="J16" s="35"/>
      <c r="K16" s="35"/>
      <c r="L16" s="35"/>
      <c r="M16" s="35"/>
      <c r="N16" s="35"/>
      <c r="O16" s="36"/>
      <c r="P16" s="36"/>
      <c r="Q16" s="36"/>
      <c r="R16" s="36"/>
      <c r="S16" s="36"/>
      <c r="T16" s="36"/>
      <c r="U16" s="36"/>
      <c r="V16" s="36"/>
    </row>
    <row r="17" spans="1:22" x14ac:dyDescent="0.25">
      <c r="A17" s="32"/>
      <c r="B17" s="33"/>
      <c r="C17" s="33"/>
      <c r="D17" s="33"/>
      <c r="E17" s="33"/>
      <c r="F17" s="34"/>
      <c r="G17" s="35"/>
      <c r="H17" s="35"/>
      <c r="I17" s="35"/>
      <c r="J17" s="35"/>
      <c r="K17" s="35"/>
      <c r="L17" s="35"/>
      <c r="M17" s="35"/>
      <c r="N17" s="35"/>
      <c r="O17" s="36"/>
      <c r="P17" s="36"/>
      <c r="Q17" s="36"/>
      <c r="R17" s="36"/>
      <c r="S17" s="36"/>
      <c r="T17" s="36"/>
      <c r="U17" s="36"/>
      <c r="V17" s="36"/>
    </row>
    <row r="18" spans="1:22" x14ac:dyDescent="0.25">
      <c r="A18" s="32"/>
      <c r="B18" s="33"/>
      <c r="C18" s="33"/>
      <c r="D18" s="33"/>
      <c r="E18" s="33"/>
      <c r="F18" s="34"/>
      <c r="G18" s="35"/>
      <c r="H18" s="35"/>
      <c r="I18" s="35"/>
      <c r="J18" s="35"/>
      <c r="K18" s="35"/>
      <c r="L18" s="35"/>
      <c r="M18" s="35"/>
      <c r="N18" s="35"/>
      <c r="O18" s="36"/>
      <c r="P18" s="36"/>
      <c r="Q18" s="36"/>
      <c r="R18" s="36"/>
      <c r="S18" s="36"/>
      <c r="T18" s="36"/>
      <c r="U18" s="36"/>
      <c r="V18" s="36"/>
    </row>
    <row r="19" spans="1:22" x14ac:dyDescent="0.25">
      <c r="A19" s="32"/>
      <c r="B19" s="33"/>
      <c r="C19" s="33"/>
      <c r="D19" s="33"/>
      <c r="E19" s="33"/>
      <c r="F19" s="34"/>
      <c r="G19" s="35"/>
      <c r="H19" s="35"/>
      <c r="I19" s="35"/>
      <c r="J19" s="35"/>
      <c r="K19" s="35"/>
      <c r="L19" s="35"/>
      <c r="M19" s="35"/>
      <c r="N19" s="35"/>
      <c r="O19" s="36"/>
      <c r="P19" s="36"/>
      <c r="Q19" s="36"/>
      <c r="R19" s="36"/>
      <c r="S19" s="36"/>
      <c r="T19" s="36"/>
      <c r="U19" s="36"/>
      <c r="V19" s="36"/>
    </row>
    <row r="20" spans="1:22" x14ac:dyDescent="0.25">
      <c r="A20" s="32"/>
      <c r="B20" s="33"/>
      <c r="C20" s="33"/>
      <c r="D20" s="33"/>
      <c r="E20" s="33"/>
      <c r="F20" s="34"/>
      <c r="G20" s="35"/>
      <c r="H20" s="35"/>
      <c r="I20" s="35"/>
      <c r="J20" s="35"/>
      <c r="K20" s="35"/>
      <c r="L20" s="35"/>
      <c r="M20" s="35"/>
      <c r="N20" s="35"/>
      <c r="O20" s="36"/>
      <c r="P20" s="36"/>
      <c r="Q20" s="36"/>
      <c r="R20" s="36"/>
      <c r="S20" s="36"/>
      <c r="T20" s="36"/>
      <c r="U20" s="36"/>
      <c r="V20" s="36"/>
    </row>
    <row r="21" spans="1:22" x14ac:dyDescent="0.25">
      <c r="A21" s="32"/>
      <c r="B21" s="33"/>
      <c r="C21" s="33"/>
      <c r="D21" s="33"/>
      <c r="E21" s="33"/>
      <c r="F21" s="34"/>
      <c r="G21" s="35"/>
      <c r="H21" s="35"/>
      <c r="I21" s="35"/>
      <c r="J21" s="35"/>
      <c r="K21" s="35"/>
      <c r="L21" s="35"/>
      <c r="M21" s="35"/>
      <c r="N21" s="35"/>
      <c r="O21" s="36"/>
      <c r="P21" s="36"/>
      <c r="Q21" s="36"/>
      <c r="R21" s="36"/>
      <c r="S21" s="36"/>
      <c r="T21" s="36"/>
      <c r="U21" s="36"/>
      <c r="V21" s="36"/>
    </row>
    <row r="22" spans="1:22" x14ac:dyDescent="0.25">
      <c r="A22" s="32"/>
      <c r="B22" s="33"/>
      <c r="C22" s="33"/>
      <c r="D22" s="33"/>
      <c r="E22" s="33"/>
      <c r="F22" s="34"/>
      <c r="G22" s="35"/>
      <c r="H22" s="35"/>
      <c r="I22" s="35"/>
      <c r="J22" s="35"/>
      <c r="K22" s="35"/>
      <c r="L22" s="35"/>
      <c r="M22" s="35"/>
      <c r="N22" s="35"/>
      <c r="O22" s="36"/>
      <c r="P22" s="36"/>
      <c r="Q22" s="36"/>
      <c r="R22" s="36"/>
      <c r="S22" s="36"/>
      <c r="T22" s="36"/>
      <c r="U22" s="36"/>
      <c r="V22" s="36"/>
    </row>
    <row r="23" spans="1:22" x14ac:dyDescent="0.25">
      <c r="A23" s="32"/>
      <c r="B23" s="33"/>
      <c r="C23" s="33"/>
      <c r="D23" s="33"/>
      <c r="E23" s="33"/>
      <c r="F23" s="34"/>
      <c r="G23" s="35"/>
      <c r="H23" s="35"/>
      <c r="I23" s="35"/>
      <c r="J23" s="35"/>
      <c r="K23" s="35"/>
      <c r="L23" s="35"/>
      <c r="M23" s="35"/>
      <c r="N23" s="35"/>
      <c r="O23" s="36"/>
      <c r="P23" s="36"/>
      <c r="Q23" s="36"/>
      <c r="R23" s="36"/>
      <c r="S23" s="36"/>
      <c r="T23" s="36"/>
      <c r="U23" s="36"/>
      <c r="V23" s="36"/>
    </row>
    <row r="24" spans="1:22" x14ac:dyDescent="0.25">
      <c r="A24" s="32"/>
      <c r="B24" s="33"/>
      <c r="C24" s="33"/>
      <c r="D24" s="33"/>
      <c r="E24" s="33"/>
      <c r="F24" s="34"/>
      <c r="G24" s="35"/>
      <c r="H24" s="35"/>
      <c r="I24" s="35"/>
      <c r="J24" s="35"/>
      <c r="K24" s="35"/>
      <c r="L24" s="35"/>
      <c r="M24" s="35"/>
      <c r="N24" s="35"/>
      <c r="O24" s="36"/>
      <c r="P24" s="36"/>
      <c r="Q24" s="36"/>
      <c r="R24" s="36"/>
      <c r="S24" s="36"/>
      <c r="T24" s="36"/>
      <c r="U24" s="36"/>
      <c r="V24" s="36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FB43-7F59-4B17-9CA2-99557ADEA5F4}">
  <dimension ref="A1:U17"/>
  <sheetViews>
    <sheetView zoomScale="80" zoomScaleNormal="80" workbookViewId="0">
      <selection activeCell="J11" sqref="J11"/>
    </sheetView>
  </sheetViews>
  <sheetFormatPr defaultRowHeight="15" x14ac:dyDescent="0.25"/>
  <cols>
    <col min="2" max="2" width="12.85546875" customWidth="1"/>
    <col min="3" max="3" width="17.140625" customWidth="1"/>
    <col min="4" max="4" width="21.5703125" customWidth="1"/>
    <col min="5" max="5" width="39.5703125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style="60" customWidth="1"/>
    <col min="16" max="16" width="12.5703125" style="60" customWidth="1"/>
    <col min="17" max="17" width="13.28515625" style="60" customWidth="1"/>
    <col min="18" max="18" width="13.140625" style="60" customWidth="1"/>
    <col min="19" max="19" width="21" customWidth="1"/>
    <col min="20" max="20" width="16.140625" customWidth="1"/>
  </cols>
  <sheetData>
    <row r="1" spans="1:2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</row>
    <row r="2" spans="1:21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</row>
    <row r="3" spans="1:21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4" t="s">
        <v>69</v>
      </c>
      <c r="P3" s="154"/>
      <c r="Q3" s="154" t="s">
        <v>70</v>
      </c>
      <c r="R3" s="154"/>
      <c r="S3" s="151" t="s">
        <v>95</v>
      </c>
      <c r="T3" s="144" t="s">
        <v>16</v>
      </c>
    </row>
    <row r="4" spans="1:21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57" t="s">
        <v>10</v>
      </c>
      <c r="P4" s="57" t="s">
        <v>11</v>
      </c>
      <c r="Q4" s="57" t="s">
        <v>10</v>
      </c>
      <c r="R4" s="57" t="s">
        <v>11</v>
      </c>
      <c r="S4" s="152"/>
      <c r="T4" s="145"/>
    </row>
    <row r="5" spans="1:21" ht="39.950000000000003" customHeight="1" x14ac:dyDescent="0.25">
      <c r="A5" s="67" t="s">
        <v>23</v>
      </c>
      <c r="B5" s="141" t="s">
        <v>59</v>
      </c>
      <c r="C5" s="43" t="s">
        <v>35</v>
      </c>
      <c r="D5" s="10" t="s">
        <v>37</v>
      </c>
      <c r="E5" s="10" t="s">
        <v>34</v>
      </c>
      <c r="F5" s="11" t="s">
        <v>60</v>
      </c>
      <c r="G5" s="46">
        <v>0</v>
      </c>
      <c r="H5" s="44">
        <v>0</v>
      </c>
      <c r="I5" s="44">
        <v>0</v>
      </c>
      <c r="J5" s="44">
        <v>0</v>
      </c>
      <c r="K5" s="44">
        <v>0</v>
      </c>
      <c r="L5" s="44">
        <v>0</v>
      </c>
      <c r="M5" s="12">
        <f t="shared" ref="M5:N12" si="0">SUM(G5,I5,K5)</f>
        <v>0</v>
      </c>
      <c r="N5" s="12">
        <f t="shared" si="0"/>
        <v>0</v>
      </c>
      <c r="O5" s="56">
        <v>0</v>
      </c>
      <c r="P5" s="56">
        <v>0</v>
      </c>
      <c r="Q5" s="56">
        <v>0</v>
      </c>
      <c r="R5" s="56">
        <v>0</v>
      </c>
      <c r="S5" s="47" t="s">
        <v>96</v>
      </c>
      <c r="T5" s="45" t="s">
        <v>62</v>
      </c>
      <c r="U5" s="45"/>
    </row>
    <row r="6" spans="1:21" ht="39.950000000000003" customHeight="1" x14ac:dyDescent="0.25">
      <c r="A6" s="68" t="s">
        <v>23</v>
      </c>
      <c r="B6" s="141" t="s">
        <v>94</v>
      </c>
      <c r="C6" s="43" t="s">
        <v>63</v>
      </c>
      <c r="D6" s="10" t="s">
        <v>38</v>
      </c>
      <c r="E6" s="10" t="s">
        <v>34</v>
      </c>
      <c r="F6" s="11" t="s">
        <v>64</v>
      </c>
      <c r="G6" s="12">
        <v>0</v>
      </c>
      <c r="H6" s="12">
        <v>0</v>
      </c>
      <c r="I6" s="12">
        <v>22996.69</v>
      </c>
      <c r="J6" s="12">
        <v>0</v>
      </c>
      <c r="K6" s="12">
        <v>0</v>
      </c>
      <c r="L6" s="12">
        <v>0</v>
      </c>
      <c r="M6" s="12">
        <f t="shared" si="0"/>
        <v>22996.69</v>
      </c>
      <c r="N6" s="12">
        <f t="shared" si="0"/>
        <v>0</v>
      </c>
      <c r="O6" s="58">
        <v>22286</v>
      </c>
      <c r="P6" s="58">
        <v>0</v>
      </c>
      <c r="Q6" s="58">
        <v>0</v>
      </c>
      <c r="R6" s="58">
        <v>0</v>
      </c>
      <c r="S6" s="9" t="s">
        <v>61</v>
      </c>
      <c r="T6" s="9" t="s">
        <v>62</v>
      </c>
    </row>
    <row r="7" spans="1:21" ht="39.950000000000003" customHeight="1" x14ac:dyDescent="0.25">
      <c r="A7" s="68" t="s">
        <v>23</v>
      </c>
      <c r="B7" s="142" t="s">
        <v>65</v>
      </c>
      <c r="C7" s="10" t="s">
        <v>66</v>
      </c>
      <c r="D7" s="10" t="s">
        <v>67</v>
      </c>
      <c r="E7" s="10" t="s">
        <v>34</v>
      </c>
      <c r="F7" s="11" t="s">
        <v>93</v>
      </c>
      <c r="G7" s="12">
        <v>0</v>
      </c>
      <c r="H7" s="12">
        <v>0</v>
      </c>
      <c r="I7" s="12">
        <v>48341.24</v>
      </c>
      <c r="J7" s="12">
        <v>0</v>
      </c>
      <c r="K7" s="12">
        <v>0</v>
      </c>
      <c r="L7" s="12">
        <v>0</v>
      </c>
      <c r="M7" s="12">
        <f t="shared" si="0"/>
        <v>48341.24</v>
      </c>
      <c r="N7" s="12">
        <f t="shared" si="0"/>
        <v>0</v>
      </c>
      <c r="O7" s="58">
        <v>47794</v>
      </c>
      <c r="P7" s="58">
        <v>0</v>
      </c>
      <c r="Q7" s="58">
        <v>0</v>
      </c>
      <c r="R7" s="58">
        <v>0</v>
      </c>
      <c r="S7" s="9" t="s">
        <v>61</v>
      </c>
      <c r="T7" s="9" t="s">
        <v>62</v>
      </c>
    </row>
    <row r="8" spans="1:21" ht="39.950000000000003" customHeight="1" x14ac:dyDescent="0.25">
      <c r="A8" s="77" t="s">
        <v>23</v>
      </c>
      <c r="B8" s="142" t="s">
        <v>59</v>
      </c>
      <c r="C8" s="10" t="s">
        <v>73</v>
      </c>
      <c r="D8" s="10" t="s">
        <v>74</v>
      </c>
      <c r="E8" s="10" t="s">
        <v>34</v>
      </c>
      <c r="F8" s="11" t="s">
        <v>60</v>
      </c>
      <c r="G8" s="12">
        <v>0</v>
      </c>
      <c r="H8" s="12">
        <v>0</v>
      </c>
      <c r="I8" s="143">
        <v>24997.61</v>
      </c>
      <c r="J8" s="12">
        <v>0</v>
      </c>
      <c r="K8" s="12">
        <v>0</v>
      </c>
      <c r="L8" s="12">
        <v>0</v>
      </c>
      <c r="M8" s="12">
        <f t="shared" si="0"/>
        <v>24997.61</v>
      </c>
      <c r="N8" s="12">
        <f t="shared" si="0"/>
        <v>0</v>
      </c>
      <c r="O8" s="58">
        <v>24207</v>
      </c>
      <c r="P8" s="58">
        <v>0</v>
      </c>
      <c r="Q8" s="58">
        <v>0</v>
      </c>
      <c r="R8" s="58">
        <v>0</v>
      </c>
      <c r="S8" s="9" t="s">
        <v>61</v>
      </c>
      <c r="T8" s="9" t="s">
        <v>62</v>
      </c>
    </row>
    <row r="9" spans="1:21" ht="39.950000000000003" customHeight="1" x14ac:dyDescent="0.25">
      <c r="A9" s="77" t="s">
        <v>23</v>
      </c>
      <c r="B9" s="10" t="s">
        <v>92</v>
      </c>
      <c r="C9" s="10" t="s">
        <v>97</v>
      </c>
      <c r="D9" s="10" t="s">
        <v>77</v>
      </c>
      <c r="E9" s="10" t="s">
        <v>34</v>
      </c>
      <c r="F9" s="11" t="s">
        <v>78</v>
      </c>
      <c r="G9" s="12">
        <v>0</v>
      </c>
      <c r="H9" s="12">
        <v>0</v>
      </c>
      <c r="I9" s="143">
        <v>19217.54</v>
      </c>
      <c r="J9" s="12">
        <v>0</v>
      </c>
      <c r="K9" s="12">
        <v>0</v>
      </c>
      <c r="L9" s="12">
        <v>0</v>
      </c>
      <c r="M9" s="12">
        <f t="shared" si="0"/>
        <v>19217.54</v>
      </c>
      <c r="N9" s="12">
        <f t="shared" si="0"/>
        <v>0</v>
      </c>
      <c r="O9" s="58">
        <v>18717</v>
      </c>
      <c r="P9" s="58">
        <v>0</v>
      </c>
      <c r="Q9" s="58">
        <v>0</v>
      </c>
      <c r="R9" s="58">
        <v>0</v>
      </c>
      <c r="S9" s="9" t="s">
        <v>61</v>
      </c>
      <c r="T9" s="9" t="s">
        <v>62</v>
      </c>
    </row>
    <row r="10" spans="1:21" ht="39.950000000000003" customHeight="1" x14ac:dyDescent="0.25">
      <c r="A10" s="77" t="s">
        <v>23</v>
      </c>
      <c r="B10" s="10" t="s">
        <v>99</v>
      </c>
      <c r="C10" s="10" t="s">
        <v>103</v>
      </c>
      <c r="D10" s="10" t="s">
        <v>100</v>
      </c>
      <c r="E10" s="10" t="s">
        <v>34</v>
      </c>
      <c r="F10" s="11" t="s">
        <v>101</v>
      </c>
      <c r="G10" s="12">
        <v>0</v>
      </c>
      <c r="H10" s="12">
        <v>0</v>
      </c>
      <c r="I10" s="12">
        <v>37432.400000000001</v>
      </c>
      <c r="J10" s="12">
        <v>0</v>
      </c>
      <c r="K10" s="12">
        <v>0</v>
      </c>
      <c r="L10" s="12">
        <v>0</v>
      </c>
      <c r="M10" s="12">
        <f t="shared" si="0"/>
        <v>37432.400000000001</v>
      </c>
      <c r="N10" s="12">
        <f t="shared" si="0"/>
        <v>0</v>
      </c>
      <c r="O10" s="58">
        <v>37433</v>
      </c>
      <c r="P10" s="58"/>
      <c r="Q10" s="58">
        <v>0</v>
      </c>
      <c r="R10" s="58">
        <v>0</v>
      </c>
      <c r="S10" s="9" t="s">
        <v>61</v>
      </c>
      <c r="T10" s="9" t="s">
        <v>102</v>
      </c>
    </row>
    <row r="11" spans="1:21" ht="39.950000000000003" customHeight="1" x14ac:dyDescent="0.25">
      <c r="A11" s="77" t="s">
        <v>30</v>
      </c>
      <c r="B11" s="10" t="s">
        <v>105</v>
      </c>
      <c r="C11" s="10" t="s">
        <v>109</v>
      </c>
      <c r="D11" s="10" t="s">
        <v>106</v>
      </c>
      <c r="E11" s="10" t="s">
        <v>107</v>
      </c>
      <c r="F11" s="11" t="s">
        <v>108</v>
      </c>
      <c r="G11" s="12"/>
      <c r="H11" s="12"/>
      <c r="I11" s="12">
        <v>4380.03</v>
      </c>
      <c r="J11" s="12">
        <v>0</v>
      </c>
      <c r="K11" s="12"/>
      <c r="L11" s="12"/>
      <c r="M11" s="12"/>
      <c r="N11" s="12"/>
      <c r="O11" s="58"/>
      <c r="P11" s="58"/>
      <c r="Q11" s="58">
        <v>7301</v>
      </c>
      <c r="R11" s="58"/>
      <c r="S11" s="9" t="s">
        <v>61</v>
      </c>
      <c r="T11" s="9" t="s">
        <v>112</v>
      </c>
    </row>
    <row r="12" spans="1:21" s="66" customFormat="1" ht="39.950000000000003" customHeight="1" x14ac:dyDescent="0.25">
      <c r="A12" s="69" t="s">
        <v>71</v>
      </c>
      <c r="B12" s="61" t="s">
        <v>75</v>
      </c>
      <c r="C12" s="61" t="s">
        <v>76</v>
      </c>
      <c r="D12" s="61" t="s">
        <v>38</v>
      </c>
      <c r="E12" s="61" t="s">
        <v>34</v>
      </c>
      <c r="F12" s="62" t="s">
        <v>72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f t="shared" si="0"/>
        <v>0</v>
      </c>
      <c r="N12" s="63">
        <f t="shared" si="0"/>
        <v>0</v>
      </c>
      <c r="O12" s="64">
        <v>0</v>
      </c>
      <c r="P12" s="64">
        <v>0</v>
      </c>
      <c r="Q12" s="64">
        <v>0</v>
      </c>
      <c r="R12" s="64">
        <v>0</v>
      </c>
      <c r="S12" s="65" t="s">
        <v>36</v>
      </c>
      <c r="T12" s="65" t="s">
        <v>104</v>
      </c>
    </row>
    <row r="13" spans="1:21" ht="39.950000000000003" customHeight="1" x14ac:dyDescent="0.25">
      <c r="A13" s="50"/>
      <c r="B13" s="10"/>
      <c r="C13" s="10" t="s">
        <v>79</v>
      </c>
      <c r="D13" s="10" t="s">
        <v>80</v>
      </c>
      <c r="E13" s="10"/>
      <c r="F13" s="11"/>
      <c r="G13" s="12"/>
      <c r="H13" s="12"/>
      <c r="I13" s="12"/>
      <c r="J13" s="12"/>
      <c r="K13" s="12"/>
      <c r="L13" s="12"/>
      <c r="M13" s="12"/>
      <c r="N13" s="12"/>
      <c r="O13" s="58"/>
      <c r="P13" s="58"/>
      <c r="Q13" s="58"/>
      <c r="R13" s="58"/>
      <c r="S13" s="9"/>
      <c r="T13" s="9"/>
    </row>
    <row r="14" spans="1:21" s="55" customFormat="1" ht="39.950000000000003" customHeight="1" thickBot="1" x14ac:dyDescent="0.3">
      <c r="A14" s="29" t="s">
        <v>22</v>
      </c>
      <c r="B14" s="72"/>
      <c r="C14" s="72"/>
      <c r="D14" s="72"/>
      <c r="E14" s="72"/>
      <c r="F14" s="73"/>
      <c r="G14" s="74">
        <f t="shared" ref="G14:R14" si="1">SUM(G5:G13)</f>
        <v>0</v>
      </c>
      <c r="H14" s="74">
        <f t="shared" si="1"/>
        <v>0</v>
      </c>
      <c r="I14" s="74">
        <f t="shared" si="1"/>
        <v>157365.50999999998</v>
      </c>
      <c r="J14" s="74">
        <f t="shared" si="1"/>
        <v>0</v>
      </c>
      <c r="K14" s="74">
        <f t="shared" si="1"/>
        <v>0</v>
      </c>
      <c r="L14" s="74">
        <f t="shared" si="1"/>
        <v>0</v>
      </c>
      <c r="M14" s="74">
        <f t="shared" si="1"/>
        <v>152985.47999999998</v>
      </c>
      <c r="N14" s="74">
        <f t="shared" si="1"/>
        <v>0</v>
      </c>
      <c r="O14" s="75">
        <f t="shared" si="1"/>
        <v>150437</v>
      </c>
      <c r="P14" s="75">
        <f t="shared" si="1"/>
        <v>0</v>
      </c>
      <c r="Q14" s="75">
        <f t="shared" si="1"/>
        <v>7301</v>
      </c>
      <c r="R14" s="75">
        <f t="shared" si="1"/>
        <v>0</v>
      </c>
      <c r="S14" s="76"/>
      <c r="T14" s="76"/>
    </row>
    <row r="15" spans="1:21" ht="39.950000000000003" customHeight="1" thickBot="1" x14ac:dyDescent="0.3">
      <c r="A15" s="28" t="s">
        <v>33</v>
      </c>
      <c r="B15" s="13"/>
      <c r="C15" s="13"/>
      <c r="D15" s="13"/>
      <c r="E15" s="13"/>
      <c r="F15" s="14"/>
      <c r="G15" s="15"/>
      <c r="H15" s="15"/>
      <c r="I15" s="15"/>
      <c r="J15" s="15"/>
      <c r="K15" s="15"/>
      <c r="L15" s="15"/>
      <c r="M15" s="15"/>
      <c r="N15" s="15"/>
      <c r="O15" s="59"/>
      <c r="P15" s="59"/>
      <c r="Q15" s="59"/>
      <c r="R15" s="59"/>
      <c r="S15" s="16"/>
      <c r="T15" s="17"/>
    </row>
    <row r="17" spans="9:16" x14ac:dyDescent="0.25">
      <c r="I17" s="70" t="s">
        <v>68</v>
      </c>
      <c r="O17" s="71"/>
      <c r="P17" s="71"/>
    </row>
  </sheetData>
  <mergeCells count="15">
    <mergeCell ref="B1:T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S4"/>
    <mergeCell ref="T3:T4"/>
  </mergeCells>
  <pageMargins left="0.511811024" right="0.511811024" top="0.78740157499999996" bottom="0.78740157499999996" header="0.31496062000000002" footer="0.31496062000000002"/>
  <pageSetup orientation="portrait" horizontalDpi="4294967293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5693-C192-4336-928A-F51C5E96F2DA}">
  <dimension ref="A1:V7"/>
  <sheetViews>
    <sheetView workbookViewId="0">
      <selection activeCell="E31" sqref="E31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6" t="s">
        <v>24</v>
      </c>
      <c r="B5" s="6"/>
      <c r="C5" s="6"/>
      <c r="D5" s="6"/>
      <c r="E5" s="6"/>
      <c r="F5" s="7"/>
      <c r="G5" s="8"/>
      <c r="H5" s="8"/>
      <c r="I5" s="8"/>
      <c r="J5" s="8"/>
      <c r="K5" s="8"/>
      <c r="L5" s="8"/>
      <c r="M5" s="8"/>
      <c r="N5" s="8"/>
      <c r="O5" s="5"/>
      <c r="P5" s="5"/>
      <c r="Q5" s="5"/>
      <c r="R5" s="5"/>
      <c r="S5" s="5"/>
      <c r="T5" s="5"/>
      <c r="U5" s="5"/>
      <c r="V5" s="5"/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55AE-6BA4-4E29-860B-8E718CBC235A}">
  <dimension ref="A1:V7"/>
  <sheetViews>
    <sheetView workbookViewId="0">
      <selection sqref="A1:XFD1048576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7" t="s">
        <v>25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4E32-905E-4AED-A1CB-E2A5F4F2E9C4}">
  <dimension ref="A1:V7"/>
  <sheetViews>
    <sheetView workbookViewId="0">
      <selection sqref="A1:XFD1048576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7" t="s">
        <v>26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FCB8-1E5D-4FDC-906C-60EC77EEECEA}">
  <dimension ref="A1:V7"/>
  <sheetViews>
    <sheetView workbookViewId="0">
      <selection sqref="A1:XFD1048576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7" t="s">
        <v>27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2985-94B2-4741-AA0B-361A243A2A31}">
  <dimension ref="A1:V7"/>
  <sheetViews>
    <sheetView workbookViewId="0">
      <selection sqref="A1:XFD1048576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7" t="s">
        <v>28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E083-1758-4972-BE79-06EB91547622}">
  <dimension ref="A1:V7"/>
  <sheetViews>
    <sheetView workbookViewId="0">
      <selection sqref="A1:XFD1048576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7" t="s">
        <v>29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10F7A-A469-42F6-94B3-760A27673908}">
  <dimension ref="A1:V7"/>
  <sheetViews>
    <sheetView topLeftCell="J1" workbookViewId="0">
      <selection activeCell="V5" sqref="V5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7" t="s">
        <v>30</v>
      </c>
      <c r="B5" s="2" t="s">
        <v>105</v>
      </c>
      <c r="C5" s="2" t="s">
        <v>109</v>
      </c>
      <c r="D5" s="2" t="s">
        <v>106</v>
      </c>
      <c r="E5" s="19" t="s">
        <v>110</v>
      </c>
      <c r="F5" s="3" t="s">
        <v>108</v>
      </c>
      <c r="G5" s="4"/>
      <c r="H5" s="4"/>
      <c r="I5" s="4"/>
      <c r="J5" s="4"/>
      <c r="K5" s="4">
        <v>4380.03</v>
      </c>
      <c r="L5" s="4"/>
      <c r="M5" s="4">
        <v>4380.03</v>
      </c>
      <c r="N5" s="4"/>
      <c r="O5" s="1"/>
      <c r="P5" s="1"/>
      <c r="Q5" s="1">
        <v>7301</v>
      </c>
      <c r="R5" s="1"/>
      <c r="S5" s="1">
        <v>7301</v>
      </c>
      <c r="T5" s="1"/>
      <c r="U5" s="1" t="s">
        <v>111</v>
      </c>
      <c r="V5" s="1" t="s">
        <v>102</v>
      </c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B6C9-6430-44AB-993A-63C3A60B3AB4}">
  <dimension ref="A1:V7"/>
  <sheetViews>
    <sheetView workbookViewId="0">
      <selection sqref="A1:XFD1048576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7" t="s">
        <v>31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95CF-4FA7-44EC-BEC1-DDF538CD67E2}">
  <dimension ref="A1:V7"/>
  <sheetViews>
    <sheetView workbookViewId="0">
      <selection activeCell="E31" sqref="E31"/>
    </sheetView>
  </sheetViews>
  <sheetFormatPr defaultRowHeight="15" x14ac:dyDescent="0.25"/>
  <cols>
    <col min="2" max="2" width="11.7109375" customWidth="1"/>
    <col min="3" max="3" width="17.140625" customWidth="1"/>
    <col min="4" max="4" width="21.5703125" customWidth="1"/>
    <col min="5" max="5" width="30" customWidth="1"/>
    <col min="6" max="6" width="22.85546875" customWidth="1"/>
    <col min="7" max="7" width="16.42578125" customWidth="1"/>
    <col min="8" max="8" width="15.42578125" customWidth="1"/>
    <col min="9" max="9" width="14" customWidth="1"/>
    <col min="10" max="10" width="14.140625" customWidth="1"/>
    <col min="11" max="11" width="15.7109375" customWidth="1"/>
    <col min="12" max="12" width="12.42578125" customWidth="1"/>
    <col min="13" max="13" width="12.85546875" customWidth="1"/>
    <col min="14" max="14" width="13.140625" customWidth="1"/>
    <col min="15" max="15" width="12.140625" customWidth="1"/>
    <col min="16" max="16" width="12.5703125" customWidth="1"/>
    <col min="17" max="17" width="13.28515625" customWidth="1"/>
    <col min="18" max="18" width="13.140625" customWidth="1"/>
    <col min="19" max="19" width="11.5703125" customWidth="1"/>
    <col min="20" max="20" width="12.28515625" customWidth="1"/>
    <col min="21" max="21" width="21" customWidth="1"/>
    <col min="22" max="22" width="16.140625" customWidth="1"/>
  </cols>
  <sheetData>
    <row r="1" spans="1:22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</row>
    <row r="2" spans="1:22" ht="15.75" thickBot="1" x14ac:dyDescent="0.3"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</row>
    <row r="3" spans="1:22" ht="33.75" customHeight="1" x14ac:dyDescent="0.25">
      <c r="A3" s="147" t="s">
        <v>20</v>
      </c>
      <c r="B3" s="149" t="s">
        <v>1</v>
      </c>
      <c r="C3" s="151" t="s">
        <v>19</v>
      </c>
      <c r="D3" s="151" t="s">
        <v>2</v>
      </c>
      <c r="E3" s="151" t="s">
        <v>3</v>
      </c>
      <c r="F3" s="151" t="s">
        <v>4</v>
      </c>
      <c r="G3" s="153" t="s">
        <v>18</v>
      </c>
      <c r="H3" s="153"/>
      <c r="I3" s="153" t="s">
        <v>5</v>
      </c>
      <c r="J3" s="153"/>
      <c r="K3" s="153" t="s">
        <v>6</v>
      </c>
      <c r="L3" s="153"/>
      <c r="M3" s="153" t="s">
        <v>7</v>
      </c>
      <c r="N3" s="153"/>
      <c r="O3" s="151" t="s">
        <v>8</v>
      </c>
      <c r="P3" s="151"/>
      <c r="Q3" s="151" t="s">
        <v>9</v>
      </c>
      <c r="R3" s="151"/>
      <c r="S3" s="151" t="s">
        <v>12</v>
      </c>
      <c r="T3" s="151"/>
      <c r="U3" s="151" t="s">
        <v>15</v>
      </c>
      <c r="V3" s="144" t="s">
        <v>16</v>
      </c>
    </row>
    <row r="4" spans="1:22" ht="15.75" thickBot="1" x14ac:dyDescent="0.3">
      <c r="A4" s="148"/>
      <c r="B4" s="150"/>
      <c r="C4" s="152"/>
      <c r="D4" s="152"/>
      <c r="E4" s="152"/>
      <c r="F4" s="152"/>
      <c r="G4" s="31" t="s">
        <v>13</v>
      </c>
      <c r="H4" s="31" t="s">
        <v>14</v>
      </c>
      <c r="I4" s="31" t="s">
        <v>13</v>
      </c>
      <c r="J4" s="31" t="s">
        <v>14</v>
      </c>
      <c r="K4" s="31" t="s">
        <v>13</v>
      </c>
      <c r="L4" s="31" t="s">
        <v>14</v>
      </c>
      <c r="M4" s="31" t="s">
        <v>13</v>
      </c>
      <c r="N4" s="31" t="s">
        <v>17</v>
      </c>
      <c r="O4" s="31" t="s">
        <v>10</v>
      </c>
      <c r="P4" s="31" t="s">
        <v>11</v>
      </c>
      <c r="Q4" s="31" t="s">
        <v>10</v>
      </c>
      <c r="R4" s="31" t="s">
        <v>11</v>
      </c>
      <c r="S4" s="31" t="s">
        <v>10</v>
      </c>
      <c r="T4" s="31" t="s">
        <v>11</v>
      </c>
      <c r="U4" s="152"/>
      <c r="V4" s="145"/>
    </row>
    <row r="5" spans="1:22" x14ac:dyDescent="0.25">
      <c r="A5" s="27" t="s">
        <v>32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</row>
    <row r="6" spans="1:22" ht="15.75" thickBot="1" x14ac:dyDescent="0.3">
      <c r="A6" s="29" t="s">
        <v>22</v>
      </c>
      <c r="B6" s="19"/>
      <c r="C6" s="19"/>
      <c r="D6" s="19"/>
      <c r="E6" s="19"/>
      <c r="F6" s="20"/>
      <c r="G6" s="21"/>
      <c r="H6" s="21"/>
      <c r="I6" s="21"/>
      <c r="J6" s="21"/>
      <c r="K6" s="21"/>
      <c r="L6" s="21"/>
      <c r="M6" s="21"/>
      <c r="N6" s="21"/>
      <c r="O6" s="18"/>
      <c r="P6" s="18"/>
      <c r="Q6" s="18"/>
      <c r="R6" s="18"/>
      <c r="S6" s="18"/>
      <c r="T6" s="18"/>
      <c r="U6" s="18"/>
      <c r="V6" s="18"/>
    </row>
    <row r="7" spans="1:22" ht="15.75" thickBot="1" x14ac:dyDescent="0.3">
      <c r="A7" s="28" t="s">
        <v>33</v>
      </c>
      <c r="B7" s="13"/>
      <c r="C7" s="13"/>
      <c r="D7" s="13"/>
      <c r="E7" s="13"/>
      <c r="F7" s="14"/>
      <c r="G7" s="15"/>
      <c r="H7" s="15"/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7"/>
    </row>
  </sheetData>
  <mergeCells count="16">
    <mergeCell ref="V3:V4"/>
    <mergeCell ref="B1:V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P3"/>
    <mergeCell ref="Q3:R3"/>
    <mergeCell ref="S3:T3"/>
    <mergeCell ref="U3:U4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84E5-FC56-4108-A884-615E11E678FE}">
  <sheetPr>
    <pageSetUpPr fitToPage="1"/>
  </sheetPr>
  <dimension ref="B1:T31"/>
  <sheetViews>
    <sheetView tabSelected="1" zoomScale="110" zoomScaleNormal="110" workbookViewId="0">
      <selection activeCell="B1" sqref="B1:Q29"/>
    </sheetView>
  </sheetViews>
  <sheetFormatPr defaultRowHeight="15" x14ac:dyDescent="0.25"/>
  <cols>
    <col min="2" max="13" width="10.7109375" customWidth="1"/>
    <col min="14" max="14" width="13" customWidth="1"/>
    <col min="15" max="16" width="10.7109375" customWidth="1"/>
    <col min="17" max="17" width="11.85546875" bestFit="1" customWidth="1"/>
  </cols>
  <sheetData>
    <row r="1" spans="2:17" ht="30" customHeight="1" thickBot="1" x14ac:dyDescent="0.3">
      <c r="B1" s="158" t="s">
        <v>39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</row>
    <row r="2" spans="2:17" ht="15.75" thickBot="1" x14ac:dyDescent="0.3">
      <c r="B2" s="159" t="s">
        <v>113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1"/>
    </row>
    <row r="3" spans="2:17" ht="20.100000000000001" customHeight="1" x14ac:dyDescent="0.25">
      <c r="B3" s="162" t="s">
        <v>40</v>
      </c>
      <c r="C3" s="164" t="s">
        <v>41</v>
      </c>
      <c r="D3" s="151"/>
      <c r="E3" s="144"/>
      <c r="F3" s="164" t="s">
        <v>42</v>
      </c>
      <c r="G3" s="151"/>
      <c r="H3" s="151"/>
      <c r="I3" s="144"/>
      <c r="J3" s="164" t="s">
        <v>43</v>
      </c>
      <c r="K3" s="151"/>
      <c r="L3" s="151"/>
      <c r="M3" s="144"/>
      <c r="N3" s="164" t="s">
        <v>44</v>
      </c>
      <c r="O3" s="151"/>
      <c r="P3" s="151"/>
      <c r="Q3" s="144"/>
    </row>
    <row r="4" spans="2:17" ht="15.75" thickBot="1" x14ac:dyDescent="0.3">
      <c r="B4" s="163"/>
      <c r="C4" s="51" t="s">
        <v>81</v>
      </c>
      <c r="D4" s="31" t="s">
        <v>45</v>
      </c>
      <c r="E4" s="52" t="s">
        <v>46</v>
      </c>
      <c r="F4" s="51" t="s">
        <v>84</v>
      </c>
      <c r="G4" s="31" t="s">
        <v>83</v>
      </c>
      <c r="H4" s="49" t="s">
        <v>82</v>
      </c>
      <c r="I4" s="48" t="s">
        <v>45</v>
      </c>
      <c r="J4" s="51" t="s">
        <v>84</v>
      </c>
      <c r="K4" s="31" t="s">
        <v>83</v>
      </c>
      <c r="L4" s="49" t="s">
        <v>82</v>
      </c>
      <c r="M4" s="48" t="s">
        <v>45</v>
      </c>
      <c r="N4" s="51" t="s">
        <v>84</v>
      </c>
      <c r="O4" s="31" t="s">
        <v>83</v>
      </c>
      <c r="P4" s="49" t="s">
        <v>45</v>
      </c>
      <c r="Q4" s="48" t="s">
        <v>46</v>
      </c>
    </row>
    <row r="5" spans="2:17" x14ac:dyDescent="0.25">
      <c r="B5" s="86" t="s">
        <v>48</v>
      </c>
      <c r="C5" s="120">
        <v>90000</v>
      </c>
      <c r="D5" s="121">
        <v>55000</v>
      </c>
      <c r="E5" s="122">
        <f t="shared" ref="E5:E23" si="0">SUM(C5:D5)</f>
        <v>145000</v>
      </c>
      <c r="F5" s="97"/>
      <c r="G5" s="98"/>
      <c r="H5" s="98"/>
      <c r="I5" s="99"/>
      <c r="J5" s="97"/>
      <c r="K5" s="98"/>
      <c r="L5" s="98"/>
      <c r="M5" s="99"/>
      <c r="N5" s="97"/>
      <c r="O5" s="98"/>
      <c r="P5" s="98"/>
      <c r="Q5" s="99"/>
    </row>
    <row r="6" spans="2:17" s="54" customFormat="1" x14ac:dyDescent="0.25">
      <c r="B6" s="80" t="s">
        <v>49</v>
      </c>
      <c r="C6" s="123">
        <v>0</v>
      </c>
      <c r="D6" s="124">
        <v>0</v>
      </c>
      <c r="E6" s="125">
        <f t="shared" si="0"/>
        <v>0</v>
      </c>
      <c r="F6" s="100"/>
      <c r="G6" s="101"/>
      <c r="H6" s="101"/>
      <c r="I6" s="102"/>
      <c r="J6" s="100"/>
      <c r="K6" s="101"/>
      <c r="L6" s="101"/>
      <c r="M6" s="102"/>
      <c r="N6" s="100"/>
      <c r="O6" s="101"/>
      <c r="P6" s="101"/>
      <c r="Q6" s="102"/>
    </row>
    <row r="7" spans="2:17" s="54" customFormat="1" x14ac:dyDescent="0.25">
      <c r="B7" s="80" t="s">
        <v>50</v>
      </c>
      <c r="C7" s="123">
        <v>0</v>
      </c>
      <c r="D7" s="124">
        <v>0</v>
      </c>
      <c r="E7" s="125">
        <f t="shared" si="0"/>
        <v>0</v>
      </c>
      <c r="F7" s="100"/>
      <c r="G7" s="101"/>
      <c r="H7" s="101"/>
      <c r="I7" s="102"/>
      <c r="J7" s="100"/>
      <c r="K7" s="101"/>
      <c r="L7" s="101"/>
      <c r="M7" s="102"/>
      <c r="N7" s="100"/>
      <c r="O7" s="101"/>
      <c r="P7" s="101"/>
      <c r="Q7" s="102"/>
    </row>
    <row r="8" spans="2:17" x14ac:dyDescent="0.25">
      <c r="B8" s="84" t="s">
        <v>21</v>
      </c>
      <c r="C8" s="126">
        <v>90000</v>
      </c>
      <c r="D8" s="127">
        <v>55000</v>
      </c>
      <c r="E8" s="128">
        <f t="shared" si="0"/>
        <v>145000</v>
      </c>
      <c r="F8" s="103">
        <v>0</v>
      </c>
      <c r="G8" s="104">
        <v>0</v>
      </c>
      <c r="H8" s="104">
        <v>0</v>
      </c>
      <c r="I8" s="105">
        <v>0</v>
      </c>
      <c r="J8" s="103">
        <v>0</v>
      </c>
      <c r="K8" s="104">
        <v>0</v>
      </c>
      <c r="L8" s="104">
        <v>0</v>
      </c>
      <c r="M8" s="105">
        <v>0</v>
      </c>
      <c r="N8" s="103">
        <f>C8-(F8+J8)</f>
        <v>90000</v>
      </c>
      <c r="O8" s="104">
        <v>0</v>
      </c>
      <c r="P8" s="104">
        <f>D8-I8-M8</f>
        <v>55000</v>
      </c>
      <c r="Q8" s="105">
        <f>N8+O8+P8</f>
        <v>145000</v>
      </c>
    </row>
    <row r="9" spans="2:17" x14ac:dyDescent="0.25">
      <c r="B9" s="78" t="s">
        <v>23</v>
      </c>
      <c r="C9" s="129">
        <v>300000</v>
      </c>
      <c r="D9" s="130">
        <v>110000</v>
      </c>
      <c r="E9" s="131">
        <f t="shared" si="0"/>
        <v>410000</v>
      </c>
      <c r="F9" s="103">
        <f>B!I14</f>
        <v>157365.50999999998</v>
      </c>
      <c r="G9" s="104">
        <v>0</v>
      </c>
      <c r="H9" s="104">
        <f>F9+G9</f>
        <v>157365.50999999998</v>
      </c>
      <c r="I9" s="105">
        <v>0</v>
      </c>
      <c r="J9" s="103">
        <f>B!J14</f>
        <v>0</v>
      </c>
      <c r="K9" s="104">
        <v>0</v>
      </c>
      <c r="L9" s="104">
        <f>J9+K9</f>
        <v>0</v>
      </c>
      <c r="M9" s="105">
        <v>0</v>
      </c>
      <c r="N9" s="103">
        <f t="shared" ref="N9:O21" si="1">C9-(F9+J9)</f>
        <v>142634.49000000002</v>
      </c>
      <c r="O9" s="104">
        <v>0</v>
      </c>
      <c r="P9" s="104">
        <f t="shared" ref="P9:P19" si="2">D9-I9-M9</f>
        <v>110000</v>
      </c>
      <c r="Q9" s="105">
        <f>N9+O9+P9</f>
        <v>252634.49000000002</v>
      </c>
    </row>
    <row r="10" spans="2:17" x14ac:dyDescent="0.25">
      <c r="B10" s="78" t="s">
        <v>24</v>
      </c>
      <c r="C10" s="129">
        <v>20000</v>
      </c>
      <c r="D10" s="130">
        <v>0</v>
      </c>
      <c r="E10" s="131">
        <f t="shared" si="0"/>
        <v>20000</v>
      </c>
      <c r="F10" s="103">
        <v>0</v>
      </c>
      <c r="G10" s="104">
        <v>0</v>
      </c>
      <c r="H10" s="104">
        <f>F10+G10</f>
        <v>0</v>
      </c>
      <c r="I10" s="105">
        <v>0</v>
      </c>
      <c r="J10" s="103">
        <v>0</v>
      </c>
      <c r="K10" s="104">
        <v>0</v>
      </c>
      <c r="L10" s="104">
        <v>0</v>
      </c>
      <c r="M10" s="105">
        <v>0</v>
      </c>
      <c r="N10" s="103">
        <f t="shared" si="1"/>
        <v>20000</v>
      </c>
      <c r="O10" s="104">
        <v>0</v>
      </c>
      <c r="P10" s="104">
        <v>0</v>
      </c>
      <c r="Q10" s="105">
        <f>N10+O10+P10</f>
        <v>20000</v>
      </c>
    </row>
    <row r="11" spans="2:17" s="54" customFormat="1" x14ac:dyDescent="0.25">
      <c r="B11" s="81" t="s">
        <v>51</v>
      </c>
      <c r="C11" s="132">
        <v>0</v>
      </c>
      <c r="D11" s="133">
        <v>0</v>
      </c>
      <c r="E11" s="134">
        <f t="shared" si="0"/>
        <v>0</v>
      </c>
      <c r="F11" s="106"/>
      <c r="G11" s="107"/>
      <c r="H11" s="107"/>
      <c r="I11" s="108"/>
      <c r="J11" s="106"/>
      <c r="K11" s="107"/>
      <c r="L11" s="107"/>
      <c r="M11" s="108"/>
      <c r="N11" s="109"/>
      <c r="O11" s="110"/>
      <c r="P11" s="110" t="s">
        <v>91</v>
      </c>
      <c r="Q11" s="108"/>
    </row>
    <row r="12" spans="2:17" x14ac:dyDescent="0.25">
      <c r="B12" s="78" t="s">
        <v>52</v>
      </c>
      <c r="C12" s="129">
        <v>270000</v>
      </c>
      <c r="D12" s="130">
        <v>130000</v>
      </c>
      <c r="E12" s="131">
        <f t="shared" si="0"/>
        <v>400000</v>
      </c>
      <c r="F12" s="111"/>
      <c r="G12" s="112"/>
      <c r="H12" s="112"/>
      <c r="I12" s="113"/>
      <c r="J12" s="111"/>
      <c r="K12" s="112"/>
      <c r="L12" s="112"/>
      <c r="M12" s="113"/>
      <c r="N12" s="103"/>
      <c r="O12" s="104"/>
      <c r="P12" s="104"/>
      <c r="Q12" s="113"/>
    </row>
    <row r="13" spans="2:17" x14ac:dyDescent="0.25">
      <c r="B13" s="53" t="s">
        <v>25</v>
      </c>
      <c r="C13" s="126">
        <v>50000</v>
      </c>
      <c r="D13" s="127">
        <v>50000</v>
      </c>
      <c r="E13" s="128">
        <f t="shared" si="0"/>
        <v>100000</v>
      </c>
      <c r="F13" s="103">
        <v>0</v>
      </c>
      <c r="G13" s="104">
        <v>0</v>
      </c>
      <c r="H13" s="104">
        <f>F13+G13</f>
        <v>0</v>
      </c>
      <c r="I13" s="105">
        <v>0</v>
      </c>
      <c r="J13" s="103">
        <v>0</v>
      </c>
      <c r="K13" s="104">
        <v>0</v>
      </c>
      <c r="L13" s="104">
        <v>0</v>
      </c>
      <c r="M13" s="105">
        <v>0</v>
      </c>
      <c r="N13" s="103">
        <f t="shared" si="1"/>
        <v>50000</v>
      </c>
      <c r="O13" s="104">
        <v>0</v>
      </c>
      <c r="P13" s="104">
        <f t="shared" si="2"/>
        <v>50000</v>
      </c>
      <c r="Q13" s="105">
        <f>N13+O13+P13</f>
        <v>100000</v>
      </c>
    </row>
    <row r="14" spans="2:17" x14ac:dyDescent="0.25">
      <c r="B14" s="53" t="s">
        <v>26</v>
      </c>
      <c r="C14" s="126">
        <v>220000</v>
      </c>
      <c r="D14" s="127">
        <v>80000</v>
      </c>
      <c r="E14" s="128">
        <f t="shared" si="0"/>
        <v>300000</v>
      </c>
      <c r="F14" s="103">
        <v>0</v>
      </c>
      <c r="G14" s="104">
        <v>0</v>
      </c>
      <c r="H14" s="104">
        <f>F14+G14</f>
        <v>0</v>
      </c>
      <c r="I14" s="105">
        <v>0</v>
      </c>
      <c r="J14" s="103">
        <v>0</v>
      </c>
      <c r="K14" s="104">
        <v>0</v>
      </c>
      <c r="L14" s="104">
        <v>0</v>
      </c>
      <c r="M14" s="105">
        <v>0</v>
      </c>
      <c r="N14" s="103">
        <f t="shared" si="1"/>
        <v>220000</v>
      </c>
      <c r="O14" s="104">
        <v>0</v>
      </c>
      <c r="P14" s="104">
        <f t="shared" si="2"/>
        <v>80000</v>
      </c>
      <c r="Q14" s="105">
        <f>N14+O14+P14</f>
        <v>300000</v>
      </c>
    </row>
    <row r="15" spans="2:17" x14ac:dyDescent="0.25">
      <c r="B15" s="79" t="s">
        <v>53</v>
      </c>
      <c r="C15" s="129">
        <v>260000</v>
      </c>
      <c r="D15" s="130">
        <v>70000</v>
      </c>
      <c r="E15" s="131">
        <f t="shared" si="0"/>
        <v>330000</v>
      </c>
      <c r="F15" s="103"/>
      <c r="G15" s="104"/>
      <c r="H15" s="104"/>
      <c r="I15" s="105"/>
      <c r="J15" s="103"/>
      <c r="K15" s="104"/>
      <c r="L15" s="104"/>
      <c r="M15" s="105"/>
      <c r="N15" s="103"/>
      <c r="O15" s="104"/>
      <c r="P15" s="104"/>
      <c r="Q15" s="105"/>
    </row>
    <row r="16" spans="2:17" x14ac:dyDescent="0.25">
      <c r="B16" s="53" t="s">
        <v>27</v>
      </c>
      <c r="C16" s="126">
        <v>60000</v>
      </c>
      <c r="D16" s="127">
        <v>40000</v>
      </c>
      <c r="E16" s="128">
        <f t="shared" si="0"/>
        <v>100000</v>
      </c>
      <c r="F16" s="103">
        <v>0</v>
      </c>
      <c r="G16" s="104">
        <v>0</v>
      </c>
      <c r="H16" s="104">
        <f>F16+G16</f>
        <v>0</v>
      </c>
      <c r="I16" s="105">
        <v>0</v>
      </c>
      <c r="J16" s="103">
        <v>0</v>
      </c>
      <c r="K16" s="104">
        <v>0</v>
      </c>
      <c r="L16" s="104">
        <v>0</v>
      </c>
      <c r="M16" s="105">
        <v>0</v>
      </c>
      <c r="N16" s="103">
        <f t="shared" si="1"/>
        <v>60000</v>
      </c>
      <c r="O16" s="104">
        <v>0</v>
      </c>
      <c r="P16" s="104">
        <f t="shared" si="2"/>
        <v>40000</v>
      </c>
      <c r="Q16" s="105">
        <f>N16+O16+P16</f>
        <v>100000</v>
      </c>
    </row>
    <row r="17" spans="2:20" x14ac:dyDescent="0.25">
      <c r="B17" s="53" t="s">
        <v>28</v>
      </c>
      <c r="C17" s="126">
        <v>200000</v>
      </c>
      <c r="D17" s="127">
        <v>30000</v>
      </c>
      <c r="E17" s="128">
        <f t="shared" si="0"/>
        <v>230000</v>
      </c>
      <c r="F17" s="103">
        <v>0</v>
      </c>
      <c r="G17" s="104">
        <v>0</v>
      </c>
      <c r="H17" s="104">
        <f>F17+G17</f>
        <v>0</v>
      </c>
      <c r="I17" s="105">
        <v>0</v>
      </c>
      <c r="J17" s="103">
        <v>0</v>
      </c>
      <c r="K17" s="104">
        <v>0</v>
      </c>
      <c r="L17" s="104">
        <v>0</v>
      </c>
      <c r="M17" s="105">
        <v>0</v>
      </c>
      <c r="N17" s="103">
        <f t="shared" si="1"/>
        <v>200000</v>
      </c>
      <c r="O17" s="104">
        <v>0</v>
      </c>
      <c r="P17" s="104">
        <f t="shared" si="2"/>
        <v>30000</v>
      </c>
      <c r="Q17" s="105">
        <f>N17+O17+P17</f>
        <v>230000</v>
      </c>
    </row>
    <row r="18" spans="2:20" x14ac:dyDescent="0.25">
      <c r="B18" s="79" t="s">
        <v>29</v>
      </c>
      <c r="C18" s="129">
        <v>175000</v>
      </c>
      <c r="D18" s="130">
        <v>50000</v>
      </c>
      <c r="E18" s="131">
        <f t="shared" si="0"/>
        <v>225000</v>
      </c>
      <c r="F18" s="103">
        <v>0</v>
      </c>
      <c r="G18" s="104">
        <v>0</v>
      </c>
      <c r="H18" s="104">
        <f>F18+G18</f>
        <v>0</v>
      </c>
      <c r="I18" s="105">
        <v>0</v>
      </c>
      <c r="J18" s="103">
        <v>0</v>
      </c>
      <c r="K18" s="104">
        <v>0</v>
      </c>
      <c r="L18" s="104">
        <v>0</v>
      </c>
      <c r="M18" s="105">
        <v>0</v>
      </c>
      <c r="N18" s="103">
        <f t="shared" si="1"/>
        <v>175000</v>
      </c>
      <c r="O18" s="104">
        <v>0</v>
      </c>
      <c r="P18" s="104">
        <f t="shared" si="2"/>
        <v>50000</v>
      </c>
      <c r="Q18" s="105">
        <f>N18+O18+P18</f>
        <v>225000</v>
      </c>
    </row>
    <row r="19" spans="2:20" x14ac:dyDescent="0.25">
      <c r="B19" s="79" t="s">
        <v>30</v>
      </c>
      <c r="C19" s="129">
        <v>165000</v>
      </c>
      <c r="D19" s="130">
        <v>85000</v>
      </c>
      <c r="E19" s="131">
        <f t="shared" si="0"/>
        <v>250000</v>
      </c>
      <c r="F19" s="103">
        <v>0</v>
      </c>
      <c r="G19" s="104">
        <v>0</v>
      </c>
      <c r="H19" s="104">
        <f>F19+G19</f>
        <v>0</v>
      </c>
      <c r="I19" s="105"/>
      <c r="J19" s="103">
        <v>0</v>
      </c>
      <c r="K19" s="104">
        <v>0</v>
      </c>
      <c r="L19" s="104">
        <v>0</v>
      </c>
      <c r="M19" s="105">
        <v>4380.03</v>
      </c>
      <c r="N19" s="103">
        <f t="shared" si="1"/>
        <v>165000</v>
      </c>
      <c r="O19" s="104">
        <v>0</v>
      </c>
      <c r="P19" s="104">
        <f t="shared" si="2"/>
        <v>80619.97</v>
      </c>
      <c r="Q19" s="105">
        <f>N19+O19+P19</f>
        <v>245619.97</v>
      </c>
    </row>
    <row r="20" spans="2:20" x14ac:dyDescent="0.25">
      <c r="B20" s="79" t="s">
        <v>54</v>
      </c>
      <c r="C20" s="129">
        <f>SUM(C21:C22)</f>
        <v>70000</v>
      </c>
      <c r="D20" s="135">
        <v>0</v>
      </c>
      <c r="E20" s="131">
        <f t="shared" si="0"/>
        <v>70000</v>
      </c>
      <c r="F20" s="103"/>
      <c r="G20" s="104"/>
      <c r="H20" s="104"/>
      <c r="I20" s="105"/>
      <c r="J20" s="103"/>
      <c r="K20" s="104"/>
      <c r="L20" s="104"/>
      <c r="M20" s="105"/>
      <c r="N20" s="103"/>
      <c r="O20" s="104"/>
      <c r="P20" s="104"/>
      <c r="Q20" s="105"/>
    </row>
    <row r="21" spans="2:20" x14ac:dyDescent="0.25">
      <c r="B21" s="53" t="s">
        <v>31</v>
      </c>
      <c r="C21" s="126">
        <v>70000</v>
      </c>
      <c r="D21" s="136">
        <v>0</v>
      </c>
      <c r="E21" s="128">
        <f t="shared" si="0"/>
        <v>70000</v>
      </c>
      <c r="F21" s="103">
        <v>0</v>
      </c>
      <c r="G21" s="104">
        <v>0</v>
      </c>
      <c r="H21" s="104">
        <f>F21+G21</f>
        <v>0</v>
      </c>
      <c r="I21" s="105">
        <v>0</v>
      </c>
      <c r="J21" s="103">
        <v>0</v>
      </c>
      <c r="K21" s="104">
        <v>0</v>
      </c>
      <c r="L21" s="104">
        <v>0</v>
      </c>
      <c r="M21" s="105">
        <v>0</v>
      </c>
      <c r="N21" s="103">
        <f t="shared" si="1"/>
        <v>70000</v>
      </c>
      <c r="O21" s="104">
        <f t="shared" si="1"/>
        <v>0</v>
      </c>
      <c r="P21" s="104">
        <v>0</v>
      </c>
      <c r="Q21" s="105">
        <f>N21+O21+P21</f>
        <v>70000</v>
      </c>
    </row>
    <row r="22" spans="2:20" s="54" customFormat="1" ht="15.75" thickBot="1" x14ac:dyDescent="0.3">
      <c r="B22" s="82" t="s">
        <v>32</v>
      </c>
      <c r="C22" s="83">
        <v>0</v>
      </c>
      <c r="D22" s="137">
        <v>0</v>
      </c>
      <c r="E22" s="138">
        <f t="shared" si="0"/>
        <v>0</v>
      </c>
      <c r="F22" s="116"/>
      <c r="G22" s="117"/>
      <c r="H22" s="114"/>
      <c r="I22" s="115"/>
      <c r="J22" s="116"/>
      <c r="K22" s="117"/>
      <c r="L22" s="114"/>
      <c r="M22" s="115"/>
      <c r="N22" s="116"/>
      <c r="O22" s="117"/>
      <c r="P22" s="114"/>
      <c r="Q22" s="115"/>
    </row>
    <row r="23" spans="2:20" ht="15.75" thickBot="1" x14ac:dyDescent="0.3">
      <c r="B23" s="87" t="s">
        <v>47</v>
      </c>
      <c r="C23" s="139">
        <f>C5+C9+C10+C12+C15+C18+C19+C20</f>
        <v>1350000</v>
      </c>
      <c r="D23" s="139">
        <f>D5+D9+D10+D12+D15+D18+D19+D20</f>
        <v>500000</v>
      </c>
      <c r="E23" s="140">
        <f t="shared" si="0"/>
        <v>1850000</v>
      </c>
      <c r="F23" s="118">
        <f t="shared" ref="F23:M23" si="3">SUM(F5:F22)</f>
        <v>157365.50999999998</v>
      </c>
      <c r="G23" s="118">
        <f t="shared" si="3"/>
        <v>0</v>
      </c>
      <c r="H23" s="118">
        <f t="shared" si="3"/>
        <v>157365.50999999998</v>
      </c>
      <c r="I23" s="119">
        <f t="shared" si="3"/>
        <v>0</v>
      </c>
      <c r="J23" s="118">
        <f t="shared" si="3"/>
        <v>0</v>
      </c>
      <c r="K23" s="118">
        <f t="shared" si="3"/>
        <v>0</v>
      </c>
      <c r="L23" s="118">
        <f t="shared" si="3"/>
        <v>0</v>
      </c>
      <c r="M23" s="119">
        <f t="shared" si="3"/>
        <v>4380.03</v>
      </c>
      <c r="N23" s="118">
        <f>675000-F23-J23</f>
        <v>517634.49</v>
      </c>
      <c r="O23" s="118">
        <f>675000-G23-K23</f>
        <v>675000</v>
      </c>
      <c r="P23" s="118">
        <f>D23-I23-M23</f>
        <v>495619.97</v>
      </c>
      <c r="Q23" s="119">
        <f>SUM(N23:P23)</f>
        <v>1688254.46</v>
      </c>
      <c r="T23" t="s">
        <v>98</v>
      </c>
    </row>
    <row r="24" spans="2:20" x14ac:dyDescent="0.25">
      <c r="B24" s="55"/>
    </row>
    <row r="25" spans="2:20" ht="15.75" thickBot="1" x14ac:dyDescent="0.3">
      <c r="B25" s="55" t="s">
        <v>55</v>
      </c>
      <c r="G25" s="55" t="s">
        <v>87</v>
      </c>
    </row>
    <row r="26" spans="2:20" x14ac:dyDescent="0.25">
      <c r="C26" s="88">
        <v>0</v>
      </c>
      <c r="D26" t="s">
        <v>56</v>
      </c>
      <c r="G26" s="92" t="s">
        <v>88</v>
      </c>
      <c r="H26" s="93" t="s">
        <v>85</v>
      </c>
      <c r="I26" s="93"/>
      <c r="J26" s="93"/>
      <c r="K26" s="94"/>
      <c r="L26" s="93"/>
      <c r="M26" s="93"/>
      <c r="N26" s="93"/>
      <c r="O26" s="93"/>
      <c r="P26" s="93"/>
      <c r="Q26" s="93"/>
    </row>
    <row r="27" spans="2:20" ht="15.75" customHeight="1" thickBot="1" x14ac:dyDescent="0.3">
      <c r="C27" s="89" t="s">
        <v>84</v>
      </c>
      <c r="D27" t="s">
        <v>86</v>
      </c>
      <c r="G27" s="96" t="s">
        <v>89</v>
      </c>
      <c r="H27" s="155" t="s">
        <v>90</v>
      </c>
      <c r="I27" s="155"/>
      <c r="J27" s="155"/>
      <c r="K27" s="155"/>
      <c r="L27" s="155"/>
      <c r="M27" s="155"/>
      <c r="N27" s="155"/>
      <c r="O27" s="155"/>
      <c r="P27" s="155"/>
      <c r="Q27" s="155"/>
    </row>
    <row r="28" spans="2:20" ht="15.75" thickBot="1" x14ac:dyDescent="0.3">
      <c r="C28" s="89" t="s">
        <v>83</v>
      </c>
      <c r="D28" t="s">
        <v>57</v>
      </c>
      <c r="H28" s="156"/>
      <c r="I28" s="156"/>
      <c r="J28" s="156"/>
      <c r="K28" s="156"/>
      <c r="L28" s="156"/>
      <c r="M28" s="156"/>
      <c r="N28" s="156"/>
      <c r="O28" s="156"/>
      <c r="P28" s="156"/>
      <c r="Q28" s="156"/>
    </row>
    <row r="29" spans="2:20" ht="15.75" thickBot="1" x14ac:dyDescent="0.3">
      <c r="C29" s="91" t="s">
        <v>45</v>
      </c>
      <c r="D29" t="s">
        <v>58</v>
      </c>
      <c r="G29" s="93"/>
      <c r="H29" s="157"/>
      <c r="I29" s="157"/>
      <c r="J29" s="157"/>
      <c r="K29" s="157"/>
      <c r="L29" s="157"/>
      <c r="M29" s="157"/>
      <c r="N29" s="157"/>
      <c r="O29" s="157"/>
      <c r="P29" s="157"/>
      <c r="Q29" s="157"/>
    </row>
    <row r="30" spans="2:20" x14ac:dyDescent="0.25">
      <c r="C30" s="90"/>
      <c r="H30" s="95"/>
      <c r="I30" s="95"/>
      <c r="J30" s="95"/>
      <c r="K30" s="95"/>
      <c r="L30" s="95"/>
      <c r="M30" s="95"/>
      <c r="N30" s="95"/>
      <c r="O30" s="95"/>
      <c r="P30" s="95"/>
      <c r="Q30" s="95"/>
    </row>
    <row r="31" spans="2:20" x14ac:dyDescent="0.25">
      <c r="L31" s="85"/>
      <c r="M31" s="85"/>
    </row>
  </sheetData>
  <mergeCells count="8">
    <mergeCell ref="H27:Q29"/>
    <mergeCell ref="B1:Q1"/>
    <mergeCell ref="B2:Q2"/>
    <mergeCell ref="B3:B4"/>
    <mergeCell ref="C3:E3"/>
    <mergeCell ref="F3:I3"/>
    <mergeCell ref="J3:M3"/>
    <mergeCell ref="N3:Q3"/>
  </mergeCells>
  <printOptions horizontalCentered="1" verticalCentered="1"/>
  <pageMargins left="0" right="0" top="0" bottom="0" header="0" footer="0"/>
  <pageSetup paperSize="9" scale="70" fitToHeight="0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A3</vt:lpstr>
      <vt:lpstr>B</vt:lpstr>
      <vt:lpstr>C</vt:lpstr>
      <vt:lpstr>E1</vt:lpstr>
      <vt:lpstr>E2</vt:lpstr>
      <vt:lpstr>F1</vt:lpstr>
      <vt:lpstr>F2</vt:lpstr>
      <vt:lpstr>G</vt:lpstr>
      <vt:lpstr>H</vt:lpstr>
      <vt:lpstr>I1</vt:lpstr>
      <vt:lpstr>I2</vt:lpstr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Avila</dc:creator>
  <cp:lastModifiedBy>Priscila Souza Gyenge</cp:lastModifiedBy>
  <cp:lastPrinted>2026-03-31T23:17:45Z</cp:lastPrinted>
  <dcterms:created xsi:type="dcterms:W3CDTF">2022-06-22T14:48:52Z</dcterms:created>
  <dcterms:modified xsi:type="dcterms:W3CDTF">2026-03-31T23:17:53Z</dcterms:modified>
</cp:coreProperties>
</file>