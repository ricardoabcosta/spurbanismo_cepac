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SPURBSP01\DGO_Monitoramento\0_07_OUC_FARIA-LIMA\02_Estoque-OUCFL\2026\"/>
    </mc:Choice>
  </mc:AlternateContent>
  <xr:revisionPtr revIDLastSave="0" documentId="8_{CC5090C9-9E52-4111-9E6D-BFE4D658DA2E}" xr6:coauthVersionLast="47" xr6:coauthVersionMax="47" xr10:uidLastSave="{00000000-0000-0000-0000-000000000000}"/>
  <bookViews>
    <workbookView xWindow="28680" yWindow="660" windowWidth="24240" windowHeight="13140" activeTab="3" xr2:uid="{951A938A-0589-491B-94E9-153B40AA28BD}"/>
  </bookViews>
  <sheets>
    <sheet name="Consolidado_OUC-FL" sheetId="4" r:id="rId1"/>
    <sheet name="5_18175" sheetId="12" r:id="rId2"/>
    <sheet name="1_controle_codigo" sheetId="5" r:id="rId3"/>
    <sheet name="2_CONTROLE_ESTOQUE" sheetId="11" r:id="rId4"/>
    <sheet name="3_controle_certidoes" sheetId="7" r:id="rId5"/>
    <sheet name="4_resumo_propostas" sheetId="8" r:id="rId6"/>
    <sheet name="METADADOS" sheetId="9" r:id="rId7"/>
    <sheet name="lista_suspensa" sheetId="10" r:id="rId8"/>
  </sheets>
  <definedNames>
    <definedName name="_xlnm._FilterDatabase" localSheetId="2" hidden="1">'1_controle_codigo'!$A$1:$K$572</definedName>
    <definedName name="_xlnm._FilterDatabase" localSheetId="3" hidden="1">'2_CONTROLE_ESTOQUE'!$A$1:$AK$5000</definedName>
    <definedName name="_xlnm.Print_Area" localSheetId="0">'Consolidado_OUC-FL'!$F$6:$S$37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2" i="4" l="1"/>
  <c r="L22" i="4"/>
  <c r="M21" i="4"/>
  <c r="L21" i="4"/>
  <c r="M20" i="4"/>
  <c r="L20" i="4"/>
  <c r="M19" i="4"/>
  <c r="L19" i="4"/>
  <c r="G31" i="4"/>
  <c r="K12" i="12" l="1"/>
  <c r="S10" i="12"/>
  <c r="S8" i="12"/>
  <c r="R10" i="12"/>
  <c r="R9" i="12"/>
  <c r="R8" i="12"/>
  <c r="R7" i="12"/>
  <c r="R11" i="12" s="1"/>
  <c r="S7" i="12"/>
  <c r="S260" i="11"/>
  <c r="T5000" i="11"/>
  <c r="T270" i="11"/>
  <c r="N12" i="4"/>
  <c r="S11" i="12" l="1"/>
  <c r="AB283" i="11"/>
  <c r="AI284" i="11"/>
  <c r="AB284" i="11"/>
  <c r="W284" i="11"/>
  <c r="N10" i="4"/>
  <c r="T4999" i="11" l="1"/>
  <c r="Q4999" i="11"/>
  <c r="L12" i="4"/>
  <c r="M12" i="4"/>
  <c r="M11" i="4"/>
  <c r="L11" i="4"/>
  <c r="L10" i="4"/>
  <c r="M10" i="4"/>
  <c r="M9" i="4"/>
  <c r="J12" i="4"/>
  <c r="K11" i="4"/>
  <c r="J11" i="4"/>
  <c r="K10" i="4"/>
  <c r="K9" i="4"/>
  <c r="J9" i="4"/>
  <c r="W262" i="11" l="1"/>
  <c r="W270" i="11"/>
  <c r="AB270" i="11"/>
  <c r="Z260" i="11"/>
  <c r="K20" i="4"/>
  <c r="J10" i="4"/>
  <c r="J20" i="4" s="1"/>
  <c r="T271" i="11"/>
  <c r="T260" i="11"/>
  <c r="N20" i="4"/>
  <c r="N22" i="4"/>
  <c r="O22" i="4"/>
  <c r="N21" i="4"/>
  <c r="O20" i="4"/>
  <c r="O21" i="4"/>
  <c r="N19" i="4"/>
  <c r="O19" i="4"/>
  <c r="W260" i="11" l="1"/>
  <c r="V260" i="11"/>
  <c r="K19" i="4"/>
  <c r="AB263" i="11"/>
  <c r="W263" i="11"/>
  <c r="AB279" i="11"/>
  <c r="W279" i="11"/>
  <c r="AB278" i="11"/>
  <c r="W278" i="11"/>
  <c r="AB277" i="11"/>
  <c r="W277" i="11"/>
  <c r="AB276" i="11"/>
  <c r="W276" i="11"/>
  <c r="AB275" i="11"/>
  <c r="W275" i="11"/>
  <c r="AB274" i="11"/>
  <c r="AB273" i="11"/>
  <c r="W273" i="11"/>
  <c r="AB272" i="11"/>
  <c r="W272" i="11"/>
  <c r="AB271" i="11"/>
  <c r="AB269" i="11"/>
  <c r="W269" i="11"/>
  <c r="AB268" i="11"/>
  <c r="W268" i="11"/>
  <c r="AB267" i="11"/>
  <c r="W267" i="11"/>
  <c r="AB266" i="11"/>
  <c r="W266" i="11"/>
  <c r="AB265" i="11"/>
  <c r="W265" i="11"/>
  <c r="AB264" i="11"/>
  <c r="W264" i="11"/>
  <c r="AB262" i="11"/>
  <c r="AB261" i="11"/>
  <c r="W261" i="11"/>
  <c r="AB260" i="11"/>
  <c r="AH259" i="11"/>
  <c r="AB259" i="11"/>
  <c r="W259" i="11"/>
  <c r="AB18" i="11" l="1"/>
  <c r="W18" i="11"/>
  <c r="AB256" i="11"/>
  <c r="W256" i="11"/>
  <c r="AB255" i="11"/>
  <c r="W255" i="11"/>
  <c r="AB254" i="11"/>
  <c r="W254" i="11"/>
  <c r="AB253" i="11"/>
  <c r="W253" i="11"/>
  <c r="AB252" i="11"/>
  <c r="W252" i="11"/>
  <c r="AH251" i="11"/>
  <c r="AB251" i="11"/>
  <c r="W251" i="11"/>
  <c r="AH250" i="11" l="1"/>
  <c r="AH249" i="11"/>
  <c r="AH248" i="11"/>
  <c r="AB248" i="11"/>
  <c r="W248" i="11"/>
  <c r="AH247" i="11"/>
  <c r="AB247" i="11"/>
  <c r="W247" i="11"/>
  <c r="AH4998" i="11" l="1"/>
  <c r="AB4998" i="11"/>
  <c r="W4998" i="11"/>
  <c r="AH4997" i="11"/>
  <c r="AB4997" i="11"/>
  <c r="W4997" i="11"/>
  <c r="AH4996" i="11"/>
  <c r="AB4996" i="11"/>
  <c r="W4996" i="11"/>
  <c r="AH4995" i="11"/>
  <c r="AB4995" i="11"/>
  <c r="W4995" i="11"/>
  <c r="AH4994" i="11"/>
  <c r="AB4994" i="11"/>
  <c r="W4994" i="11"/>
  <c r="AH4993" i="11"/>
  <c r="AB4993" i="11"/>
  <c r="W4993" i="11"/>
  <c r="AH4992" i="11"/>
  <c r="AB4992" i="11"/>
  <c r="W4992" i="11"/>
  <c r="AH4991" i="11"/>
  <c r="AB4991" i="11"/>
  <c r="W4991" i="11"/>
  <c r="AH4990" i="11"/>
  <c r="AB4990" i="11"/>
  <c r="W4990" i="11"/>
  <c r="AH4989" i="11"/>
  <c r="AB4989" i="11"/>
  <c r="W4989" i="11"/>
  <c r="AH4988" i="11"/>
  <c r="AB4988" i="11"/>
  <c r="W4988" i="11"/>
  <c r="AH4987" i="11"/>
  <c r="AB4987" i="11"/>
  <c r="W4987" i="11"/>
  <c r="AH4986" i="11"/>
  <c r="AB4986" i="11"/>
  <c r="W4986" i="11"/>
  <c r="AH4985" i="11"/>
  <c r="AB4985" i="11"/>
  <c r="W4985" i="11"/>
  <c r="AH4984" i="11"/>
  <c r="AB4984" i="11"/>
  <c r="W4984" i="11"/>
  <c r="AH4983" i="11"/>
  <c r="AB4983" i="11"/>
  <c r="W4983" i="11"/>
  <c r="AH4982" i="11"/>
  <c r="AB4982" i="11"/>
  <c r="W4982" i="11"/>
  <c r="AH4981" i="11"/>
  <c r="AB4981" i="11"/>
  <c r="W4981" i="11"/>
  <c r="AH4980" i="11"/>
  <c r="AB4980" i="11"/>
  <c r="W4980" i="11"/>
  <c r="AH4979" i="11"/>
  <c r="AB4979" i="11"/>
  <c r="W4979" i="11"/>
  <c r="AH4978" i="11"/>
  <c r="AB4978" i="11"/>
  <c r="W4978" i="11"/>
  <c r="AH4977" i="11"/>
  <c r="AB4977" i="11"/>
  <c r="W4977" i="11"/>
  <c r="AH4976" i="11"/>
  <c r="AB4976" i="11"/>
  <c r="W4976" i="11"/>
  <c r="AH4975" i="11"/>
  <c r="AB4975" i="11"/>
  <c r="W4975" i="11"/>
  <c r="AH4974" i="11"/>
  <c r="AB4974" i="11"/>
  <c r="W4974" i="11"/>
  <c r="AH4973" i="11"/>
  <c r="AB4973" i="11"/>
  <c r="W4973" i="11"/>
  <c r="AH4972" i="11"/>
  <c r="AB4972" i="11"/>
  <c r="W4972" i="11"/>
  <c r="AH4971" i="11"/>
  <c r="AB4971" i="11"/>
  <c r="W4971" i="11"/>
  <c r="AH4970" i="11"/>
  <c r="AB4970" i="11"/>
  <c r="W4970" i="11"/>
  <c r="AH4969" i="11"/>
  <c r="AB4969" i="11"/>
  <c r="W4969" i="11"/>
  <c r="AH4968" i="11"/>
  <c r="AB4968" i="11"/>
  <c r="W4968" i="11"/>
  <c r="AH4967" i="11"/>
  <c r="AB4967" i="11"/>
  <c r="W4967" i="11"/>
  <c r="AH4966" i="11"/>
  <c r="AB4966" i="11"/>
  <c r="W4966" i="11"/>
  <c r="AH4965" i="11"/>
  <c r="AB4965" i="11"/>
  <c r="W4965" i="11"/>
  <c r="AH4964" i="11"/>
  <c r="AB4964" i="11"/>
  <c r="W4964" i="11"/>
  <c r="AH4963" i="11"/>
  <c r="AB4963" i="11"/>
  <c r="W4963" i="11"/>
  <c r="AH4962" i="11"/>
  <c r="AB4962" i="11"/>
  <c r="W4962" i="11"/>
  <c r="AH4961" i="11"/>
  <c r="AB4961" i="11"/>
  <c r="W4961" i="11"/>
  <c r="AH4960" i="11"/>
  <c r="AB4960" i="11"/>
  <c r="W4960" i="11"/>
  <c r="AH4959" i="11"/>
  <c r="AB4959" i="11"/>
  <c r="W4959" i="11"/>
  <c r="AH4958" i="11"/>
  <c r="AB4958" i="11"/>
  <c r="W4958" i="11"/>
  <c r="AH4957" i="11"/>
  <c r="AB4957" i="11"/>
  <c r="W4957" i="11"/>
  <c r="AH4956" i="11"/>
  <c r="AB4956" i="11"/>
  <c r="W4956" i="11"/>
  <c r="AH4955" i="11"/>
  <c r="AB4955" i="11"/>
  <c r="W4955" i="11"/>
  <c r="AH4954" i="11"/>
  <c r="AB4954" i="11"/>
  <c r="W4954" i="11"/>
  <c r="AH4953" i="11"/>
  <c r="AB4953" i="11"/>
  <c r="W4953" i="11"/>
  <c r="AH4952" i="11"/>
  <c r="AB4952" i="11"/>
  <c r="W4952" i="11"/>
  <c r="AH4951" i="11"/>
  <c r="AB4951" i="11"/>
  <c r="W4951" i="11"/>
  <c r="AH4950" i="11"/>
  <c r="AB4950" i="11"/>
  <c r="W4950" i="11"/>
  <c r="AH4949" i="11"/>
  <c r="AB4949" i="11"/>
  <c r="W4949" i="11"/>
  <c r="AH4948" i="11"/>
  <c r="AB4948" i="11"/>
  <c r="W4948" i="11"/>
  <c r="AH4947" i="11"/>
  <c r="AB4947" i="11"/>
  <c r="W4947" i="11"/>
  <c r="AH4946" i="11"/>
  <c r="AB4946" i="11"/>
  <c r="W4946" i="11"/>
  <c r="AH4945" i="11"/>
  <c r="AB4945" i="11"/>
  <c r="W4945" i="11"/>
  <c r="AH4944" i="11"/>
  <c r="AB4944" i="11"/>
  <c r="W4944" i="11"/>
  <c r="AH4943" i="11"/>
  <c r="AB4943" i="11"/>
  <c r="W4943" i="11"/>
  <c r="AH4942" i="11"/>
  <c r="AB4942" i="11"/>
  <c r="W4942" i="11"/>
  <c r="AH4941" i="11"/>
  <c r="AB4941" i="11"/>
  <c r="W4941" i="11"/>
  <c r="AH4940" i="11"/>
  <c r="AB4940" i="11"/>
  <c r="W4940" i="11"/>
  <c r="AH4939" i="11"/>
  <c r="AB4939" i="11"/>
  <c r="W4939" i="11"/>
  <c r="AH4938" i="11"/>
  <c r="AB4938" i="11"/>
  <c r="W4938" i="11"/>
  <c r="AH4937" i="11"/>
  <c r="AB4937" i="11"/>
  <c r="W4937" i="11"/>
  <c r="AH4936" i="11"/>
  <c r="AB4936" i="11"/>
  <c r="W4936" i="11"/>
  <c r="AH4935" i="11"/>
  <c r="AB4935" i="11"/>
  <c r="W4935" i="11"/>
  <c r="AH4934" i="11"/>
  <c r="AB4934" i="11"/>
  <c r="W4934" i="11"/>
  <c r="AH4933" i="11"/>
  <c r="AB4933" i="11"/>
  <c r="W4933" i="11"/>
  <c r="AH4932" i="11"/>
  <c r="AB4932" i="11"/>
  <c r="W4932" i="11"/>
  <c r="AH4931" i="11"/>
  <c r="AB4931" i="11"/>
  <c r="W4931" i="11"/>
  <c r="AH4930" i="11"/>
  <c r="AB4930" i="11"/>
  <c r="W4930" i="11"/>
  <c r="AH4929" i="11"/>
  <c r="AB4929" i="11"/>
  <c r="W4929" i="11"/>
  <c r="AH4928" i="11"/>
  <c r="AB4928" i="11"/>
  <c r="W4928" i="11"/>
  <c r="AH4927" i="11"/>
  <c r="AB4927" i="11"/>
  <c r="W4927" i="11"/>
  <c r="AH4926" i="11"/>
  <c r="AB4926" i="11"/>
  <c r="W4926" i="11"/>
  <c r="AH4925" i="11"/>
  <c r="AB4925" i="11"/>
  <c r="W4925" i="11"/>
  <c r="AH4924" i="11"/>
  <c r="AB4924" i="11"/>
  <c r="W4924" i="11"/>
  <c r="AH4923" i="11"/>
  <c r="AB4923" i="11"/>
  <c r="W4923" i="11"/>
  <c r="AH4922" i="11"/>
  <c r="AB4922" i="11"/>
  <c r="W4922" i="11"/>
  <c r="AH4921" i="11"/>
  <c r="AB4921" i="11"/>
  <c r="W4921" i="11"/>
  <c r="AH4920" i="11"/>
  <c r="AB4920" i="11"/>
  <c r="W4920" i="11"/>
  <c r="AH4919" i="11"/>
  <c r="AB4919" i="11"/>
  <c r="W4919" i="11"/>
  <c r="AH4918" i="11"/>
  <c r="AB4918" i="11"/>
  <c r="W4918" i="11"/>
  <c r="AH4917" i="11"/>
  <c r="AB4917" i="11"/>
  <c r="W4917" i="11"/>
  <c r="AH4916" i="11"/>
  <c r="AB4916" i="11"/>
  <c r="W4916" i="11"/>
  <c r="AH4915" i="11"/>
  <c r="AB4915" i="11"/>
  <c r="W4915" i="11"/>
  <c r="AH4914" i="11"/>
  <c r="AB4914" i="11"/>
  <c r="W4914" i="11"/>
  <c r="AH4913" i="11"/>
  <c r="AB4913" i="11"/>
  <c r="W4913" i="11"/>
  <c r="AH4912" i="11"/>
  <c r="AB4912" i="11"/>
  <c r="W4912" i="11"/>
  <c r="AH4911" i="11"/>
  <c r="AB4911" i="11"/>
  <c r="W4911" i="11"/>
  <c r="AH4910" i="11"/>
  <c r="AB4910" i="11"/>
  <c r="W4910" i="11"/>
  <c r="AH4909" i="11"/>
  <c r="AB4909" i="11"/>
  <c r="W4909" i="11"/>
  <c r="AH4908" i="11"/>
  <c r="AB4908" i="11"/>
  <c r="W4908" i="11"/>
  <c r="AH4907" i="11"/>
  <c r="AB4907" i="11"/>
  <c r="W4907" i="11"/>
  <c r="AH4906" i="11"/>
  <c r="AB4906" i="11"/>
  <c r="W4906" i="11"/>
  <c r="AH4905" i="11"/>
  <c r="AB4905" i="11"/>
  <c r="W4905" i="11"/>
  <c r="AH4904" i="11"/>
  <c r="AB4904" i="11"/>
  <c r="W4904" i="11"/>
  <c r="AH4903" i="11"/>
  <c r="AB4903" i="11"/>
  <c r="W4903" i="11"/>
  <c r="AH4902" i="11"/>
  <c r="AB4902" i="11"/>
  <c r="W4902" i="11"/>
  <c r="AH4901" i="11"/>
  <c r="AB4901" i="11"/>
  <c r="W4901" i="11"/>
  <c r="AH4900" i="11"/>
  <c r="AB4900" i="11"/>
  <c r="W4900" i="11"/>
  <c r="AH4899" i="11"/>
  <c r="AB4899" i="11"/>
  <c r="W4899" i="11"/>
  <c r="AH4898" i="11"/>
  <c r="AB4898" i="11"/>
  <c r="W4898" i="11"/>
  <c r="AH4897" i="11"/>
  <c r="AB4897" i="11"/>
  <c r="W4897" i="11"/>
  <c r="AH4896" i="11"/>
  <c r="AB4896" i="11"/>
  <c r="W4896" i="11"/>
  <c r="AH4895" i="11"/>
  <c r="AB4895" i="11"/>
  <c r="W4895" i="11"/>
  <c r="AH4894" i="11"/>
  <c r="AB4894" i="11"/>
  <c r="W4894" i="11"/>
  <c r="AH4893" i="11"/>
  <c r="AB4893" i="11"/>
  <c r="W4893" i="11"/>
  <c r="AH4892" i="11"/>
  <c r="AB4892" i="11"/>
  <c r="W4892" i="11"/>
  <c r="AH4891" i="11"/>
  <c r="AB4891" i="11"/>
  <c r="W4891" i="11"/>
  <c r="AH4890" i="11"/>
  <c r="AB4890" i="11"/>
  <c r="W4890" i="11"/>
  <c r="AH4889" i="11"/>
  <c r="AB4889" i="11"/>
  <c r="W4889" i="11"/>
  <c r="AH4888" i="11"/>
  <c r="AB4888" i="11"/>
  <c r="W4888" i="11"/>
  <c r="AH4887" i="11"/>
  <c r="AB4887" i="11"/>
  <c r="W4887" i="11"/>
  <c r="AH4886" i="11"/>
  <c r="AB4886" i="11"/>
  <c r="W4886" i="11"/>
  <c r="AH4885" i="11"/>
  <c r="AB4885" i="11"/>
  <c r="W4885" i="11"/>
  <c r="AH4884" i="11"/>
  <c r="AB4884" i="11"/>
  <c r="W4884" i="11"/>
  <c r="AH4883" i="11"/>
  <c r="AB4883" i="11"/>
  <c r="W4883" i="11"/>
  <c r="AH4882" i="11"/>
  <c r="AB4882" i="11"/>
  <c r="W4882" i="11"/>
  <c r="AH4881" i="11"/>
  <c r="AB4881" i="11"/>
  <c r="W4881" i="11"/>
  <c r="AH4880" i="11"/>
  <c r="AB4880" i="11"/>
  <c r="W4880" i="11"/>
  <c r="AH4879" i="11"/>
  <c r="AB4879" i="11"/>
  <c r="W4879" i="11"/>
  <c r="AH4878" i="11"/>
  <c r="AB4878" i="11"/>
  <c r="W4878" i="11"/>
  <c r="AH4877" i="11"/>
  <c r="AB4877" i="11"/>
  <c r="W4877" i="11"/>
  <c r="AH4876" i="11"/>
  <c r="AB4876" i="11"/>
  <c r="W4876" i="11"/>
  <c r="AH4875" i="11"/>
  <c r="AB4875" i="11"/>
  <c r="W4875" i="11"/>
  <c r="AH4874" i="11"/>
  <c r="AB4874" i="11"/>
  <c r="W4874" i="11"/>
  <c r="AH4873" i="11"/>
  <c r="AB4873" i="11"/>
  <c r="W4873" i="11"/>
  <c r="AH4872" i="11"/>
  <c r="AB4872" i="11"/>
  <c r="W4872" i="11"/>
  <c r="AH4871" i="11"/>
  <c r="AB4871" i="11"/>
  <c r="W4871" i="11"/>
  <c r="AH4870" i="11"/>
  <c r="AB4870" i="11"/>
  <c r="W4870" i="11"/>
  <c r="AH4869" i="11"/>
  <c r="AB4869" i="11"/>
  <c r="W4869" i="11"/>
  <c r="AH4868" i="11"/>
  <c r="AB4868" i="11"/>
  <c r="W4868" i="11"/>
  <c r="AH4867" i="11"/>
  <c r="AB4867" i="11"/>
  <c r="W4867" i="11"/>
  <c r="AH4866" i="11"/>
  <c r="AB4866" i="11"/>
  <c r="W4866" i="11"/>
  <c r="AH4865" i="11"/>
  <c r="AB4865" i="11"/>
  <c r="W4865" i="11"/>
  <c r="AH4864" i="11"/>
  <c r="AB4864" i="11"/>
  <c r="W4864" i="11"/>
  <c r="AH4863" i="11"/>
  <c r="AB4863" i="11"/>
  <c r="W4863" i="11"/>
  <c r="AH4862" i="11"/>
  <c r="AB4862" i="11"/>
  <c r="W4862" i="11"/>
  <c r="AH4861" i="11"/>
  <c r="AB4861" i="11"/>
  <c r="W4861" i="11"/>
  <c r="AH4860" i="11"/>
  <c r="AB4860" i="11"/>
  <c r="W4860" i="11"/>
  <c r="AH4859" i="11"/>
  <c r="AB4859" i="11"/>
  <c r="W4859" i="11"/>
  <c r="AH4858" i="11"/>
  <c r="AB4858" i="11"/>
  <c r="W4858" i="11"/>
  <c r="AH4857" i="11"/>
  <c r="AB4857" i="11"/>
  <c r="W4857" i="11"/>
  <c r="AH4856" i="11"/>
  <c r="AB4856" i="11"/>
  <c r="W4856" i="11"/>
  <c r="AH4855" i="11"/>
  <c r="AB4855" i="11"/>
  <c r="W4855" i="11"/>
  <c r="AH4854" i="11"/>
  <c r="AB4854" i="11"/>
  <c r="W4854" i="11"/>
  <c r="AH4853" i="11"/>
  <c r="AB4853" i="11"/>
  <c r="W4853" i="11"/>
  <c r="AH4852" i="11"/>
  <c r="AB4852" i="11"/>
  <c r="W4852" i="11"/>
  <c r="AH4851" i="11"/>
  <c r="AB4851" i="11"/>
  <c r="W4851" i="11"/>
  <c r="AH4850" i="11"/>
  <c r="AB4850" i="11"/>
  <c r="W4850" i="11"/>
  <c r="AH4849" i="11"/>
  <c r="AB4849" i="11"/>
  <c r="W4849" i="11"/>
  <c r="AH4848" i="11"/>
  <c r="AB4848" i="11"/>
  <c r="W4848" i="11"/>
  <c r="AH4847" i="11"/>
  <c r="AB4847" i="11"/>
  <c r="W4847" i="11"/>
  <c r="AH4846" i="11"/>
  <c r="AB4846" i="11"/>
  <c r="W4846" i="11"/>
  <c r="AH4845" i="11"/>
  <c r="AB4845" i="11"/>
  <c r="W4845" i="11"/>
  <c r="AH4844" i="11"/>
  <c r="AB4844" i="11"/>
  <c r="W4844" i="11"/>
  <c r="AH4843" i="11"/>
  <c r="AB4843" i="11"/>
  <c r="W4843" i="11"/>
  <c r="AH4842" i="11"/>
  <c r="AB4842" i="11"/>
  <c r="W4842" i="11"/>
  <c r="AH4841" i="11"/>
  <c r="AB4841" i="11"/>
  <c r="W4841" i="11"/>
  <c r="AH4840" i="11"/>
  <c r="AB4840" i="11"/>
  <c r="W4840" i="11"/>
  <c r="AH4839" i="11"/>
  <c r="AB4839" i="11"/>
  <c r="W4839" i="11"/>
  <c r="AH4838" i="11"/>
  <c r="AB4838" i="11"/>
  <c r="W4838" i="11"/>
  <c r="AH4837" i="11"/>
  <c r="AB4837" i="11"/>
  <c r="W4837" i="11"/>
  <c r="AH4836" i="11"/>
  <c r="AB4836" i="11"/>
  <c r="W4836" i="11"/>
  <c r="AH4835" i="11"/>
  <c r="AB4835" i="11"/>
  <c r="W4835" i="11"/>
  <c r="AH4834" i="11"/>
  <c r="AB4834" i="11"/>
  <c r="W4834" i="11"/>
  <c r="AH4833" i="11"/>
  <c r="AB4833" i="11"/>
  <c r="W4833" i="11"/>
  <c r="AH4832" i="11"/>
  <c r="AB4832" i="11"/>
  <c r="W4832" i="11"/>
  <c r="AH4831" i="11"/>
  <c r="AB4831" i="11"/>
  <c r="W4831" i="11"/>
  <c r="AH4830" i="11"/>
  <c r="AB4830" i="11"/>
  <c r="W4830" i="11"/>
  <c r="AH4829" i="11"/>
  <c r="AB4829" i="11"/>
  <c r="W4829" i="11"/>
  <c r="AH4828" i="11"/>
  <c r="AB4828" i="11"/>
  <c r="W4828" i="11"/>
  <c r="AH4827" i="11"/>
  <c r="AB4827" i="11"/>
  <c r="W4827" i="11"/>
  <c r="AH4826" i="11"/>
  <c r="AB4826" i="11"/>
  <c r="W4826" i="11"/>
  <c r="AH4825" i="11"/>
  <c r="AB4825" i="11"/>
  <c r="W4825" i="11"/>
  <c r="AH4824" i="11"/>
  <c r="AB4824" i="11"/>
  <c r="W4824" i="11"/>
  <c r="AH4823" i="11"/>
  <c r="AB4823" i="11"/>
  <c r="W4823" i="11"/>
  <c r="AH4822" i="11"/>
  <c r="AB4822" i="11"/>
  <c r="W4822" i="11"/>
  <c r="AH4821" i="11"/>
  <c r="AB4821" i="11"/>
  <c r="W4821" i="11"/>
  <c r="AH4820" i="11"/>
  <c r="AB4820" i="11"/>
  <c r="W4820" i="11"/>
  <c r="AH4819" i="11"/>
  <c r="AB4819" i="11"/>
  <c r="W4819" i="11"/>
  <c r="AH4818" i="11"/>
  <c r="AB4818" i="11"/>
  <c r="W4818" i="11"/>
  <c r="AH4817" i="11"/>
  <c r="AB4817" i="11"/>
  <c r="W4817" i="11"/>
  <c r="AH4816" i="11"/>
  <c r="AB4816" i="11"/>
  <c r="W4816" i="11"/>
  <c r="AH4815" i="11"/>
  <c r="AB4815" i="11"/>
  <c r="W4815" i="11"/>
  <c r="AH4814" i="11"/>
  <c r="AB4814" i="11"/>
  <c r="W4814" i="11"/>
  <c r="AH4813" i="11"/>
  <c r="AB4813" i="11"/>
  <c r="W4813" i="11"/>
  <c r="AH4812" i="11"/>
  <c r="AB4812" i="11"/>
  <c r="W4812" i="11"/>
  <c r="AH4811" i="11"/>
  <c r="AB4811" i="11"/>
  <c r="W4811" i="11"/>
  <c r="AH4810" i="11"/>
  <c r="AB4810" i="11"/>
  <c r="W4810" i="11"/>
  <c r="AH4809" i="11"/>
  <c r="AB4809" i="11"/>
  <c r="W4809" i="11"/>
  <c r="AH4808" i="11"/>
  <c r="AB4808" i="11"/>
  <c r="W4808" i="11"/>
  <c r="AH4807" i="11"/>
  <c r="AB4807" i="11"/>
  <c r="W4807" i="11"/>
  <c r="AH4806" i="11"/>
  <c r="AB4806" i="11"/>
  <c r="W4806" i="11"/>
  <c r="AH4805" i="11"/>
  <c r="AB4805" i="11"/>
  <c r="W4805" i="11"/>
  <c r="AH4804" i="11"/>
  <c r="AB4804" i="11"/>
  <c r="W4804" i="11"/>
  <c r="AH4803" i="11"/>
  <c r="AB4803" i="11"/>
  <c r="W4803" i="11"/>
  <c r="AH4802" i="11"/>
  <c r="AB4802" i="11"/>
  <c r="W4802" i="11"/>
  <c r="AH4801" i="11"/>
  <c r="AB4801" i="11"/>
  <c r="W4801" i="11"/>
  <c r="AH4800" i="11"/>
  <c r="AB4800" i="11"/>
  <c r="W4800" i="11"/>
  <c r="AH4799" i="11"/>
  <c r="AB4799" i="11"/>
  <c r="W4799" i="11"/>
  <c r="AH4798" i="11"/>
  <c r="AB4798" i="11"/>
  <c r="W4798" i="11"/>
  <c r="AH4797" i="11"/>
  <c r="AB4797" i="11"/>
  <c r="W4797" i="11"/>
  <c r="AH4796" i="11"/>
  <c r="AB4796" i="11"/>
  <c r="W4796" i="11"/>
  <c r="AH4795" i="11"/>
  <c r="AB4795" i="11"/>
  <c r="W4795" i="11"/>
  <c r="AH4794" i="11"/>
  <c r="AB4794" i="11"/>
  <c r="W4794" i="11"/>
  <c r="AH4793" i="11"/>
  <c r="AB4793" i="11"/>
  <c r="W4793" i="11"/>
  <c r="AH4792" i="11"/>
  <c r="AB4792" i="11"/>
  <c r="W4792" i="11"/>
  <c r="AH4791" i="11"/>
  <c r="AB4791" i="11"/>
  <c r="W4791" i="11"/>
  <c r="AH4790" i="11"/>
  <c r="AB4790" i="11"/>
  <c r="W4790" i="11"/>
  <c r="AH4789" i="11"/>
  <c r="AB4789" i="11"/>
  <c r="W4789" i="11"/>
  <c r="AH4788" i="11"/>
  <c r="AB4788" i="11"/>
  <c r="W4788" i="11"/>
  <c r="AH4787" i="11"/>
  <c r="AB4787" i="11"/>
  <c r="W4787" i="11"/>
  <c r="AH4786" i="11"/>
  <c r="AB4786" i="11"/>
  <c r="W4786" i="11"/>
  <c r="AH4785" i="11"/>
  <c r="AB4785" i="11"/>
  <c r="W4785" i="11"/>
  <c r="AH4784" i="11"/>
  <c r="AB4784" i="11"/>
  <c r="W4784" i="11"/>
  <c r="AH4783" i="11"/>
  <c r="AB4783" i="11"/>
  <c r="W4783" i="11"/>
  <c r="AH4782" i="11"/>
  <c r="AB4782" i="11"/>
  <c r="W4782" i="11"/>
  <c r="AH4781" i="11"/>
  <c r="AB4781" i="11"/>
  <c r="W4781" i="11"/>
  <c r="AH4780" i="11"/>
  <c r="AB4780" i="11"/>
  <c r="W4780" i="11"/>
  <c r="AH4779" i="11"/>
  <c r="AB4779" i="11"/>
  <c r="W4779" i="11"/>
  <c r="AH4778" i="11"/>
  <c r="AB4778" i="11"/>
  <c r="W4778" i="11"/>
  <c r="AH4777" i="11"/>
  <c r="AB4777" i="11"/>
  <c r="W4777" i="11"/>
  <c r="AH4776" i="11"/>
  <c r="AB4776" i="11"/>
  <c r="W4776" i="11"/>
  <c r="AH4775" i="11"/>
  <c r="AB4775" i="11"/>
  <c r="W4775" i="11"/>
  <c r="AH4774" i="11"/>
  <c r="AB4774" i="11"/>
  <c r="W4774" i="11"/>
  <c r="AH4773" i="11"/>
  <c r="AB4773" i="11"/>
  <c r="W4773" i="11"/>
  <c r="AH4772" i="11"/>
  <c r="AB4772" i="11"/>
  <c r="W4772" i="11"/>
  <c r="AH4771" i="11"/>
  <c r="AB4771" i="11"/>
  <c r="W4771" i="11"/>
  <c r="AH4770" i="11"/>
  <c r="AB4770" i="11"/>
  <c r="W4770" i="11"/>
  <c r="AH4769" i="11"/>
  <c r="AB4769" i="11"/>
  <c r="W4769" i="11"/>
  <c r="AH4768" i="11"/>
  <c r="AB4768" i="11"/>
  <c r="W4768" i="11"/>
  <c r="AH4767" i="11"/>
  <c r="AB4767" i="11"/>
  <c r="W4767" i="11"/>
  <c r="AH4766" i="11"/>
  <c r="AB4766" i="11"/>
  <c r="W4766" i="11"/>
  <c r="AH4765" i="11"/>
  <c r="AB4765" i="11"/>
  <c r="W4765" i="11"/>
  <c r="AH4764" i="11"/>
  <c r="AB4764" i="11"/>
  <c r="W4764" i="11"/>
  <c r="AH4763" i="11"/>
  <c r="AB4763" i="11"/>
  <c r="W4763" i="11"/>
  <c r="AH4762" i="11"/>
  <c r="AB4762" i="11"/>
  <c r="W4762" i="11"/>
  <c r="AH4761" i="11"/>
  <c r="AB4761" i="11"/>
  <c r="W4761" i="11"/>
  <c r="AH4760" i="11"/>
  <c r="AB4760" i="11"/>
  <c r="W4760" i="11"/>
  <c r="AH4759" i="11"/>
  <c r="AB4759" i="11"/>
  <c r="W4759" i="11"/>
  <c r="AH4758" i="11"/>
  <c r="AB4758" i="11"/>
  <c r="W4758" i="11"/>
  <c r="AH4757" i="11"/>
  <c r="AB4757" i="11"/>
  <c r="W4757" i="11"/>
  <c r="AH4756" i="11"/>
  <c r="AB4756" i="11"/>
  <c r="W4756" i="11"/>
  <c r="AH4755" i="11"/>
  <c r="AB4755" i="11"/>
  <c r="W4755" i="11"/>
  <c r="AH4754" i="11"/>
  <c r="AB4754" i="11"/>
  <c r="W4754" i="11"/>
  <c r="AH4753" i="11"/>
  <c r="AB4753" i="11"/>
  <c r="W4753" i="11"/>
  <c r="AH4752" i="11"/>
  <c r="AB4752" i="11"/>
  <c r="W4752" i="11"/>
  <c r="AH4751" i="11"/>
  <c r="AB4751" i="11"/>
  <c r="W4751" i="11"/>
  <c r="AH4750" i="11"/>
  <c r="AB4750" i="11"/>
  <c r="W4750" i="11"/>
  <c r="AH4749" i="11"/>
  <c r="AB4749" i="11"/>
  <c r="W4749" i="11"/>
  <c r="AH4748" i="11"/>
  <c r="AB4748" i="11"/>
  <c r="W4748" i="11"/>
  <c r="AH4747" i="11"/>
  <c r="AB4747" i="11"/>
  <c r="W4747" i="11"/>
  <c r="AH4746" i="11"/>
  <c r="AB4746" i="11"/>
  <c r="W4746" i="11"/>
  <c r="AH4745" i="11"/>
  <c r="AB4745" i="11"/>
  <c r="W4745" i="11"/>
  <c r="AH4744" i="11"/>
  <c r="AB4744" i="11"/>
  <c r="W4744" i="11"/>
  <c r="AH4743" i="11"/>
  <c r="AB4743" i="11"/>
  <c r="W4743" i="11"/>
  <c r="AH4742" i="11"/>
  <c r="AB4742" i="11"/>
  <c r="W4742" i="11"/>
  <c r="AH4741" i="11"/>
  <c r="AB4741" i="11"/>
  <c r="W4741" i="11"/>
  <c r="AH4740" i="11"/>
  <c r="AB4740" i="11"/>
  <c r="W4740" i="11"/>
  <c r="AH4739" i="11"/>
  <c r="AB4739" i="11"/>
  <c r="W4739" i="11"/>
  <c r="AH4738" i="11"/>
  <c r="AB4738" i="11"/>
  <c r="W4738" i="11"/>
  <c r="AH4737" i="11"/>
  <c r="AB4737" i="11"/>
  <c r="W4737" i="11"/>
  <c r="AH4736" i="11"/>
  <c r="AB4736" i="11"/>
  <c r="W4736" i="11"/>
  <c r="AH4735" i="11"/>
  <c r="AB4735" i="11"/>
  <c r="W4735" i="11"/>
  <c r="AH4734" i="11"/>
  <c r="AB4734" i="11"/>
  <c r="W4734" i="11"/>
  <c r="AH4733" i="11"/>
  <c r="AB4733" i="11"/>
  <c r="W4733" i="11"/>
  <c r="AH4732" i="11"/>
  <c r="AB4732" i="11"/>
  <c r="W4732" i="11"/>
  <c r="AH4731" i="11"/>
  <c r="AB4731" i="11"/>
  <c r="W4731" i="11"/>
  <c r="AH4730" i="11"/>
  <c r="AB4730" i="11"/>
  <c r="W4730" i="11"/>
  <c r="AH4729" i="11"/>
  <c r="AB4729" i="11"/>
  <c r="W4729" i="11"/>
  <c r="AH4728" i="11"/>
  <c r="AB4728" i="11"/>
  <c r="W4728" i="11"/>
  <c r="AH4727" i="11"/>
  <c r="AB4727" i="11"/>
  <c r="W4727" i="11"/>
  <c r="AH4726" i="11"/>
  <c r="AB4726" i="11"/>
  <c r="W4726" i="11"/>
  <c r="AH4725" i="11"/>
  <c r="AB4725" i="11"/>
  <c r="W4725" i="11"/>
  <c r="AH4724" i="11"/>
  <c r="AB4724" i="11"/>
  <c r="W4724" i="11"/>
  <c r="AH4723" i="11"/>
  <c r="AB4723" i="11"/>
  <c r="W4723" i="11"/>
  <c r="AH4722" i="11"/>
  <c r="AB4722" i="11"/>
  <c r="W4722" i="11"/>
  <c r="AH4721" i="11"/>
  <c r="AB4721" i="11"/>
  <c r="W4721" i="11"/>
  <c r="AH4720" i="11"/>
  <c r="AB4720" i="11"/>
  <c r="W4720" i="11"/>
  <c r="AH4719" i="11"/>
  <c r="AB4719" i="11"/>
  <c r="W4719" i="11"/>
  <c r="AH4718" i="11"/>
  <c r="AB4718" i="11"/>
  <c r="W4718" i="11"/>
  <c r="AH4717" i="11"/>
  <c r="AB4717" i="11"/>
  <c r="W4717" i="11"/>
  <c r="AH4716" i="11"/>
  <c r="AB4716" i="11"/>
  <c r="W4716" i="11"/>
  <c r="AH4715" i="11"/>
  <c r="AB4715" i="11"/>
  <c r="W4715" i="11"/>
  <c r="AH4714" i="11"/>
  <c r="AB4714" i="11"/>
  <c r="W4714" i="11"/>
  <c r="AH4713" i="11"/>
  <c r="AB4713" i="11"/>
  <c r="W4713" i="11"/>
  <c r="AH4712" i="11"/>
  <c r="AB4712" i="11"/>
  <c r="W4712" i="11"/>
  <c r="AH4711" i="11"/>
  <c r="AB4711" i="11"/>
  <c r="W4711" i="11"/>
  <c r="AH4710" i="11"/>
  <c r="AB4710" i="11"/>
  <c r="W4710" i="11"/>
  <c r="AH4709" i="11"/>
  <c r="AB4709" i="11"/>
  <c r="W4709" i="11"/>
  <c r="AH4708" i="11"/>
  <c r="AB4708" i="11"/>
  <c r="W4708" i="11"/>
  <c r="AH4707" i="11"/>
  <c r="AB4707" i="11"/>
  <c r="W4707" i="11"/>
  <c r="AH4706" i="11"/>
  <c r="AB4706" i="11"/>
  <c r="W4706" i="11"/>
  <c r="AH4705" i="11"/>
  <c r="AB4705" i="11"/>
  <c r="W4705" i="11"/>
  <c r="AH4704" i="11"/>
  <c r="AB4704" i="11"/>
  <c r="W4704" i="11"/>
  <c r="AH4703" i="11"/>
  <c r="AB4703" i="11"/>
  <c r="W4703" i="11"/>
  <c r="AH4702" i="11"/>
  <c r="AB4702" i="11"/>
  <c r="W4702" i="11"/>
  <c r="AH4701" i="11"/>
  <c r="AB4701" i="11"/>
  <c r="W4701" i="11"/>
  <c r="AH4700" i="11"/>
  <c r="AB4700" i="11"/>
  <c r="W4700" i="11"/>
  <c r="AH4699" i="11"/>
  <c r="AB4699" i="11"/>
  <c r="W4699" i="11"/>
  <c r="AH4698" i="11"/>
  <c r="AB4698" i="11"/>
  <c r="W4698" i="11"/>
  <c r="AH4697" i="11"/>
  <c r="AB4697" i="11"/>
  <c r="W4697" i="11"/>
  <c r="AH4696" i="11"/>
  <c r="AB4696" i="11"/>
  <c r="W4696" i="11"/>
  <c r="AH4695" i="11"/>
  <c r="AB4695" i="11"/>
  <c r="W4695" i="11"/>
  <c r="AH4694" i="11"/>
  <c r="AB4694" i="11"/>
  <c r="W4694" i="11"/>
  <c r="AH4693" i="11"/>
  <c r="AB4693" i="11"/>
  <c r="W4693" i="11"/>
  <c r="AH4692" i="11"/>
  <c r="AB4692" i="11"/>
  <c r="W4692" i="11"/>
  <c r="AH4691" i="11"/>
  <c r="AB4691" i="11"/>
  <c r="W4691" i="11"/>
  <c r="AH4690" i="11"/>
  <c r="AB4690" i="11"/>
  <c r="W4690" i="11"/>
  <c r="AH4689" i="11"/>
  <c r="AB4689" i="11"/>
  <c r="W4689" i="11"/>
  <c r="AH4688" i="11"/>
  <c r="AB4688" i="11"/>
  <c r="W4688" i="11"/>
  <c r="AH4687" i="11"/>
  <c r="AB4687" i="11"/>
  <c r="W4687" i="11"/>
  <c r="AH4686" i="11"/>
  <c r="AB4686" i="11"/>
  <c r="W4686" i="11"/>
  <c r="AH4685" i="11"/>
  <c r="AB4685" i="11"/>
  <c r="W4685" i="11"/>
  <c r="AH4684" i="11"/>
  <c r="AB4684" i="11"/>
  <c r="W4684" i="11"/>
  <c r="AH4683" i="11"/>
  <c r="AB4683" i="11"/>
  <c r="W4683" i="11"/>
  <c r="AH4682" i="11"/>
  <c r="AB4682" i="11"/>
  <c r="W4682" i="11"/>
  <c r="AH4681" i="11"/>
  <c r="AB4681" i="11"/>
  <c r="W4681" i="11"/>
  <c r="AH4680" i="11"/>
  <c r="AB4680" i="11"/>
  <c r="W4680" i="11"/>
  <c r="AH4679" i="11"/>
  <c r="AB4679" i="11"/>
  <c r="W4679" i="11"/>
  <c r="AH4678" i="11"/>
  <c r="AB4678" i="11"/>
  <c r="W4678" i="11"/>
  <c r="AH4677" i="11"/>
  <c r="AB4677" i="11"/>
  <c r="W4677" i="11"/>
  <c r="AH4676" i="11"/>
  <c r="AB4676" i="11"/>
  <c r="W4676" i="11"/>
  <c r="AH4675" i="11"/>
  <c r="AB4675" i="11"/>
  <c r="W4675" i="11"/>
  <c r="AH4674" i="11"/>
  <c r="AB4674" i="11"/>
  <c r="W4674" i="11"/>
  <c r="AH4673" i="11"/>
  <c r="AB4673" i="11"/>
  <c r="W4673" i="11"/>
  <c r="AH4672" i="11"/>
  <c r="AB4672" i="11"/>
  <c r="W4672" i="11"/>
  <c r="AH4671" i="11"/>
  <c r="AB4671" i="11"/>
  <c r="W4671" i="11"/>
  <c r="AH4670" i="11"/>
  <c r="AB4670" i="11"/>
  <c r="W4670" i="11"/>
  <c r="AH4669" i="11"/>
  <c r="AB4669" i="11"/>
  <c r="W4669" i="11"/>
  <c r="AH4668" i="11"/>
  <c r="AB4668" i="11"/>
  <c r="W4668" i="11"/>
  <c r="AH4667" i="11"/>
  <c r="AB4667" i="11"/>
  <c r="W4667" i="11"/>
  <c r="AH4666" i="11"/>
  <c r="AB4666" i="11"/>
  <c r="W4666" i="11"/>
  <c r="AH4665" i="11"/>
  <c r="AB4665" i="11"/>
  <c r="W4665" i="11"/>
  <c r="AH4664" i="11"/>
  <c r="AB4664" i="11"/>
  <c r="W4664" i="11"/>
  <c r="AH4663" i="11"/>
  <c r="AB4663" i="11"/>
  <c r="W4663" i="11"/>
  <c r="AH4662" i="11"/>
  <c r="AB4662" i="11"/>
  <c r="W4662" i="11"/>
  <c r="AH4661" i="11"/>
  <c r="AB4661" i="11"/>
  <c r="W4661" i="11"/>
  <c r="AH4660" i="11"/>
  <c r="AB4660" i="11"/>
  <c r="W4660" i="11"/>
  <c r="AH4659" i="11"/>
  <c r="AB4659" i="11"/>
  <c r="W4659" i="11"/>
  <c r="AH4658" i="11"/>
  <c r="AB4658" i="11"/>
  <c r="W4658" i="11"/>
  <c r="AH4657" i="11"/>
  <c r="AB4657" i="11"/>
  <c r="W4657" i="11"/>
  <c r="AH4656" i="11"/>
  <c r="AB4656" i="11"/>
  <c r="W4656" i="11"/>
  <c r="AH4655" i="11"/>
  <c r="AB4655" i="11"/>
  <c r="W4655" i="11"/>
  <c r="AH4654" i="11"/>
  <c r="AB4654" i="11"/>
  <c r="W4654" i="11"/>
  <c r="AH4653" i="11"/>
  <c r="AB4653" i="11"/>
  <c r="W4653" i="11"/>
  <c r="AH4652" i="11"/>
  <c r="AB4652" i="11"/>
  <c r="W4652" i="11"/>
  <c r="AH4651" i="11"/>
  <c r="AB4651" i="11"/>
  <c r="W4651" i="11"/>
  <c r="AH4650" i="11"/>
  <c r="AB4650" i="11"/>
  <c r="W4650" i="11"/>
  <c r="AH4649" i="11"/>
  <c r="AB4649" i="11"/>
  <c r="W4649" i="11"/>
  <c r="AH4648" i="11"/>
  <c r="AB4648" i="11"/>
  <c r="W4648" i="11"/>
  <c r="AH4647" i="11"/>
  <c r="AB4647" i="11"/>
  <c r="W4647" i="11"/>
  <c r="AH4646" i="11"/>
  <c r="AB4646" i="11"/>
  <c r="W4646" i="11"/>
  <c r="AH4645" i="11"/>
  <c r="AB4645" i="11"/>
  <c r="W4645" i="11"/>
  <c r="AH4644" i="11"/>
  <c r="AB4644" i="11"/>
  <c r="W4644" i="11"/>
  <c r="AH4643" i="11"/>
  <c r="AB4643" i="11"/>
  <c r="W4643" i="11"/>
  <c r="AH4642" i="11"/>
  <c r="AB4642" i="11"/>
  <c r="W4642" i="11"/>
  <c r="AH4641" i="11"/>
  <c r="AB4641" i="11"/>
  <c r="W4641" i="11"/>
  <c r="AH4640" i="11"/>
  <c r="AB4640" i="11"/>
  <c r="W4640" i="11"/>
  <c r="AH4639" i="11"/>
  <c r="AB4639" i="11"/>
  <c r="W4639" i="11"/>
  <c r="AH4638" i="11"/>
  <c r="AB4638" i="11"/>
  <c r="W4638" i="11"/>
  <c r="AH4637" i="11"/>
  <c r="AB4637" i="11"/>
  <c r="W4637" i="11"/>
  <c r="AH4636" i="11"/>
  <c r="AB4636" i="11"/>
  <c r="W4636" i="11"/>
  <c r="AH4635" i="11"/>
  <c r="AB4635" i="11"/>
  <c r="W4635" i="11"/>
  <c r="AH4634" i="11"/>
  <c r="AB4634" i="11"/>
  <c r="W4634" i="11"/>
  <c r="AH4633" i="11"/>
  <c r="AB4633" i="11"/>
  <c r="W4633" i="11"/>
  <c r="AH4632" i="11"/>
  <c r="AB4632" i="11"/>
  <c r="W4632" i="11"/>
  <c r="AH4631" i="11"/>
  <c r="AB4631" i="11"/>
  <c r="W4631" i="11"/>
  <c r="AH4630" i="11"/>
  <c r="AB4630" i="11"/>
  <c r="W4630" i="11"/>
  <c r="AH4629" i="11"/>
  <c r="AB4629" i="11"/>
  <c r="W4629" i="11"/>
  <c r="AH4628" i="11"/>
  <c r="AB4628" i="11"/>
  <c r="W4628" i="11"/>
  <c r="AH4627" i="11"/>
  <c r="AB4627" i="11"/>
  <c r="W4627" i="11"/>
  <c r="AH4626" i="11"/>
  <c r="AB4626" i="11"/>
  <c r="W4626" i="11"/>
  <c r="AH4625" i="11"/>
  <c r="AB4625" i="11"/>
  <c r="W4625" i="11"/>
  <c r="AH4624" i="11"/>
  <c r="AB4624" i="11"/>
  <c r="W4624" i="11"/>
  <c r="AH4623" i="11"/>
  <c r="AB4623" i="11"/>
  <c r="W4623" i="11"/>
  <c r="AH4622" i="11"/>
  <c r="AB4622" i="11"/>
  <c r="W4622" i="11"/>
  <c r="AH4621" i="11"/>
  <c r="AB4621" i="11"/>
  <c r="W4621" i="11"/>
  <c r="AH4620" i="11"/>
  <c r="AB4620" i="11"/>
  <c r="W4620" i="11"/>
  <c r="AH4619" i="11"/>
  <c r="AB4619" i="11"/>
  <c r="W4619" i="11"/>
  <c r="AH4618" i="11"/>
  <c r="AB4618" i="11"/>
  <c r="W4618" i="11"/>
  <c r="AH4617" i="11"/>
  <c r="AB4617" i="11"/>
  <c r="W4617" i="11"/>
  <c r="AH4616" i="11"/>
  <c r="AB4616" i="11"/>
  <c r="W4616" i="11"/>
  <c r="AH4615" i="11"/>
  <c r="AB4615" i="11"/>
  <c r="W4615" i="11"/>
  <c r="AH4614" i="11"/>
  <c r="AB4614" i="11"/>
  <c r="W4614" i="11"/>
  <c r="AH4613" i="11"/>
  <c r="AB4613" i="11"/>
  <c r="W4613" i="11"/>
  <c r="AH4612" i="11"/>
  <c r="AB4612" i="11"/>
  <c r="W4612" i="11"/>
  <c r="AH4611" i="11"/>
  <c r="AB4611" i="11"/>
  <c r="W4611" i="11"/>
  <c r="AH4610" i="11"/>
  <c r="AB4610" i="11"/>
  <c r="W4610" i="11"/>
  <c r="AH4609" i="11"/>
  <c r="AB4609" i="11"/>
  <c r="W4609" i="11"/>
  <c r="AH4608" i="11"/>
  <c r="AB4608" i="11"/>
  <c r="W4608" i="11"/>
  <c r="AH4607" i="11"/>
  <c r="AB4607" i="11"/>
  <c r="W4607" i="11"/>
  <c r="AH4606" i="11"/>
  <c r="AB4606" i="11"/>
  <c r="W4606" i="11"/>
  <c r="AH4605" i="11"/>
  <c r="AB4605" i="11"/>
  <c r="W4605" i="11"/>
  <c r="AH4604" i="11"/>
  <c r="AB4604" i="11"/>
  <c r="W4604" i="11"/>
  <c r="AH4603" i="11"/>
  <c r="AB4603" i="11"/>
  <c r="W4603" i="11"/>
  <c r="AH4602" i="11"/>
  <c r="AB4602" i="11"/>
  <c r="W4602" i="11"/>
  <c r="AH4601" i="11"/>
  <c r="AB4601" i="11"/>
  <c r="W4601" i="11"/>
  <c r="AH4600" i="11"/>
  <c r="AB4600" i="11"/>
  <c r="W4600" i="11"/>
  <c r="AH4599" i="11"/>
  <c r="AB4599" i="11"/>
  <c r="W4599" i="11"/>
  <c r="AH4598" i="11"/>
  <c r="AB4598" i="11"/>
  <c r="W4598" i="11"/>
  <c r="AH4597" i="11"/>
  <c r="AB4597" i="11"/>
  <c r="W4597" i="11"/>
  <c r="AH4596" i="11"/>
  <c r="AB4596" i="11"/>
  <c r="W4596" i="11"/>
  <c r="AH4595" i="11"/>
  <c r="AB4595" i="11"/>
  <c r="W4595" i="11"/>
  <c r="AH4594" i="11"/>
  <c r="AB4594" i="11"/>
  <c r="W4594" i="11"/>
  <c r="AH4593" i="11"/>
  <c r="AB4593" i="11"/>
  <c r="W4593" i="11"/>
  <c r="AH4592" i="11"/>
  <c r="AB4592" i="11"/>
  <c r="W4592" i="11"/>
  <c r="AH4591" i="11"/>
  <c r="AB4591" i="11"/>
  <c r="W4591" i="11"/>
  <c r="AH4590" i="11"/>
  <c r="AB4590" i="11"/>
  <c r="W4590" i="11"/>
  <c r="AH4589" i="11"/>
  <c r="AB4589" i="11"/>
  <c r="W4589" i="11"/>
  <c r="AH4588" i="11"/>
  <c r="AB4588" i="11"/>
  <c r="W4588" i="11"/>
  <c r="AH4587" i="11"/>
  <c r="AB4587" i="11"/>
  <c r="W4587" i="11"/>
  <c r="AH4586" i="11"/>
  <c r="AB4586" i="11"/>
  <c r="W4586" i="11"/>
  <c r="AH4585" i="11"/>
  <c r="AB4585" i="11"/>
  <c r="W4585" i="11"/>
  <c r="AH4584" i="11"/>
  <c r="AB4584" i="11"/>
  <c r="W4584" i="11"/>
  <c r="AH4583" i="11"/>
  <c r="AB4583" i="11"/>
  <c r="W4583" i="11"/>
  <c r="AH4582" i="11"/>
  <c r="AB4582" i="11"/>
  <c r="W4582" i="11"/>
  <c r="AH4581" i="11"/>
  <c r="AB4581" i="11"/>
  <c r="W4581" i="11"/>
  <c r="AH4580" i="11"/>
  <c r="AB4580" i="11"/>
  <c r="W4580" i="11"/>
  <c r="AH4579" i="11"/>
  <c r="AB4579" i="11"/>
  <c r="W4579" i="11"/>
  <c r="AH4578" i="11"/>
  <c r="AB4578" i="11"/>
  <c r="W4578" i="11"/>
  <c r="AH4577" i="11"/>
  <c r="AB4577" i="11"/>
  <c r="W4577" i="11"/>
  <c r="AH4576" i="11"/>
  <c r="AB4576" i="11"/>
  <c r="W4576" i="11"/>
  <c r="AH4575" i="11"/>
  <c r="AB4575" i="11"/>
  <c r="W4575" i="11"/>
  <c r="AH4574" i="11"/>
  <c r="AB4574" i="11"/>
  <c r="W4574" i="11"/>
  <c r="AH4573" i="11"/>
  <c r="AB4573" i="11"/>
  <c r="W4573" i="11"/>
  <c r="AH4572" i="11"/>
  <c r="AB4572" i="11"/>
  <c r="W4572" i="11"/>
  <c r="AH4571" i="11"/>
  <c r="AB4571" i="11"/>
  <c r="W4571" i="11"/>
  <c r="AH4570" i="11"/>
  <c r="AB4570" i="11"/>
  <c r="W4570" i="11"/>
  <c r="AH4569" i="11"/>
  <c r="AB4569" i="11"/>
  <c r="W4569" i="11"/>
  <c r="AH4568" i="11"/>
  <c r="AB4568" i="11"/>
  <c r="W4568" i="11"/>
  <c r="AH4567" i="11"/>
  <c r="AB4567" i="11"/>
  <c r="W4567" i="11"/>
  <c r="AH4566" i="11"/>
  <c r="AB4566" i="11"/>
  <c r="W4566" i="11"/>
  <c r="AH4565" i="11"/>
  <c r="AB4565" i="11"/>
  <c r="W4565" i="11"/>
  <c r="AH4564" i="11"/>
  <c r="AB4564" i="11"/>
  <c r="W4564" i="11"/>
  <c r="AH4563" i="11"/>
  <c r="AB4563" i="11"/>
  <c r="W4563" i="11"/>
  <c r="AH4562" i="11"/>
  <c r="AB4562" i="11"/>
  <c r="W4562" i="11"/>
  <c r="AH4561" i="11"/>
  <c r="AB4561" i="11"/>
  <c r="W4561" i="11"/>
  <c r="AH4560" i="11"/>
  <c r="AB4560" i="11"/>
  <c r="W4560" i="11"/>
  <c r="AH4559" i="11"/>
  <c r="AB4559" i="11"/>
  <c r="W4559" i="11"/>
  <c r="AH4558" i="11"/>
  <c r="AB4558" i="11"/>
  <c r="W4558" i="11"/>
  <c r="AH4557" i="11"/>
  <c r="AB4557" i="11"/>
  <c r="W4557" i="11"/>
  <c r="AH4556" i="11"/>
  <c r="AB4556" i="11"/>
  <c r="W4556" i="11"/>
  <c r="AH4555" i="11"/>
  <c r="AB4555" i="11"/>
  <c r="W4555" i="11"/>
  <c r="AH4554" i="11"/>
  <c r="AB4554" i="11"/>
  <c r="W4554" i="11"/>
  <c r="AH4553" i="11"/>
  <c r="AB4553" i="11"/>
  <c r="W4553" i="11"/>
  <c r="AH4552" i="11"/>
  <c r="AB4552" i="11"/>
  <c r="W4552" i="11"/>
  <c r="AH4551" i="11"/>
  <c r="AB4551" i="11"/>
  <c r="W4551" i="11"/>
  <c r="AH4550" i="11"/>
  <c r="AB4550" i="11"/>
  <c r="W4550" i="11"/>
  <c r="AH4549" i="11"/>
  <c r="AB4549" i="11"/>
  <c r="W4549" i="11"/>
  <c r="AH4548" i="11"/>
  <c r="AB4548" i="11"/>
  <c r="W4548" i="11"/>
  <c r="AH4547" i="11"/>
  <c r="AB4547" i="11"/>
  <c r="W4547" i="11"/>
  <c r="AH4546" i="11"/>
  <c r="AB4546" i="11"/>
  <c r="W4546" i="11"/>
  <c r="AH4545" i="11"/>
  <c r="AB4545" i="11"/>
  <c r="W4545" i="11"/>
  <c r="AH4544" i="11"/>
  <c r="AB4544" i="11"/>
  <c r="W4544" i="11"/>
  <c r="AH4543" i="11"/>
  <c r="AB4543" i="11"/>
  <c r="W4543" i="11"/>
  <c r="AH4542" i="11"/>
  <c r="AB4542" i="11"/>
  <c r="W4542" i="11"/>
  <c r="AH4541" i="11"/>
  <c r="AB4541" i="11"/>
  <c r="W4541" i="11"/>
  <c r="AH4540" i="11"/>
  <c r="AB4540" i="11"/>
  <c r="W4540" i="11"/>
  <c r="AH4539" i="11"/>
  <c r="AB4539" i="11"/>
  <c r="W4539" i="11"/>
  <c r="AH4538" i="11"/>
  <c r="AB4538" i="11"/>
  <c r="W4538" i="11"/>
  <c r="AH4537" i="11"/>
  <c r="AB4537" i="11"/>
  <c r="W4537" i="11"/>
  <c r="AH4536" i="11"/>
  <c r="AB4536" i="11"/>
  <c r="W4536" i="11"/>
  <c r="AH4535" i="11"/>
  <c r="AB4535" i="11"/>
  <c r="W4535" i="11"/>
  <c r="AH4534" i="11"/>
  <c r="AB4534" i="11"/>
  <c r="W4534" i="11"/>
  <c r="AH4533" i="11"/>
  <c r="AB4533" i="11"/>
  <c r="W4533" i="11"/>
  <c r="AH4532" i="11"/>
  <c r="AB4532" i="11"/>
  <c r="W4532" i="11"/>
  <c r="AH4531" i="11"/>
  <c r="AB4531" i="11"/>
  <c r="W4531" i="11"/>
  <c r="AH4530" i="11"/>
  <c r="AB4530" i="11"/>
  <c r="W4530" i="11"/>
  <c r="AH4529" i="11"/>
  <c r="AB4529" i="11"/>
  <c r="W4529" i="11"/>
  <c r="AH4528" i="11"/>
  <c r="AB4528" i="11"/>
  <c r="W4528" i="11"/>
  <c r="AH4527" i="11"/>
  <c r="AB4527" i="11"/>
  <c r="W4527" i="11"/>
  <c r="AH4526" i="11"/>
  <c r="AB4526" i="11"/>
  <c r="W4526" i="11"/>
  <c r="AH4525" i="11"/>
  <c r="AB4525" i="11"/>
  <c r="W4525" i="11"/>
  <c r="AH4524" i="11"/>
  <c r="AB4524" i="11"/>
  <c r="W4524" i="11"/>
  <c r="AH4523" i="11"/>
  <c r="AB4523" i="11"/>
  <c r="W4523" i="11"/>
  <c r="AH4522" i="11"/>
  <c r="AB4522" i="11"/>
  <c r="W4522" i="11"/>
  <c r="AH4521" i="11"/>
  <c r="AB4521" i="11"/>
  <c r="W4521" i="11"/>
  <c r="AH4520" i="11"/>
  <c r="AB4520" i="11"/>
  <c r="W4520" i="11"/>
  <c r="AH4519" i="11"/>
  <c r="AB4519" i="11"/>
  <c r="W4519" i="11"/>
  <c r="AH4518" i="11"/>
  <c r="AB4518" i="11"/>
  <c r="W4518" i="11"/>
  <c r="AH4517" i="11"/>
  <c r="AB4517" i="11"/>
  <c r="W4517" i="11"/>
  <c r="AH4516" i="11"/>
  <c r="AB4516" i="11"/>
  <c r="W4516" i="11"/>
  <c r="AH4515" i="11"/>
  <c r="AB4515" i="11"/>
  <c r="W4515" i="11"/>
  <c r="AH4514" i="11"/>
  <c r="AB4514" i="11"/>
  <c r="W4514" i="11"/>
  <c r="AH4513" i="11"/>
  <c r="AB4513" i="11"/>
  <c r="W4513" i="11"/>
  <c r="AH4512" i="11"/>
  <c r="AB4512" i="11"/>
  <c r="W4512" i="11"/>
  <c r="AH4511" i="11"/>
  <c r="AB4511" i="11"/>
  <c r="W4511" i="11"/>
  <c r="AH4510" i="11"/>
  <c r="AB4510" i="11"/>
  <c r="W4510" i="11"/>
  <c r="AH4509" i="11"/>
  <c r="AB4509" i="11"/>
  <c r="W4509" i="11"/>
  <c r="AH4508" i="11"/>
  <c r="AB4508" i="11"/>
  <c r="W4508" i="11"/>
  <c r="AH4507" i="11"/>
  <c r="AB4507" i="11"/>
  <c r="W4507" i="11"/>
  <c r="AH4506" i="11"/>
  <c r="AB4506" i="11"/>
  <c r="W4506" i="11"/>
  <c r="AH4505" i="11"/>
  <c r="AB4505" i="11"/>
  <c r="W4505" i="11"/>
  <c r="AH4504" i="11"/>
  <c r="AB4504" i="11"/>
  <c r="W4504" i="11"/>
  <c r="AH4503" i="11"/>
  <c r="AB4503" i="11"/>
  <c r="W4503" i="11"/>
  <c r="AH4502" i="11"/>
  <c r="AB4502" i="11"/>
  <c r="W4502" i="11"/>
  <c r="AH4501" i="11"/>
  <c r="AB4501" i="11"/>
  <c r="W4501" i="11"/>
  <c r="AH4500" i="11"/>
  <c r="AB4500" i="11"/>
  <c r="W4500" i="11"/>
  <c r="AH4499" i="11"/>
  <c r="AB4499" i="11"/>
  <c r="W4499" i="11"/>
  <c r="AH4498" i="11"/>
  <c r="AB4498" i="11"/>
  <c r="W4498" i="11"/>
  <c r="AH4497" i="11"/>
  <c r="AB4497" i="11"/>
  <c r="W4497" i="11"/>
  <c r="AH4496" i="11"/>
  <c r="AB4496" i="11"/>
  <c r="W4496" i="11"/>
  <c r="AH4495" i="11"/>
  <c r="AB4495" i="11"/>
  <c r="W4495" i="11"/>
  <c r="AH4494" i="11"/>
  <c r="AB4494" i="11"/>
  <c r="W4494" i="11"/>
  <c r="AH4493" i="11"/>
  <c r="AB4493" i="11"/>
  <c r="W4493" i="11"/>
  <c r="AH4492" i="11"/>
  <c r="AB4492" i="11"/>
  <c r="W4492" i="11"/>
  <c r="AH4491" i="11"/>
  <c r="AB4491" i="11"/>
  <c r="W4491" i="11"/>
  <c r="AH4490" i="11"/>
  <c r="AB4490" i="11"/>
  <c r="W4490" i="11"/>
  <c r="AH4489" i="11"/>
  <c r="AB4489" i="11"/>
  <c r="W4489" i="11"/>
  <c r="AH4488" i="11"/>
  <c r="AB4488" i="11"/>
  <c r="W4488" i="11"/>
  <c r="AH4487" i="11"/>
  <c r="AB4487" i="11"/>
  <c r="W4487" i="11"/>
  <c r="AH4486" i="11"/>
  <c r="AB4486" i="11"/>
  <c r="W4486" i="11"/>
  <c r="AH4485" i="11"/>
  <c r="AB4485" i="11"/>
  <c r="W4485" i="11"/>
  <c r="AH4484" i="11"/>
  <c r="AB4484" i="11"/>
  <c r="W4484" i="11"/>
  <c r="AH4483" i="11"/>
  <c r="AB4483" i="11"/>
  <c r="W4483" i="11"/>
  <c r="AH4482" i="11"/>
  <c r="AB4482" i="11"/>
  <c r="W4482" i="11"/>
  <c r="AH4481" i="11"/>
  <c r="AB4481" i="11"/>
  <c r="W4481" i="11"/>
  <c r="AH4480" i="11"/>
  <c r="AB4480" i="11"/>
  <c r="W4480" i="11"/>
  <c r="AH4479" i="11"/>
  <c r="AB4479" i="11"/>
  <c r="W4479" i="11"/>
  <c r="AH4478" i="11"/>
  <c r="AB4478" i="11"/>
  <c r="W4478" i="11"/>
  <c r="AH4477" i="11"/>
  <c r="AB4477" i="11"/>
  <c r="W4477" i="11"/>
  <c r="AH4476" i="11"/>
  <c r="AB4476" i="11"/>
  <c r="W4476" i="11"/>
  <c r="AH4475" i="11"/>
  <c r="AB4475" i="11"/>
  <c r="W4475" i="11"/>
  <c r="AH4474" i="11"/>
  <c r="AB4474" i="11"/>
  <c r="W4474" i="11"/>
  <c r="AH4473" i="11"/>
  <c r="AB4473" i="11"/>
  <c r="W4473" i="11"/>
  <c r="AH4472" i="11"/>
  <c r="AB4472" i="11"/>
  <c r="W4472" i="11"/>
  <c r="AH4471" i="11"/>
  <c r="AB4471" i="11"/>
  <c r="W4471" i="11"/>
  <c r="AH4470" i="11"/>
  <c r="AB4470" i="11"/>
  <c r="W4470" i="11"/>
  <c r="AH4469" i="11"/>
  <c r="AB4469" i="11"/>
  <c r="W4469" i="11"/>
  <c r="AH4468" i="11"/>
  <c r="AB4468" i="11"/>
  <c r="W4468" i="11"/>
  <c r="AH4467" i="11"/>
  <c r="AB4467" i="11"/>
  <c r="W4467" i="11"/>
  <c r="AH4466" i="11"/>
  <c r="AB4466" i="11"/>
  <c r="W4466" i="11"/>
  <c r="AH4465" i="11"/>
  <c r="AB4465" i="11"/>
  <c r="W4465" i="11"/>
  <c r="AH4464" i="11"/>
  <c r="AB4464" i="11"/>
  <c r="W4464" i="11"/>
  <c r="AH4463" i="11"/>
  <c r="AB4463" i="11"/>
  <c r="W4463" i="11"/>
  <c r="AH4462" i="11"/>
  <c r="AB4462" i="11"/>
  <c r="W4462" i="11"/>
  <c r="AH4461" i="11"/>
  <c r="AB4461" i="11"/>
  <c r="W4461" i="11"/>
  <c r="AH4460" i="11"/>
  <c r="AB4460" i="11"/>
  <c r="W4460" i="11"/>
  <c r="AH4459" i="11"/>
  <c r="AB4459" i="11"/>
  <c r="W4459" i="11"/>
  <c r="AH4458" i="11"/>
  <c r="AB4458" i="11"/>
  <c r="W4458" i="11"/>
  <c r="AH4457" i="11"/>
  <c r="AB4457" i="11"/>
  <c r="W4457" i="11"/>
  <c r="AH4456" i="11"/>
  <c r="AB4456" i="11"/>
  <c r="W4456" i="11"/>
  <c r="AH4455" i="11"/>
  <c r="AB4455" i="11"/>
  <c r="W4455" i="11"/>
  <c r="AH4454" i="11"/>
  <c r="AB4454" i="11"/>
  <c r="W4454" i="11"/>
  <c r="AH4453" i="11"/>
  <c r="AB4453" i="11"/>
  <c r="W4453" i="11"/>
  <c r="AH4452" i="11"/>
  <c r="AB4452" i="11"/>
  <c r="W4452" i="11"/>
  <c r="AH4451" i="11"/>
  <c r="AB4451" i="11"/>
  <c r="W4451" i="11"/>
  <c r="AH4450" i="11"/>
  <c r="AB4450" i="11"/>
  <c r="W4450" i="11"/>
  <c r="AH4449" i="11"/>
  <c r="AB4449" i="11"/>
  <c r="W4449" i="11"/>
  <c r="AH4448" i="11"/>
  <c r="AB4448" i="11"/>
  <c r="W4448" i="11"/>
  <c r="AH4447" i="11"/>
  <c r="AB4447" i="11"/>
  <c r="W4447" i="11"/>
  <c r="AH4446" i="11"/>
  <c r="AB4446" i="11"/>
  <c r="W4446" i="11"/>
  <c r="AH4445" i="11"/>
  <c r="AB4445" i="11"/>
  <c r="W4445" i="11"/>
  <c r="AH4444" i="11"/>
  <c r="AB4444" i="11"/>
  <c r="W4444" i="11"/>
  <c r="AH4443" i="11"/>
  <c r="AB4443" i="11"/>
  <c r="W4443" i="11"/>
  <c r="AH4442" i="11"/>
  <c r="AB4442" i="11"/>
  <c r="W4442" i="11"/>
  <c r="AH4441" i="11"/>
  <c r="AB4441" i="11"/>
  <c r="W4441" i="11"/>
  <c r="AH4440" i="11"/>
  <c r="AB4440" i="11"/>
  <c r="W4440" i="11"/>
  <c r="AH4439" i="11"/>
  <c r="AB4439" i="11"/>
  <c r="W4439" i="11"/>
  <c r="AH4438" i="11"/>
  <c r="AB4438" i="11"/>
  <c r="W4438" i="11"/>
  <c r="AH4437" i="11"/>
  <c r="AB4437" i="11"/>
  <c r="W4437" i="11"/>
  <c r="AH4436" i="11"/>
  <c r="AB4436" i="11"/>
  <c r="W4436" i="11"/>
  <c r="AH4435" i="11"/>
  <c r="AB4435" i="11"/>
  <c r="W4435" i="11"/>
  <c r="AH4434" i="11"/>
  <c r="AB4434" i="11"/>
  <c r="W4434" i="11"/>
  <c r="AH4433" i="11"/>
  <c r="AB4433" i="11"/>
  <c r="W4433" i="11"/>
  <c r="AH4432" i="11"/>
  <c r="AB4432" i="11"/>
  <c r="W4432" i="11"/>
  <c r="AH4431" i="11"/>
  <c r="AB4431" i="11"/>
  <c r="W4431" i="11"/>
  <c r="AH4430" i="11"/>
  <c r="AB4430" i="11"/>
  <c r="W4430" i="11"/>
  <c r="AH4429" i="11"/>
  <c r="AB4429" i="11"/>
  <c r="W4429" i="11"/>
  <c r="AH4428" i="11"/>
  <c r="AB4428" i="11"/>
  <c r="W4428" i="11"/>
  <c r="AH4427" i="11"/>
  <c r="AB4427" i="11"/>
  <c r="W4427" i="11"/>
  <c r="AH4426" i="11"/>
  <c r="AB4426" i="11"/>
  <c r="W4426" i="11"/>
  <c r="AH4425" i="11"/>
  <c r="AB4425" i="11"/>
  <c r="W4425" i="11"/>
  <c r="AH4424" i="11"/>
  <c r="AB4424" i="11"/>
  <c r="W4424" i="11"/>
  <c r="AH4423" i="11"/>
  <c r="AB4423" i="11"/>
  <c r="W4423" i="11"/>
  <c r="AH4422" i="11"/>
  <c r="AB4422" i="11"/>
  <c r="W4422" i="11"/>
  <c r="AH4421" i="11"/>
  <c r="AB4421" i="11"/>
  <c r="W4421" i="11"/>
  <c r="AH4420" i="11"/>
  <c r="AB4420" i="11"/>
  <c r="W4420" i="11"/>
  <c r="AH4419" i="11"/>
  <c r="AB4419" i="11"/>
  <c r="W4419" i="11"/>
  <c r="AH4418" i="11"/>
  <c r="AB4418" i="11"/>
  <c r="W4418" i="11"/>
  <c r="AH4417" i="11"/>
  <c r="AB4417" i="11"/>
  <c r="W4417" i="11"/>
  <c r="AH4416" i="11"/>
  <c r="AB4416" i="11"/>
  <c r="W4416" i="11"/>
  <c r="AH4415" i="11"/>
  <c r="AB4415" i="11"/>
  <c r="W4415" i="11"/>
  <c r="AH4414" i="11"/>
  <c r="AB4414" i="11"/>
  <c r="W4414" i="11"/>
  <c r="AH4413" i="11"/>
  <c r="AB4413" i="11"/>
  <c r="W4413" i="11"/>
  <c r="AH4412" i="11"/>
  <c r="AB4412" i="11"/>
  <c r="W4412" i="11"/>
  <c r="AH4411" i="11"/>
  <c r="AB4411" i="11"/>
  <c r="W4411" i="11"/>
  <c r="AH4410" i="11"/>
  <c r="AB4410" i="11"/>
  <c r="W4410" i="11"/>
  <c r="AH4409" i="11"/>
  <c r="AB4409" i="11"/>
  <c r="W4409" i="11"/>
  <c r="AH4408" i="11"/>
  <c r="AB4408" i="11"/>
  <c r="W4408" i="11"/>
  <c r="AH4407" i="11"/>
  <c r="AB4407" i="11"/>
  <c r="W4407" i="11"/>
  <c r="AH4406" i="11"/>
  <c r="AB4406" i="11"/>
  <c r="W4406" i="11"/>
  <c r="AH4405" i="11"/>
  <c r="AB4405" i="11"/>
  <c r="W4405" i="11"/>
  <c r="AH4404" i="11"/>
  <c r="AB4404" i="11"/>
  <c r="W4404" i="11"/>
  <c r="AH4403" i="11"/>
  <c r="AB4403" i="11"/>
  <c r="W4403" i="11"/>
  <c r="AH4402" i="11"/>
  <c r="AB4402" i="11"/>
  <c r="W4402" i="11"/>
  <c r="AH4401" i="11"/>
  <c r="AB4401" i="11"/>
  <c r="W4401" i="11"/>
  <c r="AH4400" i="11"/>
  <c r="AB4400" i="11"/>
  <c r="W4400" i="11"/>
  <c r="AH4399" i="11"/>
  <c r="AB4399" i="11"/>
  <c r="W4399" i="11"/>
  <c r="AH4398" i="11"/>
  <c r="AB4398" i="11"/>
  <c r="W4398" i="11"/>
  <c r="AH4397" i="11"/>
  <c r="AB4397" i="11"/>
  <c r="W4397" i="11"/>
  <c r="AH4396" i="11"/>
  <c r="AB4396" i="11"/>
  <c r="W4396" i="11"/>
  <c r="AH4395" i="11"/>
  <c r="AB4395" i="11"/>
  <c r="W4395" i="11"/>
  <c r="AH4394" i="11"/>
  <c r="AB4394" i="11"/>
  <c r="W4394" i="11"/>
  <c r="AH4393" i="11"/>
  <c r="AB4393" i="11"/>
  <c r="W4393" i="11"/>
  <c r="AH4392" i="11"/>
  <c r="AB4392" i="11"/>
  <c r="W4392" i="11"/>
  <c r="AH4391" i="11"/>
  <c r="AB4391" i="11"/>
  <c r="W4391" i="11"/>
  <c r="AH4390" i="11"/>
  <c r="AB4390" i="11"/>
  <c r="W4390" i="11"/>
  <c r="AH4389" i="11"/>
  <c r="AB4389" i="11"/>
  <c r="W4389" i="11"/>
  <c r="AH4388" i="11"/>
  <c r="AB4388" i="11"/>
  <c r="W4388" i="11"/>
  <c r="AH4387" i="11"/>
  <c r="AB4387" i="11"/>
  <c r="W4387" i="11"/>
  <c r="AH4386" i="11"/>
  <c r="AB4386" i="11"/>
  <c r="W4386" i="11"/>
  <c r="AH4385" i="11"/>
  <c r="AB4385" i="11"/>
  <c r="W4385" i="11"/>
  <c r="AH4384" i="11"/>
  <c r="AB4384" i="11"/>
  <c r="W4384" i="11"/>
  <c r="AH4383" i="11"/>
  <c r="AB4383" i="11"/>
  <c r="W4383" i="11"/>
  <c r="AH4382" i="11"/>
  <c r="AB4382" i="11"/>
  <c r="W4382" i="11"/>
  <c r="AH4381" i="11"/>
  <c r="AB4381" i="11"/>
  <c r="W4381" i="11"/>
  <c r="AH4380" i="11"/>
  <c r="AB4380" i="11"/>
  <c r="W4380" i="11"/>
  <c r="AH4379" i="11"/>
  <c r="AB4379" i="11"/>
  <c r="W4379" i="11"/>
  <c r="AH4378" i="11"/>
  <c r="AB4378" i="11"/>
  <c r="W4378" i="11"/>
  <c r="AH4377" i="11"/>
  <c r="AB4377" i="11"/>
  <c r="W4377" i="11"/>
  <c r="AH4376" i="11"/>
  <c r="AB4376" i="11"/>
  <c r="W4376" i="11"/>
  <c r="AH4375" i="11"/>
  <c r="AB4375" i="11"/>
  <c r="W4375" i="11"/>
  <c r="AH4374" i="11"/>
  <c r="AB4374" i="11"/>
  <c r="W4374" i="11"/>
  <c r="AH4373" i="11"/>
  <c r="AB4373" i="11"/>
  <c r="W4373" i="11"/>
  <c r="AH4372" i="11"/>
  <c r="AB4372" i="11"/>
  <c r="W4372" i="11"/>
  <c r="AH4371" i="11"/>
  <c r="AB4371" i="11"/>
  <c r="W4371" i="11"/>
  <c r="AH4370" i="11"/>
  <c r="AB4370" i="11"/>
  <c r="W4370" i="11"/>
  <c r="AH4369" i="11"/>
  <c r="AB4369" i="11"/>
  <c r="W4369" i="11"/>
  <c r="AH4368" i="11"/>
  <c r="AB4368" i="11"/>
  <c r="W4368" i="11"/>
  <c r="AH4367" i="11"/>
  <c r="AB4367" i="11"/>
  <c r="W4367" i="11"/>
  <c r="AH4366" i="11"/>
  <c r="AB4366" i="11"/>
  <c r="W4366" i="11"/>
  <c r="AH4365" i="11"/>
  <c r="AB4365" i="11"/>
  <c r="W4365" i="11"/>
  <c r="AH4364" i="11"/>
  <c r="AB4364" i="11"/>
  <c r="W4364" i="11"/>
  <c r="AH4363" i="11"/>
  <c r="AB4363" i="11"/>
  <c r="W4363" i="11"/>
  <c r="AH4362" i="11"/>
  <c r="AB4362" i="11"/>
  <c r="W4362" i="11"/>
  <c r="AH4361" i="11"/>
  <c r="AB4361" i="11"/>
  <c r="W4361" i="11"/>
  <c r="AH4360" i="11"/>
  <c r="AB4360" i="11"/>
  <c r="W4360" i="11"/>
  <c r="AH4359" i="11"/>
  <c r="AB4359" i="11"/>
  <c r="W4359" i="11"/>
  <c r="AH4358" i="11"/>
  <c r="AB4358" i="11"/>
  <c r="W4358" i="11"/>
  <c r="AH4357" i="11"/>
  <c r="AB4357" i="11"/>
  <c r="W4357" i="11"/>
  <c r="AH4356" i="11"/>
  <c r="AB4356" i="11"/>
  <c r="W4356" i="11"/>
  <c r="AH4355" i="11"/>
  <c r="AB4355" i="11"/>
  <c r="W4355" i="11"/>
  <c r="AH4354" i="11"/>
  <c r="AB4354" i="11"/>
  <c r="W4354" i="11"/>
  <c r="AH4353" i="11"/>
  <c r="AB4353" i="11"/>
  <c r="W4353" i="11"/>
  <c r="AH4352" i="11"/>
  <c r="AB4352" i="11"/>
  <c r="W4352" i="11"/>
  <c r="AH4351" i="11"/>
  <c r="AB4351" i="11"/>
  <c r="W4351" i="11"/>
  <c r="AH4350" i="11"/>
  <c r="AB4350" i="11"/>
  <c r="W4350" i="11"/>
  <c r="AH4349" i="11"/>
  <c r="AB4349" i="11"/>
  <c r="W4349" i="11"/>
  <c r="AH4348" i="11"/>
  <c r="AB4348" i="11"/>
  <c r="W4348" i="11"/>
  <c r="AH4347" i="11"/>
  <c r="AB4347" i="11"/>
  <c r="W4347" i="11"/>
  <c r="AH4346" i="11"/>
  <c r="AB4346" i="11"/>
  <c r="W4346" i="11"/>
  <c r="AH4345" i="11"/>
  <c r="AB4345" i="11"/>
  <c r="W4345" i="11"/>
  <c r="AH4344" i="11"/>
  <c r="AB4344" i="11"/>
  <c r="W4344" i="11"/>
  <c r="AH4343" i="11"/>
  <c r="AB4343" i="11"/>
  <c r="W4343" i="11"/>
  <c r="AH4342" i="11"/>
  <c r="AB4342" i="11"/>
  <c r="W4342" i="11"/>
  <c r="AH4341" i="11"/>
  <c r="AB4341" i="11"/>
  <c r="W4341" i="11"/>
  <c r="AH4340" i="11"/>
  <c r="AB4340" i="11"/>
  <c r="W4340" i="11"/>
  <c r="AH4339" i="11"/>
  <c r="AB4339" i="11"/>
  <c r="W4339" i="11"/>
  <c r="AH4338" i="11"/>
  <c r="AB4338" i="11"/>
  <c r="W4338" i="11"/>
  <c r="AH4337" i="11"/>
  <c r="AB4337" i="11"/>
  <c r="W4337" i="11"/>
  <c r="AH4336" i="11"/>
  <c r="AB4336" i="11"/>
  <c r="W4336" i="11"/>
  <c r="AH4335" i="11"/>
  <c r="AB4335" i="11"/>
  <c r="W4335" i="11"/>
  <c r="AH4334" i="11"/>
  <c r="AB4334" i="11"/>
  <c r="W4334" i="11"/>
  <c r="AH4333" i="11"/>
  <c r="AB4333" i="11"/>
  <c r="W4333" i="11"/>
  <c r="AH4332" i="11"/>
  <c r="AB4332" i="11"/>
  <c r="W4332" i="11"/>
  <c r="AH4331" i="11"/>
  <c r="AB4331" i="11"/>
  <c r="W4331" i="11"/>
  <c r="AH4330" i="11"/>
  <c r="AB4330" i="11"/>
  <c r="W4330" i="11"/>
  <c r="AH4329" i="11"/>
  <c r="AB4329" i="11"/>
  <c r="W4329" i="11"/>
  <c r="AH4328" i="11"/>
  <c r="AB4328" i="11"/>
  <c r="W4328" i="11"/>
  <c r="AH4327" i="11"/>
  <c r="AB4327" i="11"/>
  <c r="W4327" i="11"/>
  <c r="AH4326" i="11"/>
  <c r="AB4326" i="11"/>
  <c r="W4326" i="11"/>
  <c r="AH4325" i="11"/>
  <c r="AB4325" i="11"/>
  <c r="W4325" i="11"/>
  <c r="AH4324" i="11"/>
  <c r="AB4324" i="11"/>
  <c r="W4324" i="11"/>
  <c r="AH4323" i="11"/>
  <c r="AB4323" i="11"/>
  <c r="W4323" i="11"/>
  <c r="AH4322" i="11"/>
  <c r="AB4322" i="11"/>
  <c r="W4322" i="11"/>
  <c r="AH4321" i="11"/>
  <c r="AB4321" i="11"/>
  <c r="W4321" i="11"/>
  <c r="AH4320" i="11"/>
  <c r="AB4320" i="11"/>
  <c r="W4320" i="11"/>
  <c r="AH4319" i="11"/>
  <c r="AB4319" i="11"/>
  <c r="W4319" i="11"/>
  <c r="AH4318" i="11"/>
  <c r="AB4318" i="11"/>
  <c r="W4318" i="11"/>
  <c r="AH4317" i="11"/>
  <c r="AB4317" i="11"/>
  <c r="W4317" i="11"/>
  <c r="AH4316" i="11"/>
  <c r="AB4316" i="11"/>
  <c r="W4316" i="11"/>
  <c r="AH4315" i="11"/>
  <c r="AB4315" i="11"/>
  <c r="W4315" i="11"/>
  <c r="AH4314" i="11"/>
  <c r="AB4314" i="11"/>
  <c r="W4314" i="11"/>
  <c r="AH4313" i="11"/>
  <c r="AB4313" i="11"/>
  <c r="W4313" i="11"/>
  <c r="AH4312" i="11"/>
  <c r="AB4312" i="11"/>
  <c r="W4312" i="11"/>
  <c r="AH4311" i="11"/>
  <c r="AB4311" i="11"/>
  <c r="W4311" i="11"/>
  <c r="AH4310" i="11"/>
  <c r="AB4310" i="11"/>
  <c r="W4310" i="11"/>
  <c r="AH4309" i="11"/>
  <c r="AB4309" i="11"/>
  <c r="W4309" i="11"/>
  <c r="AH4308" i="11"/>
  <c r="AB4308" i="11"/>
  <c r="W4308" i="11"/>
  <c r="AH4307" i="11"/>
  <c r="AB4307" i="11"/>
  <c r="W4307" i="11"/>
  <c r="AH4306" i="11"/>
  <c r="AB4306" i="11"/>
  <c r="W4306" i="11"/>
  <c r="AH4305" i="11"/>
  <c r="AB4305" i="11"/>
  <c r="W4305" i="11"/>
  <c r="AH4304" i="11"/>
  <c r="AB4304" i="11"/>
  <c r="W4304" i="11"/>
  <c r="AH4303" i="11"/>
  <c r="AB4303" i="11"/>
  <c r="W4303" i="11"/>
  <c r="AH4302" i="11"/>
  <c r="AB4302" i="11"/>
  <c r="W4302" i="11"/>
  <c r="AH4301" i="11"/>
  <c r="AB4301" i="11"/>
  <c r="W4301" i="11"/>
  <c r="AH4300" i="11"/>
  <c r="AB4300" i="11"/>
  <c r="W4300" i="11"/>
  <c r="AH4299" i="11"/>
  <c r="AB4299" i="11"/>
  <c r="W4299" i="11"/>
  <c r="AH4298" i="11"/>
  <c r="AB4298" i="11"/>
  <c r="W4298" i="11"/>
  <c r="AH4297" i="11"/>
  <c r="AB4297" i="11"/>
  <c r="W4297" i="11"/>
  <c r="AH4296" i="11"/>
  <c r="AB4296" i="11"/>
  <c r="W4296" i="11"/>
  <c r="AH4295" i="11"/>
  <c r="AB4295" i="11"/>
  <c r="W4295" i="11"/>
  <c r="AH4294" i="11"/>
  <c r="AB4294" i="11"/>
  <c r="W4294" i="11"/>
  <c r="AH4293" i="11"/>
  <c r="AB4293" i="11"/>
  <c r="W4293" i="11"/>
  <c r="AH4292" i="11"/>
  <c r="AB4292" i="11"/>
  <c r="W4292" i="11"/>
  <c r="AH4291" i="11"/>
  <c r="AB4291" i="11"/>
  <c r="W4291" i="11"/>
  <c r="AH4290" i="11"/>
  <c r="AB4290" i="11"/>
  <c r="W4290" i="11"/>
  <c r="AH4289" i="11"/>
  <c r="AB4289" i="11"/>
  <c r="W4289" i="11"/>
  <c r="AH4288" i="11"/>
  <c r="AB4288" i="11"/>
  <c r="W4288" i="11"/>
  <c r="AH4287" i="11"/>
  <c r="AB4287" i="11"/>
  <c r="W4287" i="11"/>
  <c r="AH4286" i="11"/>
  <c r="AB4286" i="11"/>
  <c r="W4286" i="11"/>
  <c r="AH4285" i="11"/>
  <c r="AB4285" i="11"/>
  <c r="W4285" i="11"/>
  <c r="AH4284" i="11"/>
  <c r="AB4284" i="11"/>
  <c r="W4284" i="11"/>
  <c r="AH4283" i="11"/>
  <c r="AB4283" i="11"/>
  <c r="W4283" i="11"/>
  <c r="AH4282" i="11"/>
  <c r="AB4282" i="11"/>
  <c r="W4282" i="11"/>
  <c r="AH4281" i="11"/>
  <c r="AB4281" i="11"/>
  <c r="W4281" i="11"/>
  <c r="AH4280" i="11"/>
  <c r="AB4280" i="11"/>
  <c r="W4280" i="11"/>
  <c r="AH4279" i="11"/>
  <c r="AB4279" i="11"/>
  <c r="W4279" i="11"/>
  <c r="AH4278" i="11"/>
  <c r="AB4278" i="11"/>
  <c r="W4278" i="11"/>
  <c r="AH4277" i="11"/>
  <c r="AB4277" i="11"/>
  <c r="W4277" i="11"/>
  <c r="AH4276" i="11"/>
  <c r="AB4276" i="11"/>
  <c r="W4276" i="11"/>
  <c r="AH4275" i="11"/>
  <c r="AB4275" i="11"/>
  <c r="W4275" i="11"/>
  <c r="AH4274" i="11"/>
  <c r="AB4274" i="11"/>
  <c r="W4274" i="11"/>
  <c r="AH4273" i="11"/>
  <c r="AB4273" i="11"/>
  <c r="W4273" i="11"/>
  <c r="AH4272" i="11"/>
  <c r="AB4272" i="11"/>
  <c r="W4272" i="11"/>
  <c r="AH4271" i="11"/>
  <c r="AB4271" i="11"/>
  <c r="W4271" i="11"/>
  <c r="AH4270" i="11"/>
  <c r="AB4270" i="11"/>
  <c r="W4270" i="11"/>
  <c r="AH4269" i="11"/>
  <c r="AB4269" i="11"/>
  <c r="W4269" i="11"/>
  <c r="AH4268" i="11"/>
  <c r="AB4268" i="11"/>
  <c r="W4268" i="11"/>
  <c r="AH4267" i="11"/>
  <c r="AB4267" i="11"/>
  <c r="W4267" i="11"/>
  <c r="AH4266" i="11"/>
  <c r="AB4266" i="11"/>
  <c r="W4266" i="11"/>
  <c r="AH4265" i="11"/>
  <c r="AB4265" i="11"/>
  <c r="W4265" i="11"/>
  <c r="AH4264" i="11"/>
  <c r="AB4264" i="11"/>
  <c r="W4264" i="11"/>
  <c r="AH4263" i="11"/>
  <c r="AB4263" i="11"/>
  <c r="W4263" i="11"/>
  <c r="AH4262" i="11"/>
  <c r="AB4262" i="11"/>
  <c r="W4262" i="11"/>
  <c r="AH4261" i="11"/>
  <c r="AB4261" i="11"/>
  <c r="W4261" i="11"/>
  <c r="AH4260" i="11"/>
  <c r="AB4260" i="11"/>
  <c r="W4260" i="11"/>
  <c r="AH4259" i="11"/>
  <c r="AB4259" i="11"/>
  <c r="W4259" i="11"/>
  <c r="AH4258" i="11"/>
  <c r="AB4258" i="11"/>
  <c r="W4258" i="11"/>
  <c r="AH4257" i="11"/>
  <c r="AB4257" i="11"/>
  <c r="W4257" i="11"/>
  <c r="AH4256" i="11"/>
  <c r="AB4256" i="11"/>
  <c r="W4256" i="11"/>
  <c r="AH4255" i="11"/>
  <c r="AB4255" i="11"/>
  <c r="W4255" i="11"/>
  <c r="AH4254" i="11"/>
  <c r="AB4254" i="11"/>
  <c r="W4254" i="11"/>
  <c r="AH4253" i="11"/>
  <c r="AB4253" i="11"/>
  <c r="W4253" i="11"/>
  <c r="AH4252" i="11"/>
  <c r="AB4252" i="11"/>
  <c r="W4252" i="11"/>
  <c r="AH4251" i="11"/>
  <c r="AB4251" i="11"/>
  <c r="W4251" i="11"/>
  <c r="AH4250" i="11"/>
  <c r="AB4250" i="11"/>
  <c r="W4250" i="11"/>
  <c r="AH4249" i="11"/>
  <c r="AB4249" i="11"/>
  <c r="W4249" i="11"/>
  <c r="AH4248" i="11"/>
  <c r="AB4248" i="11"/>
  <c r="W4248" i="11"/>
  <c r="AH4247" i="11"/>
  <c r="AB4247" i="11"/>
  <c r="W4247" i="11"/>
  <c r="AH4246" i="11"/>
  <c r="AB4246" i="11"/>
  <c r="W4246" i="11"/>
  <c r="AH4245" i="11"/>
  <c r="AB4245" i="11"/>
  <c r="W4245" i="11"/>
  <c r="AH4244" i="11"/>
  <c r="AB4244" i="11"/>
  <c r="W4244" i="11"/>
  <c r="AH4243" i="11"/>
  <c r="AB4243" i="11"/>
  <c r="W4243" i="11"/>
  <c r="AH4242" i="11"/>
  <c r="AB4242" i="11"/>
  <c r="W4242" i="11"/>
  <c r="AH4241" i="11"/>
  <c r="AB4241" i="11"/>
  <c r="W4241" i="11"/>
  <c r="AH4240" i="11"/>
  <c r="AB4240" i="11"/>
  <c r="W4240" i="11"/>
  <c r="AH4239" i="11"/>
  <c r="AB4239" i="11"/>
  <c r="W4239" i="11"/>
  <c r="AH4238" i="11"/>
  <c r="AB4238" i="11"/>
  <c r="W4238" i="11"/>
  <c r="AH4237" i="11"/>
  <c r="AB4237" i="11"/>
  <c r="W4237" i="11"/>
  <c r="AH4236" i="11"/>
  <c r="AB4236" i="11"/>
  <c r="W4236" i="11"/>
  <c r="AH4235" i="11"/>
  <c r="AB4235" i="11"/>
  <c r="W4235" i="11"/>
  <c r="AH4234" i="11"/>
  <c r="AB4234" i="11"/>
  <c r="W4234" i="11"/>
  <c r="AH4233" i="11"/>
  <c r="AB4233" i="11"/>
  <c r="W4233" i="11"/>
  <c r="AH4232" i="11"/>
  <c r="AB4232" i="11"/>
  <c r="W4232" i="11"/>
  <c r="AH4231" i="11"/>
  <c r="AB4231" i="11"/>
  <c r="W4231" i="11"/>
  <c r="AH4230" i="11"/>
  <c r="AB4230" i="11"/>
  <c r="W4230" i="11"/>
  <c r="AH4229" i="11"/>
  <c r="AB4229" i="11"/>
  <c r="W4229" i="11"/>
  <c r="AH4228" i="11"/>
  <c r="AB4228" i="11"/>
  <c r="W4228" i="11"/>
  <c r="AH4227" i="11"/>
  <c r="AB4227" i="11"/>
  <c r="W4227" i="11"/>
  <c r="AH4226" i="11"/>
  <c r="AB4226" i="11"/>
  <c r="W4226" i="11"/>
  <c r="AH4225" i="11"/>
  <c r="AB4225" i="11"/>
  <c r="W4225" i="11"/>
  <c r="AH4224" i="11"/>
  <c r="AB4224" i="11"/>
  <c r="W4224" i="11"/>
  <c r="AH4223" i="11"/>
  <c r="AB4223" i="11"/>
  <c r="W4223" i="11"/>
  <c r="AH4222" i="11"/>
  <c r="AB4222" i="11"/>
  <c r="W4222" i="11"/>
  <c r="AH4221" i="11"/>
  <c r="AB4221" i="11"/>
  <c r="W4221" i="11"/>
  <c r="AH4220" i="11"/>
  <c r="AB4220" i="11"/>
  <c r="W4220" i="11"/>
  <c r="AH4219" i="11"/>
  <c r="AB4219" i="11"/>
  <c r="W4219" i="11"/>
  <c r="AH4218" i="11"/>
  <c r="AB4218" i="11"/>
  <c r="W4218" i="11"/>
  <c r="AH4217" i="11"/>
  <c r="AB4217" i="11"/>
  <c r="W4217" i="11"/>
  <c r="AH4216" i="11"/>
  <c r="AB4216" i="11"/>
  <c r="W4216" i="11"/>
  <c r="AH4215" i="11"/>
  <c r="AB4215" i="11"/>
  <c r="W4215" i="11"/>
  <c r="AH4214" i="11"/>
  <c r="AB4214" i="11"/>
  <c r="W4214" i="11"/>
  <c r="AH4213" i="11"/>
  <c r="AB4213" i="11"/>
  <c r="W4213" i="11"/>
  <c r="AH4212" i="11"/>
  <c r="AB4212" i="11"/>
  <c r="W4212" i="11"/>
  <c r="AH4211" i="11"/>
  <c r="AB4211" i="11"/>
  <c r="W4211" i="11"/>
  <c r="AH4210" i="11"/>
  <c r="AB4210" i="11"/>
  <c r="W4210" i="11"/>
  <c r="AH4209" i="11"/>
  <c r="AB4209" i="11"/>
  <c r="W4209" i="11"/>
  <c r="AH4208" i="11"/>
  <c r="AB4208" i="11"/>
  <c r="W4208" i="11"/>
  <c r="AH4207" i="11"/>
  <c r="AB4207" i="11"/>
  <c r="W4207" i="11"/>
  <c r="AH4206" i="11"/>
  <c r="AB4206" i="11"/>
  <c r="W4206" i="11"/>
  <c r="AH4205" i="11"/>
  <c r="AB4205" i="11"/>
  <c r="W4205" i="11"/>
  <c r="AH4204" i="11"/>
  <c r="AB4204" i="11"/>
  <c r="W4204" i="11"/>
  <c r="AH4203" i="11"/>
  <c r="AB4203" i="11"/>
  <c r="W4203" i="11"/>
  <c r="AH4202" i="11"/>
  <c r="AB4202" i="11"/>
  <c r="W4202" i="11"/>
  <c r="AH4201" i="11"/>
  <c r="AB4201" i="11"/>
  <c r="W4201" i="11"/>
  <c r="AH4200" i="11"/>
  <c r="AB4200" i="11"/>
  <c r="W4200" i="11"/>
  <c r="AH4199" i="11"/>
  <c r="AB4199" i="11"/>
  <c r="W4199" i="11"/>
  <c r="AH4198" i="11"/>
  <c r="AB4198" i="11"/>
  <c r="W4198" i="11"/>
  <c r="AH4197" i="11"/>
  <c r="AB4197" i="11"/>
  <c r="W4197" i="11"/>
  <c r="AH4196" i="11"/>
  <c r="AB4196" i="11"/>
  <c r="W4196" i="11"/>
  <c r="AH4195" i="11"/>
  <c r="AB4195" i="11"/>
  <c r="W4195" i="11"/>
  <c r="AH4194" i="11"/>
  <c r="AB4194" i="11"/>
  <c r="W4194" i="11"/>
  <c r="AH4193" i="11"/>
  <c r="AB4193" i="11"/>
  <c r="W4193" i="11"/>
  <c r="AH4192" i="11"/>
  <c r="AB4192" i="11"/>
  <c r="W4192" i="11"/>
  <c r="AH4191" i="11"/>
  <c r="AB4191" i="11"/>
  <c r="W4191" i="11"/>
  <c r="AH4190" i="11"/>
  <c r="AB4190" i="11"/>
  <c r="W4190" i="11"/>
  <c r="AH4189" i="11"/>
  <c r="AB4189" i="11"/>
  <c r="W4189" i="11"/>
  <c r="AH4188" i="11"/>
  <c r="AB4188" i="11"/>
  <c r="W4188" i="11"/>
  <c r="AH4187" i="11"/>
  <c r="AB4187" i="11"/>
  <c r="W4187" i="11"/>
  <c r="AH4186" i="11"/>
  <c r="AB4186" i="11"/>
  <c r="W4186" i="11"/>
  <c r="AH4185" i="11"/>
  <c r="AB4185" i="11"/>
  <c r="W4185" i="11"/>
  <c r="AH4184" i="11"/>
  <c r="AB4184" i="11"/>
  <c r="W4184" i="11"/>
  <c r="AH4183" i="11"/>
  <c r="AB4183" i="11"/>
  <c r="W4183" i="11"/>
  <c r="AH4182" i="11"/>
  <c r="AB4182" i="11"/>
  <c r="W4182" i="11"/>
  <c r="AH4181" i="11"/>
  <c r="AB4181" i="11"/>
  <c r="W4181" i="11"/>
  <c r="AH4180" i="11"/>
  <c r="AB4180" i="11"/>
  <c r="W4180" i="11"/>
  <c r="AH4179" i="11"/>
  <c r="AB4179" i="11"/>
  <c r="W4179" i="11"/>
  <c r="AH4178" i="11"/>
  <c r="AB4178" i="11"/>
  <c r="W4178" i="11"/>
  <c r="AH4177" i="11"/>
  <c r="AB4177" i="11"/>
  <c r="W4177" i="11"/>
  <c r="AH4176" i="11"/>
  <c r="AB4176" i="11"/>
  <c r="W4176" i="11"/>
  <c r="AH4175" i="11"/>
  <c r="AB4175" i="11"/>
  <c r="W4175" i="11"/>
  <c r="AH4174" i="11"/>
  <c r="AB4174" i="11"/>
  <c r="W4174" i="11"/>
  <c r="AH4173" i="11"/>
  <c r="AB4173" i="11"/>
  <c r="W4173" i="11"/>
  <c r="AH4172" i="11"/>
  <c r="AB4172" i="11"/>
  <c r="W4172" i="11"/>
  <c r="AH4171" i="11"/>
  <c r="AB4171" i="11"/>
  <c r="W4171" i="11"/>
  <c r="AH4170" i="11"/>
  <c r="AB4170" i="11"/>
  <c r="W4170" i="11"/>
  <c r="AH4169" i="11"/>
  <c r="AB4169" i="11"/>
  <c r="W4169" i="11"/>
  <c r="AH4168" i="11"/>
  <c r="AB4168" i="11"/>
  <c r="W4168" i="11"/>
  <c r="AH4167" i="11"/>
  <c r="AB4167" i="11"/>
  <c r="W4167" i="11"/>
  <c r="AH4166" i="11"/>
  <c r="AB4166" i="11"/>
  <c r="W4166" i="11"/>
  <c r="AH4165" i="11"/>
  <c r="AB4165" i="11"/>
  <c r="W4165" i="11"/>
  <c r="AH4164" i="11"/>
  <c r="AB4164" i="11"/>
  <c r="W4164" i="11"/>
  <c r="AH4163" i="11"/>
  <c r="AB4163" i="11"/>
  <c r="W4163" i="11"/>
  <c r="AH4162" i="11"/>
  <c r="AB4162" i="11"/>
  <c r="W4162" i="11"/>
  <c r="AH4161" i="11"/>
  <c r="AB4161" i="11"/>
  <c r="W4161" i="11"/>
  <c r="AH4160" i="11"/>
  <c r="AB4160" i="11"/>
  <c r="W4160" i="11"/>
  <c r="AH4159" i="11"/>
  <c r="AB4159" i="11"/>
  <c r="W4159" i="11"/>
  <c r="AH4158" i="11"/>
  <c r="AB4158" i="11"/>
  <c r="W4158" i="11"/>
  <c r="AH4157" i="11"/>
  <c r="AB4157" i="11"/>
  <c r="W4157" i="11"/>
  <c r="AH4156" i="11"/>
  <c r="AB4156" i="11"/>
  <c r="W4156" i="11"/>
  <c r="AH4155" i="11"/>
  <c r="AB4155" i="11"/>
  <c r="W4155" i="11"/>
  <c r="AH4154" i="11"/>
  <c r="AB4154" i="11"/>
  <c r="W4154" i="11"/>
  <c r="AH4153" i="11"/>
  <c r="AB4153" i="11"/>
  <c r="W4153" i="11"/>
  <c r="AH4152" i="11"/>
  <c r="AB4152" i="11"/>
  <c r="W4152" i="11"/>
  <c r="AH4151" i="11"/>
  <c r="AB4151" i="11"/>
  <c r="W4151" i="11"/>
  <c r="AH4150" i="11"/>
  <c r="AB4150" i="11"/>
  <c r="W4150" i="11"/>
  <c r="AH4149" i="11"/>
  <c r="AB4149" i="11"/>
  <c r="W4149" i="11"/>
  <c r="AH4148" i="11"/>
  <c r="AB4148" i="11"/>
  <c r="W4148" i="11"/>
  <c r="AH4147" i="11"/>
  <c r="AB4147" i="11"/>
  <c r="W4147" i="11"/>
  <c r="AH4146" i="11"/>
  <c r="AB4146" i="11"/>
  <c r="W4146" i="11"/>
  <c r="AH4145" i="11"/>
  <c r="AB4145" i="11"/>
  <c r="W4145" i="11"/>
  <c r="AH4144" i="11"/>
  <c r="AB4144" i="11"/>
  <c r="W4144" i="11"/>
  <c r="AH4143" i="11"/>
  <c r="AB4143" i="11"/>
  <c r="W4143" i="11"/>
  <c r="AH4142" i="11"/>
  <c r="AB4142" i="11"/>
  <c r="W4142" i="11"/>
  <c r="AH4141" i="11"/>
  <c r="AB4141" i="11"/>
  <c r="W4141" i="11"/>
  <c r="AH4140" i="11"/>
  <c r="AB4140" i="11"/>
  <c r="W4140" i="11"/>
  <c r="AH4139" i="11"/>
  <c r="AB4139" i="11"/>
  <c r="W4139" i="11"/>
  <c r="AH4138" i="11"/>
  <c r="AB4138" i="11"/>
  <c r="W4138" i="11"/>
  <c r="AH4137" i="11"/>
  <c r="AB4137" i="11"/>
  <c r="W4137" i="11"/>
  <c r="AH4136" i="11"/>
  <c r="AB4136" i="11"/>
  <c r="W4136" i="11"/>
  <c r="AH4135" i="11"/>
  <c r="AB4135" i="11"/>
  <c r="W4135" i="11"/>
  <c r="AH4134" i="11"/>
  <c r="AB4134" i="11"/>
  <c r="W4134" i="11"/>
  <c r="AH4133" i="11"/>
  <c r="AB4133" i="11"/>
  <c r="W4133" i="11"/>
  <c r="AH4132" i="11"/>
  <c r="AB4132" i="11"/>
  <c r="W4132" i="11"/>
  <c r="AH4131" i="11"/>
  <c r="AB4131" i="11"/>
  <c r="W4131" i="11"/>
  <c r="AH4130" i="11"/>
  <c r="AB4130" i="11"/>
  <c r="W4130" i="11"/>
  <c r="AH4129" i="11"/>
  <c r="AB4129" i="11"/>
  <c r="W4129" i="11"/>
  <c r="AH4128" i="11"/>
  <c r="AB4128" i="11"/>
  <c r="W4128" i="11"/>
  <c r="AH4127" i="11"/>
  <c r="AB4127" i="11"/>
  <c r="W4127" i="11"/>
  <c r="AH4126" i="11"/>
  <c r="AB4126" i="11"/>
  <c r="W4126" i="11"/>
  <c r="AH4125" i="11"/>
  <c r="AB4125" i="11"/>
  <c r="W4125" i="11"/>
  <c r="AH4124" i="11"/>
  <c r="AB4124" i="11"/>
  <c r="W4124" i="11"/>
  <c r="AH4123" i="11"/>
  <c r="AB4123" i="11"/>
  <c r="W4123" i="11"/>
  <c r="AH4122" i="11"/>
  <c r="AB4122" i="11"/>
  <c r="W4122" i="11"/>
  <c r="AH4121" i="11"/>
  <c r="AB4121" i="11"/>
  <c r="W4121" i="11"/>
  <c r="AH4120" i="11"/>
  <c r="AB4120" i="11"/>
  <c r="W4120" i="11"/>
  <c r="AH4119" i="11"/>
  <c r="AB4119" i="11"/>
  <c r="W4119" i="11"/>
  <c r="AH4118" i="11"/>
  <c r="AB4118" i="11"/>
  <c r="W4118" i="11"/>
  <c r="AH4117" i="11"/>
  <c r="AB4117" i="11"/>
  <c r="W4117" i="11"/>
  <c r="AH4116" i="11"/>
  <c r="AB4116" i="11"/>
  <c r="W4116" i="11"/>
  <c r="AH4115" i="11"/>
  <c r="AB4115" i="11"/>
  <c r="W4115" i="11"/>
  <c r="AH4114" i="11"/>
  <c r="AB4114" i="11"/>
  <c r="W4114" i="11"/>
  <c r="AH4113" i="11"/>
  <c r="AB4113" i="11"/>
  <c r="W4113" i="11"/>
  <c r="AH4112" i="11"/>
  <c r="AB4112" i="11"/>
  <c r="W4112" i="11"/>
  <c r="AH4111" i="11"/>
  <c r="AB4111" i="11"/>
  <c r="W4111" i="11"/>
  <c r="AH4110" i="11"/>
  <c r="AB4110" i="11"/>
  <c r="W4110" i="11"/>
  <c r="AH4109" i="11"/>
  <c r="AB4109" i="11"/>
  <c r="W4109" i="11"/>
  <c r="AH4108" i="11"/>
  <c r="AB4108" i="11"/>
  <c r="W4108" i="11"/>
  <c r="AH4107" i="11"/>
  <c r="AB4107" i="11"/>
  <c r="W4107" i="11"/>
  <c r="AH4106" i="11"/>
  <c r="AB4106" i="11"/>
  <c r="W4106" i="11"/>
  <c r="AH4105" i="11"/>
  <c r="AB4105" i="11"/>
  <c r="W4105" i="11"/>
  <c r="AH4104" i="11"/>
  <c r="AB4104" i="11"/>
  <c r="W4104" i="11"/>
  <c r="AH4103" i="11"/>
  <c r="AB4103" i="11"/>
  <c r="W4103" i="11"/>
  <c r="AH4102" i="11"/>
  <c r="AB4102" i="11"/>
  <c r="W4102" i="11"/>
  <c r="AH4101" i="11"/>
  <c r="AB4101" i="11"/>
  <c r="W4101" i="11"/>
  <c r="AH4100" i="11"/>
  <c r="AB4100" i="11"/>
  <c r="W4100" i="11"/>
  <c r="AH4099" i="11"/>
  <c r="AB4099" i="11"/>
  <c r="W4099" i="11"/>
  <c r="AH4098" i="11"/>
  <c r="AB4098" i="11"/>
  <c r="W4098" i="11"/>
  <c r="AH4097" i="11"/>
  <c r="AB4097" i="11"/>
  <c r="W4097" i="11"/>
  <c r="AH4096" i="11"/>
  <c r="AB4096" i="11"/>
  <c r="W4096" i="11"/>
  <c r="AH4095" i="11"/>
  <c r="AB4095" i="11"/>
  <c r="W4095" i="11"/>
  <c r="AH4094" i="11"/>
  <c r="AB4094" i="11"/>
  <c r="W4094" i="11"/>
  <c r="AH4093" i="11"/>
  <c r="AB4093" i="11"/>
  <c r="W4093" i="11"/>
  <c r="AH4092" i="11"/>
  <c r="AB4092" i="11"/>
  <c r="W4092" i="11"/>
  <c r="AH4091" i="11"/>
  <c r="AB4091" i="11"/>
  <c r="W4091" i="11"/>
  <c r="AH4090" i="11"/>
  <c r="AB4090" i="11"/>
  <c r="W4090" i="11"/>
  <c r="AH4089" i="11"/>
  <c r="AB4089" i="11"/>
  <c r="W4089" i="11"/>
  <c r="AH4088" i="11"/>
  <c r="AB4088" i="11"/>
  <c r="W4088" i="11"/>
  <c r="AH4087" i="11"/>
  <c r="AB4087" i="11"/>
  <c r="W4087" i="11"/>
  <c r="AH4086" i="11"/>
  <c r="AB4086" i="11"/>
  <c r="W4086" i="11"/>
  <c r="AH4085" i="11"/>
  <c r="AB4085" i="11"/>
  <c r="W4085" i="11"/>
  <c r="AH4084" i="11"/>
  <c r="AB4084" i="11"/>
  <c r="W4084" i="11"/>
  <c r="AH4083" i="11"/>
  <c r="AB4083" i="11"/>
  <c r="W4083" i="11"/>
  <c r="AH4082" i="11"/>
  <c r="AB4082" i="11"/>
  <c r="W4082" i="11"/>
  <c r="AH4081" i="11"/>
  <c r="AB4081" i="11"/>
  <c r="W4081" i="11"/>
  <c r="AH4080" i="11"/>
  <c r="AB4080" i="11"/>
  <c r="W4080" i="11"/>
  <c r="AH4079" i="11"/>
  <c r="AB4079" i="11"/>
  <c r="W4079" i="11"/>
  <c r="AH4078" i="11"/>
  <c r="AB4078" i="11"/>
  <c r="W4078" i="11"/>
  <c r="AH4077" i="11"/>
  <c r="AB4077" i="11"/>
  <c r="W4077" i="11"/>
  <c r="AH4076" i="11"/>
  <c r="AB4076" i="11"/>
  <c r="W4076" i="11"/>
  <c r="AH4075" i="11"/>
  <c r="AB4075" i="11"/>
  <c r="W4075" i="11"/>
  <c r="AH4074" i="11"/>
  <c r="AB4074" i="11"/>
  <c r="W4074" i="11"/>
  <c r="AH4073" i="11"/>
  <c r="AB4073" i="11"/>
  <c r="W4073" i="11"/>
  <c r="AH4072" i="11"/>
  <c r="AB4072" i="11"/>
  <c r="W4072" i="11"/>
  <c r="AH4071" i="11"/>
  <c r="AB4071" i="11"/>
  <c r="W4071" i="11"/>
  <c r="AH4070" i="11"/>
  <c r="AB4070" i="11"/>
  <c r="W4070" i="11"/>
  <c r="AH4069" i="11"/>
  <c r="AB4069" i="11"/>
  <c r="W4069" i="11"/>
  <c r="AH4068" i="11"/>
  <c r="AB4068" i="11"/>
  <c r="W4068" i="11"/>
  <c r="AH4067" i="11"/>
  <c r="AB4067" i="11"/>
  <c r="W4067" i="11"/>
  <c r="AH4066" i="11"/>
  <c r="AB4066" i="11"/>
  <c r="W4066" i="11"/>
  <c r="AH4065" i="11"/>
  <c r="AB4065" i="11"/>
  <c r="W4065" i="11"/>
  <c r="AH4064" i="11"/>
  <c r="AB4064" i="11"/>
  <c r="W4064" i="11"/>
  <c r="AH4063" i="11"/>
  <c r="AB4063" i="11"/>
  <c r="W4063" i="11"/>
  <c r="AH4062" i="11"/>
  <c r="AB4062" i="11"/>
  <c r="W4062" i="11"/>
  <c r="AH4061" i="11"/>
  <c r="AB4061" i="11"/>
  <c r="W4061" i="11"/>
  <c r="AH4060" i="11"/>
  <c r="AB4060" i="11"/>
  <c r="W4060" i="11"/>
  <c r="AH4059" i="11"/>
  <c r="AB4059" i="11"/>
  <c r="W4059" i="11"/>
  <c r="AH4058" i="11"/>
  <c r="AB4058" i="11"/>
  <c r="W4058" i="11"/>
  <c r="AH4057" i="11"/>
  <c r="AB4057" i="11"/>
  <c r="W4057" i="11"/>
  <c r="AH4056" i="11"/>
  <c r="AB4056" i="11"/>
  <c r="W4056" i="11"/>
  <c r="AH4055" i="11"/>
  <c r="AB4055" i="11"/>
  <c r="W4055" i="11"/>
  <c r="AH4054" i="11"/>
  <c r="AB4054" i="11"/>
  <c r="W4054" i="11"/>
  <c r="AH4053" i="11"/>
  <c r="AB4053" i="11"/>
  <c r="W4053" i="11"/>
  <c r="AH4052" i="11"/>
  <c r="AB4052" i="11"/>
  <c r="W4052" i="11"/>
  <c r="AH4051" i="11"/>
  <c r="AB4051" i="11"/>
  <c r="W4051" i="11"/>
  <c r="AH4050" i="11"/>
  <c r="AB4050" i="11"/>
  <c r="W4050" i="11"/>
  <c r="AH4049" i="11"/>
  <c r="AB4049" i="11"/>
  <c r="W4049" i="11"/>
  <c r="AH4048" i="11"/>
  <c r="AB4048" i="11"/>
  <c r="W4048" i="11"/>
  <c r="AH4047" i="11"/>
  <c r="AB4047" i="11"/>
  <c r="W4047" i="11"/>
  <c r="AH4046" i="11"/>
  <c r="AB4046" i="11"/>
  <c r="W4046" i="11"/>
  <c r="AH4045" i="11"/>
  <c r="AB4045" i="11"/>
  <c r="W4045" i="11"/>
  <c r="AH4044" i="11"/>
  <c r="AB4044" i="11"/>
  <c r="W4044" i="11"/>
  <c r="AH4043" i="11"/>
  <c r="AB4043" i="11"/>
  <c r="W4043" i="11"/>
  <c r="AH4042" i="11"/>
  <c r="AB4042" i="11"/>
  <c r="W4042" i="11"/>
  <c r="AH4041" i="11"/>
  <c r="AB4041" i="11"/>
  <c r="W4041" i="11"/>
  <c r="AH4040" i="11"/>
  <c r="AB4040" i="11"/>
  <c r="W4040" i="11"/>
  <c r="AH4039" i="11"/>
  <c r="AB4039" i="11"/>
  <c r="W4039" i="11"/>
  <c r="AH4038" i="11"/>
  <c r="AB4038" i="11"/>
  <c r="W4038" i="11"/>
  <c r="AH4037" i="11"/>
  <c r="AB4037" i="11"/>
  <c r="W4037" i="11"/>
  <c r="AH4036" i="11"/>
  <c r="AB4036" i="11"/>
  <c r="W4036" i="11"/>
  <c r="AH4035" i="11"/>
  <c r="AB4035" i="11"/>
  <c r="W4035" i="11"/>
  <c r="AH4034" i="11"/>
  <c r="AB4034" i="11"/>
  <c r="W4034" i="11"/>
  <c r="AH4033" i="11"/>
  <c r="AB4033" i="11"/>
  <c r="W4033" i="11"/>
  <c r="AH4032" i="11"/>
  <c r="AB4032" i="11"/>
  <c r="W4032" i="11"/>
  <c r="AH4031" i="11"/>
  <c r="AB4031" i="11"/>
  <c r="W4031" i="11"/>
  <c r="AH4030" i="11"/>
  <c r="AB4030" i="11"/>
  <c r="W4030" i="11"/>
  <c r="AH4029" i="11"/>
  <c r="AB4029" i="11"/>
  <c r="W4029" i="11"/>
  <c r="AH4028" i="11"/>
  <c r="AB4028" i="11"/>
  <c r="W4028" i="11"/>
  <c r="AH4027" i="11"/>
  <c r="AB4027" i="11"/>
  <c r="W4027" i="11"/>
  <c r="AH4026" i="11"/>
  <c r="AB4026" i="11"/>
  <c r="W4026" i="11"/>
  <c r="AH4025" i="11"/>
  <c r="AB4025" i="11"/>
  <c r="W4025" i="11"/>
  <c r="AH4024" i="11"/>
  <c r="AB4024" i="11"/>
  <c r="W4024" i="11"/>
  <c r="AH4023" i="11"/>
  <c r="AB4023" i="11"/>
  <c r="W4023" i="11"/>
  <c r="AH4022" i="11"/>
  <c r="AB4022" i="11"/>
  <c r="W4022" i="11"/>
  <c r="AH4021" i="11"/>
  <c r="AB4021" i="11"/>
  <c r="W4021" i="11"/>
  <c r="AH4020" i="11"/>
  <c r="AB4020" i="11"/>
  <c r="W4020" i="11"/>
  <c r="AH4019" i="11"/>
  <c r="AB4019" i="11"/>
  <c r="W4019" i="11"/>
  <c r="AH4018" i="11"/>
  <c r="AB4018" i="11"/>
  <c r="W4018" i="11"/>
  <c r="AH4017" i="11"/>
  <c r="AB4017" i="11"/>
  <c r="W4017" i="11"/>
  <c r="AH4016" i="11"/>
  <c r="AB4016" i="11"/>
  <c r="W4016" i="11"/>
  <c r="AH4015" i="11"/>
  <c r="AB4015" i="11"/>
  <c r="W4015" i="11"/>
  <c r="AH4014" i="11"/>
  <c r="AB4014" i="11"/>
  <c r="W4014" i="11"/>
  <c r="AH4013" i="11"/>
  <c r="AB4013" i="11"/>
  <c r="W4013" i="11"/>
  <c r="AH4012" i="11"/>
  <c r="AB4012" i="11"/>
  <c r="W4012" i="11"/>
  <c r="AH4011" i="11"/>
  <c r="AB4011" i="11"/>
  <c r="W4011" i="11"/>
  <c r="AH4010" i="11"/>
  <c r="AB4010" i="11"/>
  <c r="W4010" i="11"/>
  <c r="AH4009" i="11"/>
  <c r="AB4009" i="11"/>
  <c r="W4009" i="11"/>
  <c r="AH4008" i="11"/>
  <c r="AB4008" i="11"/>
  <c r="W4008" i="11"/>
  <c r="AH4007" i="11"/>
  <c r="AB4007" i="11"/>
  <c r="W4007" i="11"/>
  <c r="AH4006" i="11"/>
  <c r="AB4006" i="11"/>
  <c r="W4006" i="11"/>
  <c r="AH4005" i="11"/>
  <c r="AB4005" i="11"/>
  <c r="W4005" i="11"/>
  <c r="AH4004" i="11"/>
  <c r="AB4004" i="11"/>
  <c r="W4004" i="11"/>
  <c r="AH4003" i="11"/>
  <c r="AB4003" i="11"/>
  <c r="W4003" i="11"/>
  <c r="AH4002" i="11"/>
  <c r="AB4002" i="11"/>
  <c r="W4002" i="11"/>
  <c r="AH4001" i="11"/>
  <c r="AB4001" i="11"/>
  <c r="W4001" i="11"/>
  <c r="AH4000" i="11"/>
  <c r="AB4000" i="11"/>
  <c r="W4000" i="11"/>
  <c r="AH3999" i="11"/>
  <c r="AB3999" i="11"/>
  <c r="W3999" i="11"/>
  <c r="AH3998" i="11"/>
  <c r="AB3998" i="11"/>
  <c r="W3998" i="11"/>
  <c r="AH3997" i="11"/>
  <c r="AB3997" i="11"/>
  <c r="W3997" i="11"/>
  <c r="AH3996" i="11"/>
  <c r="AB3996" i="11"/>
  <c r="W3996" i="11"/>
  <c r="AH3995" i="11"/>
  <c r="AB3995" i="11"/>
  <c r="W3995" i="11"/>
  <c r="AH3994" i="11"/>
  <c r="AB3994" i="11"/>
  <c r="W3994" i="11"/>
  <c r="AH3993" i="11"/>
  <c r="AB3993" i="11"/>
  <c r="W3993" i="11"/>
  <c r="AH3992" i="11"/>
  <c r="AB3992" i="11"/>
  <c r="W3992" i="11"/>
  <c r="AH3991" i="11"/>
  <c r="AB3991" i="11"/>
  <c r="W3991" i="11"/>
  <c r="AH3990" i="11"/>
  <c r="AB3990" i="11"/>
  <c r="W3990" i="11"/>
  <c r="AH3989" i="11"/>
  <c r="AB3989" i="11"/>
  <c r="W3989" i="11"/>
  <c r="AH3988" i="11"/>
  <c r="AB3988" i="11"/>
  <c r="W3988" i="11"/>
  <c r="AH3987" i="11"/>
  <c r="AB3987" i="11"/>
  <c r="W3987" i="11"/>
  <c r="AH3986" i="11"/>
  <c r="AB3986" i="11"/>
  <c r="W3986" i="11"/>
  <c r="AH3985" i="11"/>
  <c r="AB3985" i="11"/>
  <c r="W3985" i="11"/>
  <c r="AH3984" i="11"/>
  <c r="AB3984" i="11"/>
  <c r="W3984" i="11"/>
  <c r="AH3983" i="11"/>
  <c r="AB3983" i="11"/>
  <c r="W3983" i="11"/>
  <c r="AH3982" i="11"/>
  <c r="AB3982" i="11"/>
  <c r="W3982" i="11"/>
  <c r="AH3981" i="11"/>
  <c r="AB3981" i="11"/>
  <c r="W3981" i="11"/>
  <c r="AH3980" i="11"/>
  <c r="AB3980" i="11"/>
  <c r="W3980" i="11"/>
  <c r="AH3979" i="11"/>
  <c r="AB3979" i="11"/>
  <c r="W3979" i="11"/>
  <c r="AH3978" i="11"/>
  <c r="AB3978" i="11"/>
  <c r="W3978" i="11"/>
  <c r="AH3977" i="11"/>
  <c r="AB3977" i="11"/>
  <c r="W3977" i="11"/>
  <c r="AH3976" i="11"/>
  <c r="AB3976" i="11"/>
  <c r="W3976" i="11"/>
  <c r="AH3975" i="11"/>
  <c r="AB3975" i="11"/>
  <c r="W3975" i="11"/>
  <c r="AH3974" i="11"/>
  <c r="AB3974" i="11"/>
  <c r="W3974" i="11"/>
  <c r="AH3973" i="11"/>
  <c r="AB3973" i="11"/>
  <c r="W3973" i="11"/>
  <c r="AH3972" i="11"/>
  <c r="AB3972" i="11"/>
  <c r="W3972" i="11"/>
  <c r="AH3971" i="11"/>
  <c r="AB3971" i="11"/>
  <c r="W3971" i="11"/>
  <c r="AH3970" i="11"/>
  <c r="AB3970" i="11"/>
  <c r="W3970" i="11"/>
  <c r="AH3969" i="11"/>
  <c r="AB3969" i="11"/>
  <c r="W3969" i="11"/>
  <c r="AH3968" i="11"/>
  <c r="AB3968" i="11"/>
  <c r="W3968" i="11"/>
  <c r="AH3967" i="11"/>
  <c r="AB3967" i="11"/>
  <c r="W3967" i="11"/>
  <c r="AH3966" i="11"/>
  <c r="AB3966" i="11"/>
  <c r="W3966" i="11"/>
  <c r="AH3965" i="11"/>
  <c r="AB3965" i="11"/>
  <c r="W3965" i="11"/>
  <c r="AH3964" i="11"/>
  <c r="AB3964" i="11"/>
  <c r="W3964" i="11"/>
  <c r="AH3963" i="11"/>
  <c r="AB3963" i="11"/>
  <c r="W3963" i="11"/>
  <c r="AH3962" i="11"/>
  <c r="AB3962" i="11"/>
  <c r="W3962" i="11"/>
  <c r="AH3961" i="11"/>
  <c r="AB3961" i="11"/>
  <c r="W3961" i="11"/>
  <c r="AH3960" i="11"/>
  <c r="AB3960" i="11"/>
  <c r="W3960" i="11"/>
  <c r="AH3959" i="11"/>
  <c r="AB3959" i="11"/>
  <c r="W3959" i="11"/>
  <c r="AH3958" i="11"/>
  <c r="AB3958" i="11"/>
  <c r="W3958" i="11"/>
  <c r="AH3957" i="11"/>
  <c r="AB3957" i="11"/>
  <c r="W3957" i="11"/>
  <c r="AH3956" i="11"/>
  <c r="AB3956" i="11"/>
  <c r="W3956" i="11"/>
  <c r="AH3955" i="11"/>
  <c r="AB3955" i="11"/>
  <c r="W3955" i="11"/>
  <c r="AH3954" i="11"/>
  <c r="AB3954" i="11"/>
  <c r="W3954" i="11"/>
  <c r="AH3953" i="11"/>
  <c r="AB3953" i="11"/>
  <c r="W3953" i="11"/>
  <c r="AH3952" i="11"/>
  <c r="AB3952" i="11"/>
  <c r="W3952" i="11"/>
  <c r="AH3951" i="11"/>
  <c r="AB3951" i="11"/>
  <c r="W3951" i="11"/>
  <c r="AH3950" i="11"/>
  <c r="AB3950" i="11"/>
  <c r="W3950" i="11"/>
  <c r="AH3949" i="11"/>
  <c r="AB3949" i="11"/>
  <c r="W3949" i="11"/>
  <c r="AH3948" i="11"/>
  <c r="AB3948" i="11"/>
  <c r="W3948" i="11"/>
  <c r="AH3947" i="11"/>
  <c r="AB3947" i="11"/>
  <c r="W3947" i="11"/>
  <c r="AH3946" i="11"/>
  <c r="AB3946" i="11"/>
  <c r="W3946" i="11"/>
  <c r="AH3945" i="11"/>
  <c r="AB3945" i="11"/>
  <c r="W3945" i="11"/>
  <c r="AH3944" i="11"/>
  <c r="AB3944" i="11"/>
  <c r="W3944" i="11"/>
  <c r="AH3943" i="11"/>
  <c r="AB3943" i="11"/>
  <c r="W3943" i="11"/>
  <c r="AH3942" i="11"/>
  <c r="AB3942" i="11"/>
  <c r="W3942" i="11"/>
  <c r="AH3941" i="11"/>
  <c r="AB3941" i="11"/>
  <c r="W3941" i="11"/>
  <c r="AH3940" i="11"/>
  <c r="AB3940" i="11"/>
  <c r="W3940" i="11"/>
  <c r="AH3939" i="11"/>
  <c r="AB3939" i="11"/>
  <c r="W3939" i="11"/>
  <c r="AH3938" i="11"/>
  <c r="AB3938" i="11"/>
  <c r="W3938" i="11"/>
  <c r="AH3937" i="11"/>
  <c r="AB3937" i="11"/>
  <c r="W3937" i="11"/>
  <c r="AH3936" i="11"/>
  <c r="AB3936" i="11"/>
  <c r="W3936" i="11"/>
  <c r="AH3935" i="11"/>
  <c r="AB3935" i="11"/>
  <c r="W3935" i="11"/>
  <c r="AH3934" i="11"/>
  <c r="AB3934" i="11"/>
  <c r="W3934" i="11"/>
  <c r="AH3933" i="11"/>
  <c r="AB3933" i="11"/>
  <c r="W3933" i="11"/>
  <c r="AH3932" i="11"/>
  <c r="AB3932" i="11"/>
  <c r="W3932" i="11"/>
  <c r="AH3931" i="11"/>
  <c r="AB3931" i="11"/>
  <c r="W3931" i="11"/>
  <c r="AH3930" i="11"/>
  <c r="AB3930" i="11"/>
  <c r="W3930" i="11"/>
  <c r="AH3929" i="11"/>
  <c r="AB3929" i="11"/>
  <c r="W3929" i="11"/>
  <c r="AH3928" i="11"/>
  <c r="AB3928" i="11"/>
  <c r="W3928" i="11"/>
  <c r="AH3927" i="11"/>
  <c r="AB3927" i="11"/>
  <c r="W3927" i="11"/>
  <c r="AH3926" i="11"/>
  <c r="AB3926" i="11"/>
  <c r="W3926" i="11"/>
  <c r="AH3925" i="11"/>
  <c r="AB3925" i="11"/>
  <c r="W3925" i="11"/>
  <c r="AH3924" i="11"/>
  <c r="AB3924" i="11"/>
  <c r="W3924" i="11"/>
  <c r="AH3923" i="11"/>
  <c r="AB3923" i="11"/>
  <c r="W3923" i="11"/>
  <c r="AH3922" i="11"/>
  <c r="AB3922" i="11"/>
  <c r="W3922" i="11"/>
  <c r="AH3921" i="11"/>
  <c r="AB3921" i="11"/>
  <c r="W3921" i="11"/>
  <c r="AH3920" i="11"/>
  <c r="AB3920" i="11"/>
  <c r="W3920" i="11"/>
  <c r="AH3919" i="11"/>
  <c r="AB3919" i="11"/>
  <c r="W3919" i="11"/>
  <c r="AH3918" i="11"/>
  <c r="AB3918" i="11"/>
  <c r="W3918" i="11"/>
  <c r="AH3917" i="11"/>
  <c r="AB3917" i="11"/>
  <c r="W3917" i="11"/>
  <c r="AH3916" i="11"/>
  <c r="AB3916" i="11"/>
  <c r="W3916" i="11"/>
  <c r="AH3915" i="11"/>
  <c r="AB3915" i="11"/>
  <c r="W3915" i="11"/>
  <c r="AH3914" i="11"/>
  <c r="AB3914" i="11"/>
  <c r="W3914" i="11"/>
  <c r="AH3913" i="11"/>
  <c r="AB3913" i="11"/>
  <c r="W3913" i="11"/>
  <c r="AH3912" i="11"/>
  <c r="AB3912" i="11"/>
  <c r="W3912" i="11"/>
  <c r="AH3911" i="11"/>
  <c r="AB3911" i="11"/>
  <c r="W3911" i="11"/>
  <c r="AH3910" i="11"/>
  <c r="AB3910" i="11"/>
  <c r="W3910" i="11"/>
  <c r="AH3909" i="11"/>
  <c r="AB3909" i="11"/>
  <c r="W3909" i="11"/>
  <c r="AH3908" i="11"/>
  <c r="AB3908" i="11"/>
  <c r="W3908" i="11"/>
  <c r="AH3907" i="11"/>
  <c r="AB3907" i="11"/>
  <c r="W3907" i="11"/>
  <c r="AH3906" i="11"/>
  <c r="AB3906" i="11"/>
  <c r="W3906" i="11"/>
  <c r="AH3905" i="11"/>
  <c r="AB3905" i="11"/>
  <c r="W3905" i="11"/>
  <c r="AH3904" i="11"/>
  <c r="AB3904" i="11"/>
  <c r="W3904" i="11"/>
  <c r="AH3903" i="11"/>
  <c r="AB3903" i="11"/>
  <c r="W3903" i="11"/>
  <c r="AH3902" i="11"/>
  <c r="AB3902" i="11"/>
  <c r="W3902" i="11"/>
  <c r="AH3901" i="11"/>
  <c r="AB3901" i="11"/>
  <c r="W3901" i="11"/>
  <c r="AH3900" i="11"/>
  <c r="AB3900" i="11"/>
  <c r="W3900" i="11"/>
  <c r="AH3899" i="11"/>
  <c r="AB3899" i="11"/>
  <c r="W3899" i="11"/>
  <c r="AH3898" i="11"/>
  <c r="AB3898" i="11"/>
  <c r="W3898" i="11"/>
  <c r="AH3897" i="11"/>
  <c r="AB3897" i="11"/>
  <c r="W3897" i="11"/>
  <c r="AH3896" i="11"/>
  <c r="AB3896" i="11"/>
  <c r="W3896" i="11"/>
  <c r="AH3895" i="11"/>
  <c r="AB3895" i="11"/>
  <c r="W3895" i="11"/>
  <c r="AH3894" i="11"/>
  <c r="AB3894" i="11"/>
  <c r="W3894" i="11"/>
  <c r="AH3893" i="11"/>
  <c r="AB3893" i="11"/>
  <c r="W3893" i="11"/>
  <c r="AH3892" i="11"/>
  <c r="AB3892" i="11"/>
  <c r="W3892" i="11"/>
  <c r="AH3891" i="11"/>
  <c r="AB3891" i="11"/>
  <c r="W3891" i="11"/>
  <c r="AH3890" i="11"/>
  <c r="AB3890" i="11"/>
  <c r="W3890" i="11"/>
  <c r="AH3889" i="11"/>
  <c r="AB3889" i="11"/>
  <c r="W3889" i="11"/>
  <c r="AH3888" i="11"/>
  <c r="AB3888" i="11"/>
  <c r="W3888" i="11"/>
  <c r="AH3887" i="11"/>
  <c r="AB3887" i="11"/>
  <c r="W3887" i="11"/>
  <c r="AH3886" i="11"/>
  <c r="AB3886" i="11"/>
  <c r="W3886" i="11"/>
  <c r="AH3885" i="11"/>
  <c r="AB3885" i="11"/>
  <c r="W3885" i="11"/>
  <c r="AH3884" i="11"/>
  <c r="AB3884" i="11"/>
  <c r="W3884" i="11"/>
  <c r="AH3883" i="11"/>
  <c r="AB3883" i="11"/>
  <c r="W3883" i="11"/>
  <c r="AH3882" i="11"/>
  <c r="AB3882" i="11"/>
  <c r="W3882" i="11"/>
  <c r="AH3881" i="11"/>
  <c r="AB3881" i="11"/>
  <c r="W3881" i="11"/>
  <c r="AH3880" i="11"/>
  <c r="AB3880" i="11"/>
  <c r="W3880" i="11"/>
  <c r="AH3879" i="11"/>
  <c r="AB3879" i="11"/>
  <c r="W3879" i="11"/>
  <c r="AH3878" i="11"/>
  <c r="AB3878" i="11"/>
  <c r="W3878" i="11"/>
  <c r="AH3877" i="11"/>
  <c r="AB3877" i="11"/>
  <c r="W3877" i="11"/>
  <c r="AH3876" i="11"/>
  <c r="AB3876" i="11"/>
  <c r="W3876" i="11"/>
  <c r="AH3875" i="11"/>
  <c r="AB3875" i="11"/>
  <c r="W3875" i="11"/>
  <c r="AH3874" i="11"/>
  <c r="AB3874" i="11"/>
  <c r="W3874" i="11"/>
  <c r="AH3873" i="11"/>
  <c r="AB3873" i="11"/>
  <c r="W3873" i="11"/>
  <c r="AH3872" i="11"/>
  <c r="AB3872" i="11"/>
  <c r="W3872" i="11"/>
  <c r="AH3871" i="11"/>
  <c r="AB3871" i="11"/>
  <c r="W3871" i="11"/>
  <c r="AH3870" i="11"/>
  <c r="AB3870" i="11"/>
  <c r="W3870" i="11"/>
  <c r="AH3869" i="11"/>
  <c r="AB3869" i="11"/>
  <c r="W3869" i="11"/>
  <c r="AH3868" i="11"/>
  <c r="AB3868" i="11"/>
  <c r="W3868" i="11"/>
  <c r="AH3867" i="11"/>
  <c r="AB3867" i="11"/>
  <c r="W3867" i="11"/>
  <c r="AH3866" i="11"/>
  <c r="AB3866" i="11"/>
  <c r="W3866" i="11"/>
  <c r="AH3865" i="11"/>
  <c r="AB3865" i="11"/>
  <c r="W3865" i="11"/>
  <c r="AH3864" i="11"/>
  <c r="AB3864" i="11"/>
  <c r="W3864" i="11"/>
  <c r="AH3863" i="11"/>
  <c r="AB3863" i="11"/>
  <c r="W3863" i="11"/>
  <c r="AH3862" i="11"/>
  <c r="AB3862" i="11"/>
  <c r="W3862" i="11"/>
  <c r="AH3861" i="11"/>
  <c r="AB3861" i="11"/>
  <c r="W3861" i="11"/>
  <c r="AH3860" i="11"/>
  <c r="AB3860" i="11"/>
  <c r="W3860" i="11"/>
  <c r="AH3859" i="11"/>
  <c r="AB3859" i="11"/>
  <c r="W3859" i="11"/>
  <c r="AH3858" i="11"/>
  <c r="AB3858" i="11"/>
  <c r="W3858" i="11"/>
  <c r="AH3857" i="11"/>
  <c r="AB3857" i="11"/>
  <c r="W3857" i="11"/>
  <c r="AH3856" i="11"/>
  <c r="AB3856" i="11"/>
  <c r="W3856" i="11"/>
  <c r="AH3855" i="11"/>
  <c r="AB3855" i="11"/>
  <c r="W3855" i="11"/>
  <c r="AH3854" i="11"/>
  <c r="AB3854" i="11"/>
  <c r="W3854" i="11"/>
  <c r="AH3853" i="11"/>
  <c r="AB3853" i="11"/>
  <c r="W3853" i="11"/>
  <c r="AH3852" i="11"/>
  <c r="AB3852" i="11"/>
  <c r="W3852" i="11"/>
  <c r="AH3851" i="11"/>
  <c r="AB3851" i="11"/>
  <c r="W3851" i="11"/>
  <c r="AH3850" i="11"/>
  <c r="AB3850" i="11"/>
  <c r="W3850" i="11"/>
  <c r="AH3849" i="11"/>
  <c r="AB3849" i="11"/>
  <c r="W3849" i="11"/>
  <c r="AH3848" i="11"/>
  <c r="AB3848" i="11"/>
  <c r="W3848" i="11"/>
  <c r="AH3847" i="11"/>
  <c r="AB3847" i="11"/>
  <c r="W3847" i="11"/>
  <c r="AH3846" i="11"/>
  <c r="AB3846" i="11"/>
  <c r="W3846" i="11"/>
  <c r="AH3845" i="11"/>
  <c r="AB3845" i="11"/>
  <c r="W3845" i="11"/>
  <c r="AH3844" i="11"/>
  <c r="AB3844" i="11"/>
  <c r="W3844" i="11"/>
  <c r="AH3843" i="11"/>
  <c r="AB3843" i="11"/>
  <c r="W3843" i="11"/>
  <c r="AH3842" i="11"/>
  <c r="AB3842" i="11"/>
  <c r="W3842" i="11"/>
  <c r="AH3841" i="11"/>
  <c r="AB3841" i="11"/>
  <c r="W3841" i="11"/>
  <c r="AH3840" i="11"/>
  <c r="AB3840" i="11"/>
  <c r="W3840" i="11"/>
  <c r="AH3839" i="11"/>
  <c r="AB3839" i="11"/>
  <c r="W3839" i="11"/>
  <c r="AH3838" i="11"/>
  <c r="AB3838" i="11"/>
  <c r="W3838" i="11"/>
  <c r="AH3837" i="11"/>
  <c r="AB3837" i="11"/>
  <c r="W3837" i="11"/>
  <c r="AH3836" i="11"/>
  <c r="AB3836" i="11"/>
  <c r="W3836" i="11"/>
  <c r="AH3835" i="11"/>
  <c r="AB3835" i="11"/>
  <c r="W3835" i="11"/>
  <c r="AH3834" i="11"/>
  <c r="AB3834" i="11"/>
  <c r="W3834" i="11"/>
  <c r="AH3833" i="11"/>
  <c r="AB3833" i="11"/>
  <c r="W3833" i="11"/>
  <c r="AH3832" i="11"/>
  <c r="AB3832" i="11"/>
  <c r="W3832" i="11"/>
  <c r="AH3831" i="11"/>
  <c r="AB3831" i="11"/>
  <c r="W3831" i="11"/>
  <c r="AH3830" i="11"/>
  <c r="AB3830" i="11"/>
  <c r="W3830" i="11"/>
  <c r="AH3829" i="11"/>
  <c r="AB3829" i="11"/>
  <c r="W3829" i="11"/>
  <c r="AH3828" i="11"/>
  <c r="AB3828" i="11"/>
  <c r="W3828" i="11"/>
  <c r="AH3827" i="11"/>
  <c r="AB3827" i="11"/>
  <c r="W3827" i="11"/>
  <c r="AH3826" i="11"/>
  <c r="AB3826" i="11"/>
  <c r="W3826" i="11"/>
  <c r="AH3825" i="11"/>
  <c r="AB3825" i="11"/>
  <c r="W3825" i="11"/>
  <c r="AH3824" i="11"/>
  <c r="AB3824" i="11"/>
  <c r="W3824" i="11"/>
  <c r="AH3823" i="11"/>
  <c r="AB3823" i="11"/>
  <c r="W3823" i="11"/>
  <c r="AH3822" i="11"/>
  <c r="AB3822" i="11"/>
  <c r="W3822" i="11"/>
  <c r="AH3821" i="11"/>
  <c r="AB3821" i="11"/>
  <c r="W3821" i="11"/>
  <c r="AH3820" i="11"/>
  <c r="AB3820" i="11"/>
  <c r="W3820" i="11"/>
  <c r="AH3819" i="11"/>
  <c r="AB3819" i="11"/>
  <c r="W3819" i="11"/>
  <c r="AH3818" i="11"/>
  <c r="AB3818" i="11"/>
  <c r="W3818" i="11"/>
  <c r="AH3817" i="11"/>
  <c r="AB3817" i="11"/>
  <c r="W3817" i="11"/>
  <c r="AH3816" i="11"/>
  <c r="AB3816" i="11"/>
  <c r="W3816" i="11"/>
  <c r="AH3815" i="11"/>
  <c r="AB3815" i="11"/>
  <c r="W3815" i="11"/>
  <c r="AH3814" i="11"/>
  <c r="AB3814" i="11"/>
  <c r="W3814" i="11"/>
  <c r="AH3813" i="11"/>
  <c r="AB3813" i="11"/>
  <c r="W3813" i="11"/>
  <c r="AH3812" i="11"/>
  <c r="AB3812" i="11"/>
  <c r="W3812" i="11"/>
  <c r="AH3811" i="11"/>
  <c r="AB3811" i="11"/>
  <c r="W3811" i="11"/>
  <c r="AH3810" i="11"/>
  <c r="AB3810" i="11"/>
  <c r="W3810" i="11"/>
  <c r="AH3809" i="11"/>
  <c r="AB3809" i="11"/>
  <c r="W3809" i="11"/>
  <c r="AH3808" i="11"/>
  <c r="AB3808" i="11"/>
  <c r="W3808" i="11"/>
  <c r="AH3807" i="11"/>
  <c r="AB3807" i="11"/>
  <c r="W3807" i="11"/>
  <c r="AH3806" i="11"/>
  <c r="AB3806" i="11"/>
  <c r="W3806" i="11"/>
  <c r="AH3805" i="11"/>
  <c r="AB3805" i="11"/>
  <c r="W3805" i="11"/>
  <c r="AH3804" i="11"/>
  <c r="AB3804" i="11"/>
  <c r="W3804" i="11"/>
  <c r="AH3803" i="11"/>
  <c r="AB3803" i="11"/>
  <c r="W3803" i="11"/>
  <c r="AH3802" i="11"/>
  <c r="AB3802" i="11"/>
  <c r="W3802" i="11"/>
  <c r="AH3801" i="11"/>
  <c r="AB3801" i="11"/>
  <c r="W3801" i="11"/>
  <c r="AH3800" i="11"/>
  <c r="AB3800" i="11"/>
  <c r="W3800" i="11"/>
  <c r="AH3799" i="11"/>
  <c r="AB3799" i="11"/>
  <c r="W3799" i="11"/>
  <c r="AH3798" i="11"/>
  <c r="AB3798" i="11"/>
  <c r="W3798" i="11"/>
  <c r="AH3797" i="11"/>
  <c r="AB3797" i="11"/>
  <c r="W3797" i="11"/>
  <c r="AH3796" i="11"/>
  <c r="AB3796" i="11"/>
  <c r="W3796" i="11"/>
  <c r="AH3795" i="11"/>
  <c r="AB3795" i="11"/>
  <c r="W3795" i="11"/>
  <c r="AH3794" i="11"/>
  <c r="AB3794" i="11"/>
  <c r="W3794" i="11"/>
  <c r="AH3793" i="11"/>
  <c r="AB3793" i="11"/>
  <c r="W3793" i="11"/>
  <c r="AH3792" i="11"/>
  <c r="AB3792" i="11"/>
  <c r="W3792" i="11"/>
  <c r="AH3791" i="11"/>
  <c r="AB3791" i="11"/>
  <c r="W3791" i="11"/>
  <c r="AH3790" i="11"/>
  <c r="AB3790" i="11"/>
  <c r="W3790" i="11"/>
  <c r="AH3789" i="11"/>
  <c r="AB3789" i="11"/>
  <c r="W3789" i="11"/>
  <c r="AH3788" i="11"/>
  <c r="AB3788" i="11"/>
  <c r="W3788" i="11"/>
  <c r="AH3787" i="11"/>
  <c r="AB3787" i="11"/>
  <c r="W3787" i="11"/>
  <c r="AH3786" i="11"/>
  <c r="AB3786" i="11"/>
  <c r="W3786" i="11"/>
  <c r="AH3785" i="11"/>
  <c r="AB3785" i="11"/>
  <c r="W3785" i="11"/>
  <c r="AH3784" i="11"/>
  <c r="AB3784" i="11"/>
  <c r="W3784" i="11"/>
  <c r="AH3783" i="11"/>
  <c r="AB3783" i="11"/>
  <c r="W3783" i="11"/>
  <c r="AH3782" i="11"/>
  <c r="AB3782" i="11"/>
  <c r="W3782" i="11"/>
  <c r="AH3781" i="11"/>
  <c r="AB3781" i="11"/>
  <c r="W3781" i="11"/>
  <c r="AH3780" i="11"/>
  <c r="AB3780" i="11"/>
  <c r="W3780" i="11"/>
  <c r="AH3779" i="11"/>
  <c r="AB3779" i="11"/>
  <c r="W3779" i="11"/>
  <c r="AH3778" i="11"/>
  <c r="AB3778" i="11"/>
  <c r="W3778" i="11"/>
  <c r="AH3777" i="11"/>
  <c r="AB3777" i="11"/>
  <c r="W3777" i="11"/>
  <c r="AH3776" i="11"/>
  <c r="AB3776" i="11"/>
  <c r="W3776" i="11"/>
  <c r="AH3775" i="11"/>
  <c r="AB3775" i="11"/>
  <c r="W3775" i="11"/>
  <c r="AH3774" i="11"/>
  <c r="AB3774" i="11"/>
  <c r="W3774" i="11"/>
  <c r="AH3773" i="11"/>
  <c r="AB3773" i="11"/>
  <c r="W3773" i="11"/>
  <c r="AH3772" i="11"/>
  <c r="AB3772" i="11"/>
  <c r="W3772" i="11"/>
  <c r="AH3771" i="11"/>
  <c r="AB3771" i="11"/>
  <c r="W3771" i="11"/>
  <c r="AH3770" i="11"/>
  <c r="AB3770" i="11"/>
  <c r="W3770" i="11"/>
  <c r="AH3769" i="11"/>
  <c r="AB3769" i="11"/>
  <c r="W3769" i="11"/>
  <c r="AH3768" i="11"/>
  <c r="AB3768" i="11"/>
  <c r="W3768" i="11"/>
  <c r="AH3767" i="11"/>
  <c r="AB3767" i="11"/>
  <c r="W3767" i="11"/>
  <c r="AH3766" i="11"/>
  <c r="AB3766" i="11"/>
  <c r="W3766" i="11"/>
  <c r="AH3765" i="11"/>
  <c r="AB3765" i="11"/>
  <c r="W3765" i="11"/>
  <c r="AH3764" i="11"/>
  <c r="AB3764" i="11"/>
  <c r="W3764" i="11"/>
  <c r="AH3763" i="11"/>
  <c r="AB3763" i="11"/>
  <c r="W3763" i="11"/>
  <c r="AH3762" i="11"/>
  <c r="AB3762" i="11"/>
  <c r="W3762" i="11"/>
  <c r="AH3761" i="11"/>
  <c r="AB3761" i="11"/>
  <c r="W3761" i="11"/>
  <c r="AH3760" i="11"/>
  <c r="AB3760" i="11"/>
  <c r="W3760" i="11"/>
  <c r="AH3759" i="11"/>
  <c r="AB3759" i="11"/>
  <c r="W3759" i="11"/>
  <c r="AH3758" i="11"/>
  <c r="AB3758" i="11"/>
  <c r="W3758" i="11"/>
  <c r="AH3757" i="11"/>
  <c r="AB3757" i="11"/>
  <c r="W3757" i="11"/>
  <c r="AH3756" i="11"/>
  <c r="AB3756" i="11"/>
  <c r="W3756" i="11"/>
  <c r="AH3755" i="11"/>
  <c r="AB3755" i="11"/>
  <c r="W3755" i="11"/>
  <c r="AH3754" i="11"/>
  <c r="AB3754" i="11"/>
  <c r="W3754" i="11"/>
  <c r="AH3753" i="11"/>
  <c r="AB3753" i="11"/>
  <c r="W3753" i="11"/>
  <c r="AH3752" i="11"/>
  <c r="AB3752" i="11"/>
  <c r="W3752" i="11"/>
  <c r="AH3751" i="11"/>
  <c r="AB3751" i="11"/>
  <c r="W3751" i="11"/>
  <c r="AH3750" i="11"/>
  <c r="AB3750" i="11"/>
  <c r="W3750" i="11"/>
  <c r="AH3749" i="11"/>
  <c r="AB3749" i="11"/>
  <c r="W3749" i="11"/>
  <c r="AH3748" i="11"/>
  <c r="AB3748" i="11"/>
  <c r="W3748" i="11"/>
  <c r="AH3747" i="11"/>
  <c r="AB3747" i="11"/>
  <c r="W3747" i="11"/>
  <c r="AH3746" i="11"/>
  <c r="AB3746" i="11"/>
  <c r="W3746" i="11"/>
  <c r="AH3745" i="11"/>
  <c r="AB3745" i="11"/>
  <c r="W3745" i="11"/>
  <c r="AH3744" i="11"/>
  <c r="AB3744" i="11"/>
  <c r="W3744" i="11"/>
  <c r="AH3743" i="11"/>
  <c r="AB3743" i="11"/>
  <c r="W3743" i="11"/>
  <c r="AH3742" i="11"/>
  <c r="AB3742" i="11"/>
  <c r="W3742" i="11"/>
  <c r="AH3741" i="11"/>
  <c r="AB3741" i="11"/>
  <c r="W3741" i="11"/>
  <c r="AH3740" i="11"/>
  <c r="AB3740" i="11"/>
  <c r="W3740" i="11"/>
  <c r="AH3739" i="11"/>
  <c r="AB3739" i="11"/>
  <c r="W3739" i="11"/>
  <c r="AH3738" i="11"/>
  <c r="AB3738" i="11"/>
  <c r="W3738" i="11"/>
  <c r="AH3737" i="11"/>
  <c r="AB3737" i="11"/>
  <c r="W3737" i="11"/>
  <c r="AH3736" i="11"/>
  <c r="AB3736" i="11"/>
  <c r="W3736" i="11"/>
  <c r="AH3735" i="11"/>
  <c r="AB3735" i="11"/>
  <c r="W3735" i="11"/>
  <c r="AH3734" i="11"/>
  <c r="AB3734" i="11"/>
  <c r="W3734" i="11"/>
  <c r="AH3733" i="11"/>
  <c r="AB3733" i="11"/>
  <c r="W3733" i="11"/>
  <c r="AH3732" i="11"/>
  <c r="AB3732" i="11"/>
  <c r="W3732" i="11"/>
  <c r="AH3731" i="11"/>
  <c r="AB3731" i="11"/>
  <c r="W3731" i="11"/>
  <c r="AH3730" i="11"/>
  <c r="AB3730" i="11"/>
  <c r="W3730" i="11"/>
  <c r="AH3729" i="11"/>
  <c r="AB3729" i="11"/>
  <c r="W3729" i="11"/>
  <c r="AH3728" i="11"/>
  <c r="AB3728" i="11"/>
  <c r="W3728" i="11"/>
  <c r="AH3727" i="11"/>
  <c r="AB3727" i="11"/>
  <c r="W3727" i="11"/>
  <c r="AH3726" i="11"/>
  <c r="AB3726" i="11"/>
  <c r="W3726" i="11"/>
  <c r="AH3725" i="11"/>
  <c r="AB3725" i="11"/>
  <c r="W3725" i="11"/>
  <c r="AH3724" i="11"/>
  <c r="AB3724" i="11"/>
  <c r="W3724" i="11"/>
  <c r="AH3723" i="11"/>
  <c r="AB3723" i="11"/>
  <c r="W3723" i="11"/>
  <c r="AH3722" i="11"/>
  <c r="AB3722" i="11"/>
  <c r="W3722" i="11"/>
  <c r="AH3721" i="11"/>
  <c r="AB3721" i="11"/>
  <c r="W3721" i="11"/>
  <c r="AH3720" i="11"/>
  <c r="AB3720" i="11"/>
  <c r="W3720" i="11"/>
  <c r="AH3719" i="11"/>
  <c r="AB3719" i="11"/>
  <c r="W3719" i="11"/>
  <c r="AH3718" i="11"/>
  <c r="AB3718" i="11"/>
  <c r="W3718" i="11"/>
  <c r="AH3717" i="11"/>
  <c r="AB3717" i="11"/>
  <c r="W3717" i="11"/>
  <c r="AH3716" i="11"/>
  <c r="AB3716" i="11"/>
  <c r="W3716" i="11"/>
  <c r="AH3715" i="11"/>
  <c r="AB3715" i="11"/>
  <c r="W3715" i="11"/>
  <c r="AH3714" i="11"/>
  <c r="AB3714" i="11"/>
  <c r="W3714" i="11"/>
  <c r="AH3713" i="11"/>
  <c r="AB3713" i="11"/>
  <c r="W3713" i="11"/>
  <c r="AH3712" i="11"/>
  <c r="AB3712" i="11"/>
  <c r="W3712" i="11"/>
  <c r="AH3711" i="11"/>
  <c r="AB3711" i="11"/>
  <c r="W3711" i="11"/>
  <c r="AH3710" i="11"/>
  <c r="AB3710" i="11"/>
  <c r="W3710" i="11"/>
  <c r="AH3709" i="11"/>
  <c r="AB3709" i="11"/>
  <c r="W3709" i="11"/>
  <c r="AH3708" i="11"/>
  <c r="AB3708" i="11"/>
  <c r="W3708" i="11"/>
  <c r="AH3707" i="11"/>
  <c r="AB3707" i="11"/>
  <c r="W3707" i="11"/>
  <c r="AH3706" i="11"/>
  <c r="AB3706" i="11"/>
  <c r="W3706" i="11"/>
  <c r="AH3705" i="11"/>
  <c r="AB3705" i="11"/>
  <c r="W3705" i="11"/>
  <c r="AH3704" i="11"/>
  <c r="AB3704" i="11"/>
  <c r="W3704" i="11"/>
  <c r="AH3703" i="11"/>
  <c r="AB3703" i="11"/>
  <c r="W3703" i="11"/>
  <c r="AH3702" i="11"/>
  <c r="AB3702" i="11"/>
  <c r="W3702" i="11"/>
  <c r="AH3701" i="11"/>
  <c r="AB3701" i="11"/>
  <c r="W3701" i="11"/>
  <c r="AH3700" i="11"/>
  <c r="AB3700" i="11"/>
  <c r="W3700" i="11"/>
  <c r="AH3699" i="11"/>
  <c r="AB3699" i="11"/>
  <c r="W3699" i="11"/>
  <c r="AH3698" i="11"/>
  <c r="AB3698" i="11"/>
  <c r="W3698" i="11"/>
  <c r="AH3697" i="11"/>
  <c r="AB3697" i="11"/>
  <c r="W3697" i="11"/>
  <c r="AH3696" i="11"/>
  <c r="AB3696" i="11"/>
  <c r="W3696" i="11"/>
  <c r="AH3695" i="11"/>
  <c r="AB3695" i="11"/>
  <c r="W3695" i="11"/>
  <c r="AH3694" i="11"/>
  <c r="AB3694" i="11"/>
  <c r="W3694" i="11"/>
  <c r="AH3693" i="11"/>
  <c r="AB3693" i="11"/>
  <c r="W3693" i="11"/>
  <c r="AH3692" i="11"/>
  <c r="AB3692" i="11"/>
  <c r="W3692" i="11"/>
  <c r="AH3691" i="11"/>
  <c r="AB3691" i="11"/>
  <c r="W3691" i="11"/>
  <c r="AH3690" i="11"/>
  <c r="AB3690" i="11"/>
  <c r="W3690" i="11"/>
  <c r="AH3689" i="11"/>
  <c r="AB3689" i="11"/>
  <c r="W3689" i="11"/>
  <c r="AH3688" i="11"/>
  <c r="AB3688" i="11"/>
  <c r="W3688" i="11"/>
  <c r="AH3687" i="11"/>
  <c r="AB3687" i="11"/>
  <c r="W3687" i="11"/>
  <c r="AH3686" i="11"/>
  <c r="AB3686" i="11"/>
  <c r="W3686" i="11"/>
  <c r="AH3685" i="11"/>
  <c r="AB3685" i="11"/>
  <c r="W3685" i="11"/>
  <c r="AH3684" i="11"/>
  <c r="AB3684" i="11"/>
  <c r="W3684" i="11"/>
  <c r="AH3683" i="11"/>
  <c r="AB3683" i="11"/>
  <c r="W3683" i="11"/>
  <c r="AH3682" i="11"/>
  <c r="AB3682" i="11"/>
  <c r="W3682" i="11"/>
  <c r="AH3681" i="11"/>
  <c r="AB3681" i="11"/>
  <c r="W3681" i="11"/>
  <c r="AH3680" i="11"/>
  <c r="AB3680" i="11"/>
  <c r="W3680" i="11"/>
  <c r="AH3679" i="11"/>
  <c r="AB3679" i="11"/>
  <c r="W3679" i="11"/>
  <c r="AH3678" i="11"/>
  <c r="AB3678" i="11"/>
  <c r="W3678" i="11"/>
  <c r="AH3677" i="11"/>
  <c r="AB3677" i="11"/>
  <c r="W3677" i="11"/>
  <c r="AH3676" i="11"/>
  <c r="AB3676" i="11"/>
  <c r="W3676" i="11"/>
  <c r="AH3675" i="11"/>
  <c r="AB3675" i="11"/>
  <c r="W3675" i="11"/>
  <c r="AH3674" i="11"/>
  <c r="AB3674" i="11"/>
  <c r="W3674" i="11"/>
  <c r="AH3673" i="11"/>
  <c r="AB3673" i="11"/>
  <c r="W3673" i="11"/>
  <c r="AH3672" i="11"/>
  <c r="AB3672" i="11"/>
  <c r="W3672" i="11"/>
  <c r="AH3671" i="11"/>
  <c r="AB3671" i="11"/>
  <c r="W3671" i="11"/>
  <c r="AH3670" i="11"/>
  <c r="AB3670" i="11"/>
  <c r="W3670" i="11"/>
  <c r="AH3669" i="11"/>
  <c r="AB3669" i="11"/>
  <c r="W3669" i="11"/>
  <c r="AH3668" i="11"/>
  <c r="AB3668" i="11"/>
  <c r="W3668" i="11"/>
  <c r="AH3667" i="11"/>
  <c r="AB3667" i="11"/>
  <c r="W3667" i="11"/>
  <c r="AH3666" i="11"/>
  <c r="AB3666" i="11"/>
  <c r="W3666" i="11"/>
  <c r="AH3665" i="11"/>
  <c r="AB3665" i="11"/>
  <c r="W3665" i="11"/>
  <c r="AH3664" i="11"/>
  <c r="AB3664" i="11"/>
  <c r="W3664" i="11"/>
  <c r="AH3663" i="11"/>
  <c r="AB3663" i="11"/>
  <c r="W3663" i="11"/>
  <c r="AH3662" i="11"/>
  <c r="AB3662" i="11"/>
  <c r="W3662" i="11"/>
  <c r="AH3661" i="11"/>
  <c r="AB3661" i="11"/>
  <c r="W3661" i="11"/>
  <c r="AH3660" i="11"/>
  <c r="AB3660" i="11"/>
  <c r="W3660" i="11"/>
  <c r="AH3659" i="11"/>
  <c r="AB3659" i="11"/>
  <c r="W3659" i="11"/>
  <c r="AH3658" i="11"/>
  <c r="AB3658" i="11"/>
  <c r="W3658" i="11"/>
  <c r="AH3657" i="11"/>
  <c r="AB3657" i="11"/>
  <c r="W3657" i="11"/>
  <c r="AH3656" i="11"/>
  <c r="AB3656" i="11"/>
  <c r="W3656" i="11"/>
  <c r="AH3655" i="11"/>
  <c r="AB3655" i="11"/>
  <c r="W3655" i="11"/>
  <c r="AH3654" i="11"/>
  <c r="AB3654" i="11"/>
  <c r="W3654" i="11"/>
  <c r="AH3653" i="11"/>
  <c r="AB3653" i="11"/>
  <c r="W3653" i="11"/>
  <c r="AH3652" i="11"/>
  <c r="AB3652" i="11"/>
  <c r="W3652" i="11"/>
  <c r="AH3651" i="11"/>
  <c r="AB3651" i="11"/>
  <c r="W3651" i="11"/>
  <c r="AH3650" i="11"/>
  <c r="AB3650" i="11"/>
  <c r="W3650" i="11"/>
  <c r="AH3649" i="11"/>
  <c r="AB3649" i="11"/>
  <c r="W3649" i="11"/>
  <c r="AH3648" i="11"/>
  <c r="AB3648" i="11"/>
  <c r="W3648" i="11"/>
  <c r="AH3647" i="11"/>
  <c r="AB3647" i="11"/>
  <c r="W3647" i="11"/>
  <c r="AH3646" i="11"/>
  <c r="AB3646" i="11"/>
  <c r="W3646" i="11"/>
  <c r="AH3645" i="11"/>
  <c r="AB3645" i="11"/>
  <c r="W3645" i="11"/>
  <c r="AH3644" i="11"/>
  <c r="AB3644" i="11"/>
  <c r="W3644" i="11"/>
  <c r="AH3643" i="11"/>
  <c r="AB3643" i="11"/>
  <c r="W3643" i="11"/>
  <c r="AH3642" i="11"/>
  <c r="AB3642" i="11"/>
  <c r="W3642" i="11"/>
  <c r="AH3641" i="11"/>
  <c r="AB3641" i="11"/>
  <c r="W3641" i="11"/>
  <c r="AH3640" i="11"/>
  <c r="AB3640" i="11"/>
  <c r="W3640" i="11"/>
  <c r="AH3639" i="11"/>
  <c r="AB3639" i="11"/>
  <c r="W3639" i="11"/>
  <c r="AH3638" i="11"/>
  <c r="AB3638" i="11"/>
  <c r="W3638" i="11"/>
  <c r="AH3637" i="11"/>
  <c r="AB3637" i="11"/>
  <c r="W3637" i="11"/>
  <c r="AH3636" i="11"/>
  <c r="AB3636" i="11"/>
  <c r="W3636" i="11"/>
  <c r="AH3635" i="11"/>
  <c r="AB3635" i="11"/>
  <c r="W3635" i="11"/>
  <c r="AH3634" i="11"/>
  <c r="AB3634" i="11"/>
  <c r="W3634" i="11"/>
  <c r="AH3633" i="11"/>
  <c r="AB3633" i="11"/>
  <c r="W3633" i="11"/>
  <c r="AH3632" i="11"/>
  <c r="AB3632" i="11"/>
  <c r="W3632" i="11"/>
  <c r="AH3631" i="11"/>
  <c r="AB3631" i="11"/>
  <c r="W3631" i="11"/>
  <c r="AH3630" i="11"/>
  <c r="AB3630" i="11"/>
  <c r="W3630" i="11"/>
  <c r="AH3629" i="11"/>
  <c r="AB3629" i="11"/>
  <c r="W3629" i="11"/>
  <c r="AH3628" i="11"/>
  <c r="AB3628" i="11"/>
  <c r="W3628" i="11"/>
  <c r="AH3627" i="11"/>
  <c r="AB3627" i="11"/>
  <c r="W3627" i="11"/>
  <c r="AH3626" i="11"/>
  <c r="AB3626" i="11"/>
  <c r="W3626" i="11"/>
  <c r="AH3625" i="11"/>
  <c r="AB3625" i="11"/>
  <c r="W3625" i="11"/>
  <c r="AH3624" i="11"/>
  <c r="AB3624" i="11"/>
  <c r="W3624" i="11"/>
  <c r="AH3623" i="11"/>
  <c r="AB3623" i="11"/>
  <c r="W3623" i="11"/>
  <c r="AH3622" i="11"/>
  <c r="AB3622" i="11"/>
  <c r="W3622" i="11"/>
  <c r="AH3621" i="11"/>
  <c r="AB3621" i="11"/>
  <c r="W3621" i="11"/>
  <c r="AH3620" i="11"/>
  <c r="AB3620" i="11"/>
  <c r="W3620" i="11"/>
  <c r="AH3619" i="11"/>
  <c r="AB3619" i="11"/>
  <c r="W3619" i="11"/>
  <c r="AH3618" i="11"/>
  <c r="AB3618" i="11"/>
  <c r="W3618" i="11"/>
  <c r="AH3617" i="11"/>
  <c r="AB3617" i="11"/>
  <c r="W3617" i="11"/>
  <c r="AH3616" i="11"/>
  <c r="AB3616" i="11"/>
  <c r="W3616" i="11"/>
  <c r="AH3615" i="11"/>
  <c r="AB3615" i="11"/>
  <c r="W3615" i="11"/>
  <c r="AH3614" i="11"/>
  <c r="AB3614" i="11"/>
  <c r="W3614" i="11"/>
  <c r="AH3613" i="11"/>
  <c r="AB3613" i="11"/>
  <c r="W3613" i="11"/>
  <c r="AH3612" i="11"/>
  <c r="AB3612" i="11"/>
  <c r="W3612" i="11"/>
  <c r="AH3611" i="11"/>
  <c r="AB3611" i="11"/>
  <c r="W3611" i="11"/>
  <c r="AH3610" i="11"/>
  <c r="AB3610" i="11"/>
  <c r="W3610" i="11"/>
  <c r="AH3609" i="11"/>
  <c r="AB3609" i="11"/>
  <c r="W3609" i="11"/>
  <c r="AH3608" i="11"/>
  <c r="AB3608" i="11"/>
  <c r="W3608" i="11"/>
  <c r="AH3607" i="11"/>
  <c r="AB3607" i="11"/>
  <c r="W3607" i="11"/>
  <c r="AH3606" i="11"/>
  <c r="AB3606" i="11"/>
  <c r="W3606" i="11"/>
  <c r="AH3605" i="11"/>
  <c r="AB3605" i="11"/>
  <c r="W3605" i="11"/>
  <c r="AH3604" i="11"/>
  <c r="AB3604" i="11"/>
  <c r="W3604" i="11"/>
  <c r="AH3603" i="11"/>
  <c r="AB3603" i="11"/>
  <c r="W3603" i="11"/>
  <c r="AH3602" i="11"/>
  <c r="AB3602" i="11"/>
  <c r="W3602" i="11"/>
  <c r="AH3601" i="11"/>
  <c r="AB3601" i="11"/>
  <c r="W3601" i="11"/>
  <c r="AH3600" i="11"/>
  <c r="AB3600" i="11"/>
  <c r="W3600" i="11"/>
  <c r="AH3599" i="11"/>
  <c r="AB3599" i="11"/>
  <c r="W3599" i="11"/>
  <c r="AH3598" i="11"/>
  <c r="AB3598" i="11"/>
  <c r="W3598" i="11"/>
  <c r="AH3597" i="11"/>
  <c r="AB3597" i="11"/>
  <c r="W3597" i="11"/>
  <c r="AH3596" i="11"/>
  <c r="AB3596" i="11"/>
  <c r="W3596" i="11"/>
  <c r="AH3595" i="11"/>
  <c r="AB3595" i="11"/>
  <c r="W3595" i="11"/>
  <c r="AH3594" i="11"/>
  <c r="AB3594" i="11"/>
  <c r="W3594" i="11"/>
  <c r="AH3593" i="11"/>
  <c r="AB3593" i="11"/>
  <c r="W3593" i="11"/>
  <c r="AH3592" i="11"/>
  <c r="AB3592" i="11"/>
  <c r="W3592" i="11"/>
  <c r="AH3591" i="11"/>
  <c r="AB3591" i="11"/>
  <c r="W3591" i="11"/>
  <c r="AH3590" i="11"/>
  <c r="AB3590" i="11"/>
  <c r="W3590" i="11"/>
  <c r="AH3589" i="11"/>
  <c r="AB3589" i="11"/>
  <c r="W3589" i="11"/>
  <c r="AH3588" i="11"/>
  <c r="AB3588" i="11"/>
  <c r="W3588" i="11"/>
  <c r="AH3587" i="11"/>
  <c r="AB3587" i="11"/>
  <c r="W3587" i="11"/>
  <c r="AH3586" i="11"/>
  <c r="AB3586" i="11"/>
  <c r="W3586" i="11"/>
  <c r="AH3585" i="11"/>
  <c r="AB3585" i="11"/>
  <c r="W3585" i="11"/>
  <c r="AH3584" i="11"/>
  <c r="AB3584" i="11"/>
  <c r="W3584" i="11"/>
  <c r="AH3583" i="11"/>
  <c r="AB3583" i="11"/>
  <c r="W3583" i="11"/>
  <c r="AH3582" i="11"/>
  <c r="AB3582" i="11"/>
  <c r="W3582" i="11"/>
  <c r="AH3581" i="11"/>
  <c r="AB3581" i="11"/>
  <c r="W3581" i="11"/>
  <c r="AH3580" i="11"/>
  <c r="AB3580" i="11"/>
  <c r="W3580" i="11"/>
  <c r="AH3579" i="11"/>
  <c r="AB3579" i="11"/>
  <c r="W3579" i="11"/>
  <c r="AH3578" i="11"/>
  <c r="AB3578" i="11"/>
  <c r="W3578" i="11"/>
  <c r="AH3577" i="11"/>
  <c r="AB3577" i="11"/>
  <c r="W3577" i="11"/>
  <c r="AH3576" i="11"/>
  <c r="AB3576" i="11"/>
  <c r="W3576" i="11"/>
  <c r="AH3575" i="11"/>
  <c r="AB3575" i="11"/>
  <c r="W3575" i="11"/>
  <c r="AH3574" i="11"/>
  <c r="AB3574" i="11"/>
  <c r="W3574" i="11"/>
  <c r="AH3573" i="11"/>
  <c r="AB3573" i="11"/>
  <c r="W3573" i="11"/>
  <c r="AH3572" i="11"/>
  <c r="AB3572" i="11"/>
  <c r="W3572" i="11"/>
  <c r="AH3571" i="11"/>
  <c r="AB3571" i="11"/>
  <c r="W3571" i="11"/>
  <c r="AH3570" i="11"/>
  <c r="AB3570" i="11"/>
  <c r="W3570" i="11"/>
  <c r="AH3569" i="11"/>
  <c r="AB3569" i="11"/>
  <c r="W3569" i="11"/>
  <c r="AH3568" i="11"/>
  <c r="AB3568" i="11"/>
  <c r="W3568" i="11"/>
  <c r="AH3567" i="11"/>
  <c r="AB3567" i="11"/>
  <c r="W3567" i="11"/>
  <c r="AH3566" i="11"/>
  <c r="AB3566" i="11"/>
  <c r="W3566" i="11"/>
  <c r="AH3565" i="11"/>
  <c r="AB3565" i="11"/>
  <c r="W3565" i="11"/>
  <c r="AH3564" i="11"/>
  <c r="AB3564" i="11"/>
  <c r="W3564" i="11"/>
  <c r="AH3563" i="11"/>
  <c r="AB3563" i="11"/>
  <c r="W3563" i="11"/>
  <c r="AH3562" i="11"/>
  <c r="AB3562" i="11"/>
  <c r="W3562" i="11"/>
  <c r="AH3561" i="11"/>
  <c r="AB3561" i="11"/>
  <c r="W3561" i="11"/>
  <c r="AH3560" i="11"/>
  <c r="AB3560" i="11"/>
  <c r="W3560" i="11"/>
  <c r="AH3559" i="11"/>
  <c r="AB3559" i="11"/>
  <c r="W3559" i="11"/>
  <c r="AH3558" i="11"/>
  <c r="AB3558" i="11"/>
  <c r="W3558" i="11"/>
  <c r="AH3557" i="11"/>
  <c r="AB3557" i="11"/>
  <c r="W3557" i="11"/>
  <c r="AH3556" i="11"/>
  <c r="AB3556" i="11"/>
  <c r="W3556" i="11"/>
  <c r="AH3555" i="11"/>
  <c r="AB3555" i="11"/>
  <c r="W3555" i="11"/>
  <c r="AH3554" i="11"/>
  <c r="AB3554" i="11"/>
  <c r="W3554" i="11"/>
  <c r="AH3553" i="11"/>
  <c r="AB3553" i="11"/>
  <c r="W3553" i="11"/>
  <c r="AH3552" i="11"/>
  <c r="AB3552" i="11"/>
  <c r="W3552" i="11"/>
  <c r="AH3551" i="11"/>
  <c r="AB3551" i="11"/>
  <c r="W3551" i="11"/>
  <c r="AH3550" i="11"/>
  <c r="AB3550" i="11"/>
  <c r="W3550" i="11"/>
  <c r="AH3549" i="11"/>
  <c r="AB3549" i="11"/>
  <c r="W3549" i="11"/>
  <c r="AH3548" i="11"/>
  <c r="AB3548" i="11"/>
  <c r="W3548" i="11"/>
  <c r="AH3547" i="11"/>
  <c r="AB3547" i="11"/>
  <c r="W3547" i="11"/>
  <c r="AH3546" i="11"/>
  <c r="AB3546" i="11"/>
  <c r="W3546" i="11"/>
  <c r="AH3545" i="11"/>
  <c r="AB3545" i="11"/>
  <c r="W3545" i="11"/>
  <c r="AH3544" i="11"/>
  <c r="AB3544" i="11"/>
  <c r="W3544" i="11"/>
  <c r="AH3543" i="11"/>
  <c r="AB3543" i="11"/>
  <c r="W3543" i="11"/>
  <c r="AH3542" i="11"/>
  <c r="AB3542" i="11"/>
  <c r="W3542" i="11"/>
  <c r="AH3541" i="11"/>
  <c r="AB3541" i="11"/>
  <c r="W3541" i="11"/>
  <c r="AH3540" i="11"/>
  <c r="AB3540" i="11"/>
  <c r="W3540" i="11"/>
  <c r="AH3539" i="11"/>
  <c r="AB3539" i="11"/>
  <c r="W3539" i="11"/>
  <c r="AH3538" i="11"/>
  <c r="AB3538" i="11"/>
  <c r="W3538" i="11"/>
  <c r="AH3537" i="11"/>
  <c r="AB3537" i="11"/>
  <c r="W3537" i="11"/>
  <c r="AH3536" i="11"/>
  <c r="AB3536" i="11"/>
  <c r="W3536" i="11"/>
  <c r="AH3535" i="11"/>
  <c r="AB3535" i="11"/>
  <c r="W3535" i="11"/>
  <c r="AH3534" i="11"/>
  <c r="AB3534" i="11"/>
  <c r="W3534" i="11"/>
  <c r="AH3533" i="11"/>
  <c r="AB3533" i="11"/>
  <c r="W3533" i="11"/>
  <c r="AH3532" i="11"/>
  <c r="AB3532" i="11"/>
  <c r="W3532" i="11"/>
  <c r="AH3531" i="11"/>
  <c r="AB3531" i="11"/>
  <c r="W3531" i="11"/>
  <c r="AH3530" i="11"/>
  <c r="AB3530" i="11"/>
  <c r="W3530" i="11"/>
  <c r="AH3529" i="11"/>
  <c r="AB3529" i="11"/>
  <c r="W3529" i="11"/>
  <c r="AH3528" i="11"/>
  <c r="AB3528" i="11"/>
  <c r="W3528" i="11"/>
  <c r="AH3527" i="11"/>
  <c r="AB3527" i="11"/>
  <c r="W3527" i="11"/>
  <c r="AH3526" i="11"/>
  <c r="AB3526" i="11"/>
  <c r="W3526" i="11"/>
  <c r="AH3525" i="11"/>
  <c r="AB3525" i="11"/>
  <c r="W3525" i="11"/>
  <c r="AH3524" i="11"/>
  <c r="AB3524" i="11"/>
  <c r="W3524" i="11"/>
  <c r="AH3523" i="11"/>
  <c r="AB3523" i="11"/>
  <c r="W3523" i="11"/>
  <c r="AH3522" i="11"/>
  <c r="AB3522" i="11"/>
  <c r="W3522" i="11"/>
  <c r="AH3521" i="11"/>
  <c r="AB3521" i="11"/>
  <c r="W3521" i="11"/>
  <c r="AH3520" i="11"/>
  <c r="AB3520" i="11"/>
  <c r="W3520" i="11"/>
  <c r="AH3519" i="11"/>
  <c r="AB3519" i="11"/>
  <c r="W3519" i="11"/>
  <c r="AH3518" i="11"/>
  <c r="AB3518" i="11"/>
  <c r="W3518" i="11"/>
  <c r="AH3517" i="11"/>
  <c r="AB3517" i="11"/>
  <c r="W3517" i="11"/>
  <c r="AH3516" i="11"/>
  <c r="AB3516" i="11"/>
  <c r="W3516" i="11"/>
  <c r="AH3515" i="11"/>
  <c r="AB3515" i="11"/>
  <c r="W3515" i="11"/>
  <c r="AH3514" i="11"/>
  <c r="AB3514" i="11"/>
  <c r="W3514" i="11"/>
  <c r="AH3513" i="11"/>
  <c r="AB3513" i="11"/>
  <c r="W3513" i="11"/>
  <c r="AH3512" i="11"/>
  <c r="AB3512" i="11"/>
  <c r="W3512" i="11"/>
  <c r="AH3511" i="11"/>
  <c r="AB3511" i="11"/>
  <c r="W3511" i="11"/>
  <c r="AH3510" i="11"/>
  <c r="AB3510" i="11"/>
  <c r="W3510" i="11"/>
  <c r="AH3509" i="11"/>
  <c r="AB3509" i="11"/>
  <c r="W3509" i="11"/>
  <c r="AH3508" i="11"/>
  <c r="AB3508" i="11"/>
  <c r="W3508" i="11"/>
  <c r="AH3507" i="11"/>
  <c r="AB3507" i="11"/>
  <c r="W3507" i="11"/>
  <c r="AH3506" i="11"/>
  <c r="AB3506" i="11"/>
  <c r="W3506" i="11"/>
  <c r="AH3505" i="11"/>
  <c r="AB3505" i="11"/>
  <c r="W3505" i="11"/>
  <c r="AH3504" i="11"/>
  <c r="AB3504" i="11"/>
  <c r="W3504" i="11"/>
  <c r="AH3503" i="11"/>
  <c r="AB3503" i="11"/>
  <c r="W3503" i="11"/>
  <c r="AH3502" i="11"/>
  <c r="AB3502" i="11"/>
  <c r="W3502" i="11"/>
  <c r="AH3501" i="11"/>
  <c r="AB3501" i="11"/>
  <c r="W3501" i="11"/>
  <c r="AH3500" i="11"/>
  <c r="AB3500" i="11"/>
  <c r="W3500" i="11"/>
  <c r="AH3499" i="11"/>
  <c r="AB3499" i="11"/>
  <c r="W3499" i="11"/>
  <c r="AH3498" i="11"/>
  <c r="AB3498" i="11"/>
  <c r="W3498" i="11"/>
  <c r="AH3497" i="11"/>
  <c r="AB3497" i="11"/>
  <c r="W3497" i="11"/>
  <c r="AH3496" i="11"/>
  <c r="AB3496" i="11"/>
  <c r="W3496" i="11"/>
  <c r="AH3495" i="11"/>
  <c r="AB3495" i="11"/>
  <c r="W3495" i="11"/>
  <c r="AH3494" i="11"/>
  <c r="AB3494" i="11"/>
  <c r="W3494" i="11"/>
  <c r="AH3493" i="11"/>
  <c r="AB3493" i="11"/>
  <c r="W3493" i="11"/>
  <c r="AH3492" i="11"/>
  <c r="AB3492" i="11"/>
  <c r="W3492" i="11"/>
  <c r="AH3491" i="11"/>
  <c r="AB3491" i="11"/>
  <c r="W3491" i="11"/>
  <c r="AH3490" i="11"/>
  <c r="AB3490" i="11"/>
  <c r="W3490" i="11"/>
  <c r="AH3489" i="11"/>
  <c r="AB3489" i="11"/>
  <c r="W3489" i="11"/>
  <c r="AH3488" i="11"/>
  <c r="AB3488" i="11"/>
  <c r="W3488" i="11"/>
  <c r="AH3487" i="11"/>
  <c r="AB3487" i="11"/>
  <c r="W3487" i="11"/>
  <c r="AH3486" i="11"/>
  <c r="AB3486" i="11"/>
  <c r="W3486" i="11"/>
  <c r="AH3485" i="11"/>
  <c r="AB3485" i="11"/>
  <c r="W3485" i="11"/>
  <c r="AH3484" i="11"/>
  <c r="AB3484" i="11"/>
  <c r="W3484" i="11"/>
  <c r="AH3483" i="11"/>
  <c r="AB3483" i="11"/>
  <c r="W3483" i="11"/>
  <c r="AH3482" i="11"/>
  <c r="AB3482" i="11"/>
  <c r="W3482" i="11"/>
  <c r="AH3481" i="11"/>
  <c r="AB3481" i="11"/>
  <c r="W3481" i="11"/>
  <c r="AH3480" i="11"/>
  <c r="AB3480" i="11"/>
  <c r="W3480" i="11"/>
  <c r="AH3479" i="11"/>
  <c r="AB3479" i="11"/>
  <c r="W3479" i="11"/>
  <c r="AH3478" i="11"/>
  <c r="AB3478" i="11"/>
  <c r="W3478" i="11"/>
  <c r="AH3477" i="11"/>
  <c r="AB3477" i="11"/>
  <c r="W3477" i="11"/>
  <c r="AH3476" i="11"/>
  <c r="AB3476" i="11"/>
  <c r="W3476" i="11"/>
  <c r="AH3475" i="11"/>
  <c r="AB3475" i="11"/>
  <c r="W3475" i="11"/>
  <c r="AH3474" i="11"/>
  <c r="AB3474" i="11"/>
  <c r="W3474" i="11"/>
  <c r="AH3473" i="11"/>
  <c r="AB3473" i="11"/>
  <c r="W3473" i="11"/>
  <c r="AH3472" i="11"/>
  <c r="AB3472" i="11"/>
  <c r="W3472" i="11"/>
  <c r="AH3471" i="11"/>
  <c r="AB3471" i="11"/>
  <c r="W3471" i="11"/>
  <c r="AH3470" i="11"/>
  <c r="AB3470" i="11"/>
  <c r="W3470" i="11"/>
  <c r="AH3469" i="11"/>
  <c r="AB3469" i="11"/>
  <c r="W3469" i="11"/>
  <c r="AH3468" i="11"/>
  <c r="AB3468" i="11"/>
  <c r="W3468" i="11"/>
  <c r="AH3467" i="11"/>
  <c r="AB3467" i="11"/>
  <c r="W3467" i="11"/>
  <c r="AH3466" i="11"/>
  <c r="AB3466" i="11"/>
  <c r="W3466" i="11"/>
  <c r="AH3465" i="11"/>
  <c r="AB3465" i="11"/>
  <c r="W3465" i="11"/>
  <c r="AH3464" i="11"/>
  <c r="AB3464" i="11"/>
  <c r="W3464" i="11"/>
  <c r="AH3463" i="11"/>
  <c r="AB3463" i="11"/>
  <c r="W3463" i="11"/>
  <c r="AH3462" i="11"/>
  <c r="AB3462" i="11"/>
  <c r="W3462" i="11"/>
  <c r="AH3461" i="11"/>
  <c r="AB3461" i="11"/>
  <c r="W3461" i="11"/>
  <c r="AH3460" i="11"/>
  <c r="AB3460" i="11"/>
  <c r="W3460" i="11"/>
  <c r="AH3459" i="11"/>
  <c r="AB3459" i="11"/>
  <c r="W3459" i="11"/>
  <c r="AH3458" i="11"/>
  <c r="AB3458" i="11"/>
  <c r="W3458" i="11"/>
  <c r="AH3457" i="11"/>
  <c r="AB3457" i="11"/>
  <c r="W3457" i="11"/>
  <c r="AH3456" i="11"/>
  <c r="AB3456" i="11"/>
  <c r="W3456" i="11"/>
  <c r="AH3455" i="11"/>
  <c r="AB3455" i="11"/>
  <c r="W3455" i="11"/>
  <c r="AH3454" i="11"/>
  <c r="AB3454" i="11"/>
  <c r="W3454" i="11"/>
  <c r="AH3453" i="11"/>
  <c r="AB3453" i="11"/>
  <c r="W3453" i="11"/>
  <c r="AH3452" i="11"/>
  <c r="AB3452" i="11"/>
  <c r="W3452" i="11"/>
  <c r="AH3451" i="11"/>
  <c r="AB3451" i="11"/>
  <c r="W3451" i="11"/>
  <c r="AH3450" i="11"/>
  <c r="AB3450" i="11"/>
  <c r="W3450" i="11"/>
  <c r="AH3449" i="11"/>
  <c r="AB3449" i="11"/>
  <c r="W3449" i="11"/>
  <c r="AH3448" i="11"/>
  <c r="AB3448" i="11"/>
  <c r="W3448" i="11"/>
  <c r="AH3447" i="11"/>
  <c r="AB3447" i="11"/>
  <c r="W3447" i="11"/>
  <c r="AH3446" i="11"/>
  <c r="AB3446" i="11"/>
  <c r="W3446" i="11"/>
  <c r="AH3445" i="11"/>
  <c r="AB3445" i="11"/>
  <c r="W3445" i="11"/>
  <c r="AH3444" i="11"/>
  <c r="AB3444" i="11"/>
  <c r="W3444" i="11"/>
  <c r="AH3443" i="11"/>
  <c r="AB3443" i="11"/>
  <c r="W3443" i="11"/>
  <c r="AH3442" i="11"/>
  <c r="AB3442" i="11"/>
  <c r="W3442" i="11"/>
  <c r="AH3441" i="11"/>
  <c r="AB3441" i="11"/>
  <c r="W3441" i="11"/>
  <c r="AH3440" i="11"/>
  <c r="AB3440" i="11"/>
  <c r="W3440" i="11"/>
  <c r="AH3439" i="11"/>
  <c r="AB3439" i="11"/>
  <c r="W3439" i="11"/>
  <c r="AH3438" i="11"/>
  <c r="AB3438" i="11"/>
  <c r="W3438" i="11"/>
  <c r="AH3437" i="11"/>
  <c r="AB3437" i="11"/>
  <c r="W3437" i="11"/>
  <c r="AH3436" i="11"/>
  <c r="AB3436" i="11"/>
  <c r="W3436" i="11"/>
  <c r="AH3435" i="11"/>
  <c r="AB3435" i="11"/>
  <c r="W3435" i="11"/>
  <c r="AH3434" i="11"/>
  <c r="AB3434" i="11"/>
  <c r="W3434" i="11"/>
  <c r="AH3433" i="11"/>
  <c r="AB3433" i="11"/>
  <c r="W3433" i="11"/>
  <c r="AH3432" i="11"/>
  <c r="AB3432" i="11"/>
  <c r="W3432" i="11"/>
  <c r="AH3431" i="11"/>
  <c r="AB3431" i="11"/>
  <c r="W3431" i="11"/>
  <c r="AH3430" i="11"/>
  <c r="AB3430" i="11"/>
  <c r="W3430" i="11"/>
  <c r="AH3429" i="11"/>
  <c r="AB3429" i="11"/>
  <c r="W3429" i="11"/>
  <c r="AH3428" i="11"/>
  <c r="AB3428" i="11"/>
  <c r="W3428" i="11"/>
  <c r="AH3427" i="11"/>
  <c r="AB3427" i="11"/>
  <c r="W3427" i="11"/>
  <c r="AH3426" i="11"/>
  <c r="AB3426" i="11"/>
  <c r="W3426" i="11"/>
  <c r="AH3425" i="11"/>
  <c r="AB3425" i="11"/>
  <c r="W3425" i="11"/>
  <c r="AH3424" i="11"/>
  <c r="AB3424" i="11"/>
  <c r="W3424" i="11"/>
  <c r="AH3423" i="11"/>
  <c r="AB3423" i="11"/>
  <c r="W3423" i="11"/>
  <c r="AH3422" i="11"/>
  <c r="AB3422" i="11"/>
  <c r="W3422" i="11"/>
  <c r="AH3421" i="11"/>
  <c r="AB3421" i="11"/>
  <c r="W3421" i="11"/>
  <c r="AH3420" i="11"/>
  <c r="AB3420" i="11"/>
  <c r="W3420" i="11"/>
  <c r="AH3419" i="11"/>
  <c r="AB3419" i="11"/>
  <c r="W3419" i="11"/>
  <c r="AH3418" i="11"/>
  <c r="AB3418" i="11"/>
  <c r="W3418" i="11"/>
  <c r="AH3417" i="11"/>
  <c r="AB3417" i="11"/>
  <c r="W3417" i="11"/>
  <c r="AH3416" i="11"/>
  <c r="AB3416" i="11"/>
  <c r="W3416" i="11"/>
  <c r="AH3415" i="11"/>
  <c r="AB3415" i="11"/>
  <c r="W3415" i="11"/>
  <c r="AH3414" i="11"/>
  <c r="AB3414" i="11"/>
  <c r="W3414" i="11"/>
  <c r="AH3413" i="11"/>
  <c r="AB3413" i="11"/>
  <c r="W3413" i="11"/>
  <c r="AH3412" i="11"/>
  <c r="AB3412" i="11"/>
  <c r="W3412" i="11"/>
  <c r="AH3411" i="11"/>
  <c r="AB3411" i="11"/>
  <c r="W3411" i="11"/>
  <c r="AH3410" i="11"/>
  <c r="AB3410" i="11"/>
  <c r="W3410" i="11"/>
  <c r="AH3409" i="11"/>
  <c r="AB3409" i="11"/>
  <c r="W3409" i="11"/>
  <c r="AH3408" i="11"/>
  <c r="AB3408" i="11"/>
  <c r="W3408" i="11"/>
  <c r="AH3407" i="11"/>
  <c r="AB3407" i="11"/>
  <c r="W3407" i="11"/>
  <c r="AH3406" i="11"/>
  <c r="AB3406" i="11"/>
  <c r="W3406" i="11"/>
  <c r="AH3405" i="11"/>
  <c r="AB3405" i="11"/>
  <c r="W3405" i="11"/>
  <c r="AH3404" i="11"/>
  <c r="AB3404" i="11"/>
  <c r="W3404" i="11"/>
  <c r="AH3403" i="11"/>
  <c r="AB3403" i="11"/>
  <c r="W3403" i="11"/>
  <c r="AH3402" i="11"/>
  <c r="AB3402" i="11"/>
  <c r="W3402" i="11"/>
  <c r="AH3401" i="11"/>
  <c r="AB3401" i="11"/>
  <c r="W3401" i="11"/>
  <c r="AH3400" i="11"/>
  <c r="AB3400" i="11"/>
  <c r="W3400" i="11"/>
  <c r="AH3399" i="11"/>
  <c r="AB3399" i="11"/>
  <c r="W3399" i="11"/>
  <c r="AH3398" i="11"/>
  <c r="AB3398" i="11"/>
  <c r="W3398" i="11"/>
  <c r="AH3397" i="11"/>
  <c r="AB3397" i="11"/>
  <c r="W3397" i="11"/>
  <c r="AH3396" i="11"/>
  <c r="AB3396" i="11"/>
  <c r="W3396" i="11"/>
  <c r="AH3395" i="11"/>
  <c r="AB3395" i="11"/>
  <c r="W3395" i="11"/>
  <c r="AH3394" i="11"/>
  <c r="AB3394" i="11"/>
  <c r="W3394" i="11"/>
  <c r="AH3393" i="11"/>
  <c r="AB3393" i="11"/>
  <c r="W3393" i="11"/>
  <c r="AH3392" i="11"/>
  <c r="AB3392" i="11"/>
  <c r="W3392" i="11"/>
  <c r="AH3391" i="11"/>
  <c r="AB3391" i="11"/>
  <c r="W3391" i="11"/>
  <c r="AH3390" i="11"/>
  <c r="AB3390" i="11"/>
  <c r="W3390" i="11"/>
  <c r="AH3389" i="11"/>
  <c r="AB3389" i="11"/>
  <c r="W3389" i="11"/>
  <c r="AH3388" i="11"/>
  <c r="AB3388" i="11"/>
  <c r="W3388" i="11"/>
  <c r="AH3387" i="11"/>
  <c r="AB3387" i="11"/>
  <c r="W3387" i="11"/>
  <c r="AH3386" i="11"/>
  <c r="AB3386" i="11"/>
  <c r="W3386" i="11"/>
  <c r="AH3385" i="11"/>
  <c r="AB3385" i="11"/>
  <c r="W3385" i="11"/>
  <c r="AH3384" i="11"/>
  <c r="AB3384" i="11"/>
  <c r="W3384" i="11"/>
  <c r="AH3383" i="11"/>
  <c r="AB3383" i="11"/>
  <c r="W3383" i="11"/>
  <c r="AH3382" i="11"/>
  <c r="AB3382" i="11"/>
  <c r="W3382" i="11"/>
  <c r="AH3381" i="11"/>
  <c r="AB3381" i="11"/>
  <c r="W3381" i="11"/>
  <c r="AH3380" i="11"/>
  <c r="AB3380" i="11"/>
  <c r="W3380" i="11"/>
  <c r="AH3379" i="11"/>
  <c r="AB3379" i="11"/>
  <c r="W3379" i="11"/>
  <c r="AH3378" i="11"/>
  <c r="AB3378" i="11"/>
  <c r="W3378" i="11"/>
  <c r="AH3377" i="11"/>
  <c r="AB3377" i="11"/>
  <c r="W3377" i="11"/>
  <c r="AH3376" i="11"/>
  <c r="AB3376" i="11"/>
  <c r="W3376" i="11"/>
  <c r="AH3375" i="11"/>
  <c r="AB3375" i="11"/>
  <c r="W3375" i="11"/>
  <c r="AH3374" i="11"/>
  <c r="AB3374" i="11"/>
  <c r="W3374" i="11"/>
  <c r="AH3373" i="11"/>
  <c r="AB3373" i="11"/>
  <c r="W3373" i="11"/>
  <c r="AH3372" i="11"/>
  <c r="AB3372" i="11"/>
  <c r="W3372" i="11"/>
  <c r="AH3371" i="11"/>
  <c r="AB3371" i="11"/>
  <c r="W3371" i="11"/>
  <c r="AH3370" i="11"/>
  <c r="AB3370" i="11"/>
  <c r="W3370" i="11"/>
  <c r="AH3369" i="11"/>
  <c r="AB3369" i="11"/>
  <c r="W3369" i="11"/>
  <c r="AH3368" i="11"/>
  <c r="AB3368" i="11"/>
  <c r="W3368" i="11"/>
  <c r="AH3367" i="11"/>
  <c r="AB3367" i="11"/>
  <c r="W3367" i="11"/>
  <c r="AH3366" i="11"/>
  <c r="AB3366" i="11"/>
  <c r="W3366" i="11"/>
  <c r="AH3365" i="11"/>
  <c r="AB3365" i="11"/>
  <c r="W3365" i="11"/>
  <c r="AH3364" i="11"/>
  <c r="AB3364" i="11"/>
  <c r="W3364" i="11"/>
  <c r="AH3363" i="11"/>
  <c r="AB3363" i="11"/>
  <c r="W3363" i="11"/>
  <c r="AH3362" i="11"/>
  <c r="AB3362" i="11"/>
  <c r="W3362" i="11"/>
  <c r="AH3361" i="11"/>
  <c r="AB3361" i="11"/>
  <c r="W3361" i="11"/>
  <c r="AH3360" i="11"/>
  <c r="AB3360" i="11"/>
  <c r="W3360" i="11"/>
  <c r="AH3359" i="11"/>
  <c r="AB3359" i="11"/>
  <c r="W3359" i="11"/>
  <c r="AH3358" i="11"/>
  <c r="AB3358" i="11"/>
  <c r="W3358" i="11"/>
  <c r="AH3357" i="11"/>
  <c r="AB3357" i="11"/>
  <c r="W3357" i="11"/>
  <c r="AH3356" i="11"/>
  <c r="AB3356" i="11"/>
  <c r="W3356" i="11"/>
  <c r="AH3355" i="11"/>
  <c r="AB3355" i="11"/>
  <c r="W3355" i="11"/>
  <c r="AH3354" i="11"/>
  <c r="AB3354" i="11"/>
  <c r="W3354" i="11"/>
  <c r="AH3353" i="11"/>
  <c r="AB3353" i="11"/>
  <c r="W3353" i="11"/>
  <c r="AH3352" i="11"/>
  <c r="AB3352" i="11"/>
  <c r="W3352" i="11"/>
  <c r="AH3351" i="11"/>
  <c r="AB3351" i="11"/>
  <c r="W3351" i="11"/>
  <c r="AH3350" i="11"/>
  <c r="AB3350" i="11"/>
  <c r="W3350" i="11"/>
  <c r="AH3349" i="11"/>
  <c r="AB3349" i="11"/>
  <c r="W3349" i="11"/>
  <c r="AH3348" i="11"/>
  <c r="AB3348" i="11"/>
  <c r="W3348" i="11"/>
  <c r="AH3347" i="11"/>
  <c r="AB3347" i="11"/>
  <c r="W3347" i="11"/>
  <c r="AH3346" i="11"/>
  <c r="AB3346" i="11"/>
  <c r="W3346" i="11"/>
  <c r="AH3345" i="11"/>
  <c r="AB3345" i="11"/>
  <c r="W3345" i="11"/>
  <c r="AH3344" i="11"/>
  <c r="AB3344" i="11"/>
  <c r="W3344" i="11"/>
  <c r="AH3343" i="11"/>
  <c r="AB3343" i="11"/>
  <c r="W3343" i="11"/>
  <c r="AH3342" i="11"/>
  <c r="AB3342" i="11"/>
  <c r="W3342" i="11"/>
  <c r="AH3341" i="11"/>
  <c r="AB3341" i="11"/>
  <c r="W3341" i="11"/>
  <c r="AH3340" i="11"/>
  <c r="AB3340" i="11"/>
  <c r="W3340" i="11"/>
  <c r="AH3339" i="11"/>
  <c r="AB3339" i="11"/>
  <c r="W3339" i="11"/>
  <c r="AH3338" i="11"/>
  <c r="AB3338" i="11"/>
  <c r="W3338" i="11"/>
  <c r="AH3337" i="11"/>
  <c r="AB3337" i="11"/>
  <c r="W3337" i="11"/>
  <c r="AH3336" i="11"/>
  <c r="AB3336" i="11"/>
  <c r="W3336" i="11"/>
  <c r="AH3335" i="11"/>
  <c r="AB3335" i="11"/>
  <c r="W3335" i="11"/>
  <c r="AH3334" i="11"/>
  <c r="AB3334" i="11"/>
  <c r="W3334" i="11"/>
  <c r="AH3333" i="11"/>
  <c r="AB3333" i="11"/>
  <c r="W3333" i="11"/>
  <c r="AH3332" i="11"/>
  <c r="AB3332" i="11"/>
  <c r="W3332" i="11"/>
  <c r="AH3331" i="11"/>
  <c r="AB3331" i="11"/>
  <c r="W3331" i="11"/>
  <c r="AH3330" i="11"/>
  <c r="AB3330" i="11"/>
  <c r="W3330" i="11"/>
  <c r="AH3329" i="11"/>
  <c r="AB3329" i="11"/>
  <c r="W3329" i="11"/>
  <c r="AH3328" i="11"/>
  <c r="AB3328" i="11"/>
  <c r="W3328" i="11"/>
  <c r="AH3327" i="11"/>
  <c r="AB3327" i="11"/>
  <c r="W3327" i="11"/>
  <c r="AH3326" i="11"/>
  <c r="AB3326" i="11"/>
  <c r="W3326" i="11"/>
  <c r="AH3325" i="11"/>
  <c r="AB3325" i="11"/>
  <c r="W3325" i="11"/>
  <c r="AH3324" i="11"/>
  <c r="AB3324" i="11"/>
  <c r="W3324" i="11"/>
  <c r="AH3323" i="11"/>
  <c r="AB3323" i="11"/>
  <c r="W3323" i="11"/>
  <c r="AH3322" i="11"/>
  <c r="AB3322" i="11"/>
  <c r="W3322" i="11"/>
  <c r="AH3321" i="11"/>
  <c r="AB3321" i="11"/>
  <c r="W3321" i="11"/>
  <c r="AH3320" i="11"/>
  <c r="AB3320" i="11"/>
  <c r="W3320" i="11"/>
  <c r="AH3319" i="11"/>
  <c r="AB3319" i="11"/>
  <c r="W3319" i="11"/>
  <c r="AH3318" i="11"/>
  <c r="AB3318" i="11"/>
  <c r="W3318" i="11"/>
  <c r="AH3317" i="11"/>
  <c r="AB3317" i="11"/>
  <c r="W3317" i="11"/>
  <c r="AH3316" i="11"/>
  <c r="AB3316" i="11"/>
  <c r="W3316" i="11"/>
  <c r="AH3315" i="11"/>
  <c r="AB3315" i="11"/>
  <c r="W3315" i="11"/>
  <c r="AH3314" i="11"/>
  <c r="AB3314" i="11"/>
  <c r="W3314" i="11"/>
  <c r="AH3313" i="11"/>
  <c r="AB3313" i="11"/>
  <c r="W3313" i="11"/>
  <c r="AH3312" i="11"/>
  <c r="AB3312" i="11"/>
  <c r="W3312" i="11"/>
  <c r="AH3311" i="11"/>
  <c r="AB3311" i="11"/>
  <c r="W3311" i="11"/>
  <c r="AH3310" i="11"/>
  <c r="AB3310" i="11"/>
  <c r="W3310" i="11"/>
  <c r="AH3309" i="11"/>
  <c r="AB3309" i="11"/>
  <c r="W3309" i="11"/>
  <c r="AH3308" i="11"/>
  <c r="AB3308" i="11"/>
  <c r="W3308" i="11"/>
  <c r="AH3307" i="11"/>
  <c r="AB3307" i="11"/>
  <c r="W3307" i="11"/>
  <c r="AH3306" i="11"/>
  <c r="AB3306" i="11"/>
  <c r="W3306" i="11"/>
  <c r="AH3305" i="11"/>
  <c r="AB3305" i="11"/>
  <c r="W3305" i="11"/>
  <c r="AH3304" i="11"/>
  <c r="AB3304" i="11"/>
  <c r="W3304" i="11"/>
  <c r="AH3303" i="11"/>
  <c r="AB3303" i="11"/>
  <c r="W3303" i="11"/>
  <c r="AH3302" i="11"/>
  <c r="AB3302" i="11"/>
  <c r="W3302" i="11"/>
  <c r="AH3301" i="11"/>
  <c r="AB3301" i="11"/>
  <c r="W3301" i="11"/>
  <c r="AH3300" i="11"/>
  <c r="AB3300" i="11"/>
  <c r="W3300" i="11"/>
  <c r="AH3299" i="11"/>
  <c r="AB3299" i="11"/>
  <c r="W3299" i="11"/>
  <c r="AH3298" i="11"/>
  <c r="AB3298" i="11"/>
  <c r="W3298" i="11"/>
  <c r="AH3297" i="11"/>
  <c r="AB3297" i="11"/>
  <c r="W3297" i="11"/>
  <c r="AH3296" i="11"/>
  <c r="AB3296" i="11"/>
  <c r="W3296" i="11"/>
  <c r="AH3295" i="11"/>
  <c r="AB3295" i="11"/>
  <c r="W3295" i="11"/>
  <c r="AH3294" i="11"/>
  <c r="AB3294" i="11"/>
  <c r="W3294" i="11"/>
  <c r="AH3293" i="11"/>
  <c r="AB3293" i="11"/>
  <c r="W3293" i="11"/>
  <c r="AH3292" i="11"/>
  <c r="AB3292" i="11"/>
  <c r="W3292" i="11"/>
  <c r="AH3291" i="11"/>
  <c r="AB3291" i="11"/>
  <c r="W3291" i="11"/>
  <c r="AH3290" i="11"/>
  <c r="AB3290" i="11"/>
  <c r="W3290" i="11"/>
  <c r="AH3289" i="11"/>
  <c r="AB3289" i="11"/>
  <c r="W3289" i="11"/>
  <c r="AH3288" i="11"/>
  <c r="AB3288" i="11"/>
  <c r="W3288" i="11"/>
  <c r="AH3287" i="11"/>
  <c r="AB3287" i="11"/>
  <c r="W3287" i="11"/>
  <c r="AH3286" i="11"/>
  <c r="AB3286" i="11"/>
  <c r="W3286" i="11"/>
  <c r="AH3285" i="11"/>
  <c r="AB3285" i="11"/>
  <c r="W3285" i="11"/>
  <c r="AH3284" i="11"/>
  <c r="AB3284" i="11"/>
  <c r="W3284" i="11"/>
  <c r="AH3283" i="11"/>
  <c r="AB3283" i="11"/>
  <c r="W3283" i="11"/>
  <c r="AH3282" i="11"/>
  <c r="AB3282" i="11"/>
  <c r="W3282" i="11"/>
  <c r="AH3281" i="11"/>
  <c r="AB3281" i="11"/>
  <c r="W3281" i="11"/>
  <c r="AH3280" i="11"/>
  <c r="AB3280" i="11"/>
  <c r="W3280" i="11"/>
  <c r="AH3279" i="11"/>
  <c r="AB3279" i="11"/>
  <c r="W3279" i="11"/>
  <c r="AH3278" i="11"/>
  <c r="AB3278" i="11"/>
  <c r="W3278" i="11"/>
  <c r="AH3277" i="11"/>
  <c r="AB3277" i="11"/>
  <c r="W3277" i="11"/>
  <c r="AH3276" i="11"/>
  <c r="AB3276" i="11"/>
  <c r="W3276" i="11"/>
  <c r="AH3275" i="11"/>
  <c r="AB3275" i="11"/>
  <c r="W3275" i="11"/>
  <c r="AH3274" i="11"/>
  <c r="AB3274" i="11"/>
  <c r="W3274" i="11"/>
  <c r="AH3273" i="11"/>
  <c r="AB3273" i="11"/>
  <c r="W3273" i="11"/>
  <c r="AH3272" i="11"/>
  <c r="AB3272" i="11"/>
  <c r="W3272" i="11"/>
  <c r="AH3271" i="11"/>
  <c r="AB3271" i="11"/>
  <c r="W3271" i="11"/>
  <c r="AH3270" i="11"/>
  <c r="AB3270" i="11"/>
  <c r="W3270" i="11"/>
  <c r="AH3269" i="11"/>
  <c r="AB3269" i="11"/>
  <c r="W3269" i="11"/>
  <c r="AH3268" i="11"/>
  <c r="AB3268" i="11"/>
  <c r="W3268" i="11"/>
  <c r="AH3267" i="11"/>
  <c r="AB3267" i="11"/>
  <c r="W3267" i="11"/>
  <c r="AH3266" i="11"/>
  <c r="AB3266" i="11"/>
  <c r="W3266" i="11"/>
  <c r="AH3265" i="11"/>
  <c r="AB3265" i="11"/>
  <c r="W3265" i="11"/>
  <c r="AH3264" i="11"/>
  <c r="AB3264" i="11"/>
  <c r="W3264" i="11"/>
  <c r="AH3263" i="11"/>
  <c r="AB3263" i="11"/>
  <c r="W3263" i="11"/>
  <c r="AH3262" i="11"/>
  <c r="AB3262" i="11"/>
  <c r="W3262" i="11"/>
  <c r="AH3261" i="11"/>
  <c r="AB3261" i="11"/>
  <c r="W3261" i="11"/>
  <c r="AH3260" i="11"/>
  <c r="AB3260" i="11"/>
  <c r="W3260" i="11"/>
  <c r="AH3259" i="11"/>
  <c r="AB3259" i="11"/>
  <c r="W3259" i="11"/>
  <c r="AH3258" i="11"/>
  <c r="AB3258" i="11"/>
  <c r="W3258" i="11"/>
  <c r="AH3257" i="11"/>
  <c r="AB3257" i="11"/>
  <c r="W3257" i="11"/>
  <c r="AH3256" i="11"/>
  <c r="AB3256" i="11"/>
  <c r="W3256" i="11"/>
  <c r="AH3255" i="11"/>
  <c r="AB3255" i="11"/>
  <c r="W3255" i="11"/>
  <c r="AH3254" i="11"/>
  <c r="AB3254" i="11"/>
  <c r="W3254" i="11"/>
  <c r="AH3253" i="11"/>
  <c r="AB3253" i="11"/>
  <c r="W3253" i="11"/>
  <c r="AH3252" i="11"/>
  <c r="AB3252" i="11"/>
  <c r="W3252" i="11"/>
  <c r="AH3251" i="11"/>
  <c r="AB3251" i="11"/>
  <c r="W3251" i="11"/>
  <c r="AH3250" i="11"/>
  <c r="AB3250" i="11"/>
  <c r="W3250" i="11"/>
  <c r="AH3249" i="11"/>
  <c r="AB3249" i="11"/>
  <c r="W3249" i="11"/>
  <c r="AH3248" i="11"/>
  <c r="AB3248" i="11"/>
  <c r="W3248" i="11"/>
  <c r="AH3247" i="11"/>
  <c r="AB3247" i="11"/>
  <c r="W3247" i="11"/>
  <c r="AH3246" i="11"/>
  <c r="AB3246" i="11"/>
  <c r="W3246" i="11"/>
  <c r="AH3245" i="11"/>
  <c r="AB3245" i="11"/>
  <c r="W3245" i="11"/>
  <c r="AH3244" i="11"/>
  <c r="AB3244" i="11"/>
  <c r="W3244" i="11"/>
  <c r="AH3243" i="11"/>
  <c r="AB3243" i="11"/>
  <c r="W3243" i="11"/>
  <c r="AH3242" i="11"/>
  <c r="AB3242" i="11"/>
  <c r="W3242" i="11"/>
  <c r="AH3241" i="11"/>
  <c r="AB3241" i="11"/>
  <c r="W3241" i="11"/>
  <c r="AH3240" i="11"/>
  <c r="AB3240" i="11"/>
  <c r="W3240" i="11"/>
  <c r="AH3239" i="11"/>
  <c r="AB3239" i="11"/>
  <c r="W3239" i="11"/>
  <c r="AH3238" i="11"/>
  <c r="AB3238" i="11"/>
  <c r="W3238" i="11"/>
  <c r="AH3237" i="11"/>
  <c r="AB3237" i="11"/>
  <c r="W3237" i="11"/>
  <c r="AH3236" i="11"/>
  <c r="AB3236" i="11"/>
  <c r="W3236" i="11"/>
  <c r="AH3235" i="11"/>
  <c r="AB3235" i="11"/>
  <c r="W3235" i="11"/>
  <c r="AH3234" i="11"/>
  <c r="AB3234" i="11"/>
  <c r="W3234" i="11"/>
  <c r="AH3233" i="11"/>
  <c r="AB3233" i="11"/>
  <c r="W3233" i="11"/>
  <c r="AH3232" i="11"/>
  <c r="AB3232" i="11"/>
  <c r="W3232" i="11"/>
  <c r="AH3231" i="11"/>
  <c r="AB3231" i="11"/>
  <c r="W3231" i="11"/>
  <c r="AH3230" i="11"/>
  <c r="AB3230" i="11"/>
  <c r="W3230" i="11"/>
  <c r="AH3229" i="11"/>
  <c r="AB3229" i="11"/>
  <c r="W3229" i="11"/>
  <c r="AH3228" i="11"/>
  <c r="AB3228" i="11"/>
  <c r="W3228" i="11"/>
  <c r="AH3227" i="11"/>
  <c r="AB3227" i="11"/>
  <c r="W3227" i="11"/>
  <c r="AH3226" i="11"/>
  <c r="AB3226" i="11"/>
  <c r="W3226" i="11"/>
  <c r="AH3225" i="11"/>
  <c r="AB3225" i="11"/>
  <c r="W3225" i="11"/>
  <c r="AH3224" i="11"/>
  <c r="AB3224" i="11"/>
  <c r="W3224" i="11"/>
  <c r="AH3223" i="11"/>
  <c r="AB3223" i="11"/>
  <c r="W3223" i="11"/>
  <c r="AH3222" i="11"/>
  <c r="AB3222" i="11"/>
  <c r="W3222" i="11"/>
  <c r="AH3221" i="11"/>
  <c r="AB3221" i="11"/>
  <c r="W3221" i="11"/>
  <c r="AH3220" i="11"/>
  <c r="AB3220" i="11"/>
  <c r="W3220" i="11"/>
  <c r="AH3219" i="11"/>
  <c r="AB3219" i="11"/>
  <c r="W3219" i="11"/>
  <c r="AH3218" i="11"/>
  <c r="AB3218" i="11"/>
  <c r="W3218" i="11"/>
  <c r="AH3217" i="11"/>
  <c r="AB3217" i="11"/>
  <c r="W3217" i="11"/>
  <c r="AH3216" i="11"/>
  <c r="AB3216" i="11"/>
  <c r="W3216" i="11"/>
  <c r="AH3215" i="11"/>
  <c r="AB3215" i="11"/>
  <c r="W3215" i="11"/>
  <c r="AH3214" i="11"/>
  <c r="AB3214" i="11"/>
  <c r="W3214" i="11"/>
  <c r="AH3213" i="11"/>
  <c r="AB3213" i="11"/>
  <c r="W3213" i="11"/>
  <c r="AH3212" i="11"/>
  <c r="AB3212" i="11"/>
  <c r="W3212" i="11"/>
  <c r="AH3211" i="11"/>
  <c r="AB3211" i="11"/>
  <c r="W3211" i="11"/>
  <c r="AH3210" i="11"/>
  <c r="AB3210" i="11"/>
  <c r="W3210" i="11"/>
  <c r="AH3209" i="11"/>
  <c r="AB3209" i="11"/>
  <c r="W3209" i="11"/>
  <c r="AH3208" i="11"/>
  <c r="AB3208" i="11"/>
  <c r="W3208" i="11"/>
  <c r="AH3207" i="11"/>
  <c r="AB3207" i="11"/>
  <c r="W3207" i="11"/>
  <c r="AH3206" i="11"/>
  <c r="AB3206" i="11"/>
  <c r="W3206" i="11"/>
  <c r="AH3205" i="11"/>
  <c r="AB3205" i="11"/>
  <c r="W3205" i="11"/>
  <c r="AH3204" i="11"/>
  <c r="AB3204" i="11"/>
  <c r="W3204" i="11"/>
  <c r="AH3203" i="11"/>
  <c r="AB3203" i="11"/>
  <c r="W3203" i="11"/>
  <c r="AH3202" i="11"/>
  <c r="AB3202" i="11"/>
  <c r="W3202" i="11"/>
  <c r="AH3201" i="11"/>
  <c r="AB3201" i="11"/>
  <c r="W3201" i="11"/>
  <c r="AH3200" i="11"/>
  <c r="AB3200" i="11"/>
  <c r="W3200" i="11"/>
  <c r="AH3199" i="11"/>
  <c r="AB3199" i="11"/>
  <c r="W3199" i="11"/>
  <c r="AH3198" i="11"/>
  <c r="AB3198" i="11"/>
  <c r="W3198" i="11"/>
  <c r="AH3197" i="11"/>
  <c r="AB3197" i="11"/>
  <c r="W3197" i="11"/>
  <c r="AH3196" i="11"/>
  <c r="AB3196" i="11"/>
  <c r="W3196" i="11"/>
  <c r="AH3195" i="11"/>
  <c r="AB3195" i="11"/>
  <c r="W3195" i="11"/>
  <c r="AH3194" i="11"/>
  <c r="AB3194" i="11"/>
  <c r="W3194" i="11"/>
  <c r="AH3193" i="11"/>
  <c r="AB3193" i="11"/>
  <c r="W3193" i="11"/>
  <c r="AH3192" i="11"/>
  <c r="AB3192" i="11"/>
  <c r="W3192" i="11"/>
  <c r="AH3191" i="11"/>
  <c r="AB3191" i="11"/>
  <c r="W3191" i="11"/>
  <c r="AH3190" i="11"/>
  <c r="AB3190" i="11"/>
  <c r="W3190" i="11"/>
  <c r="AH3189" i="11"/>
  <c r="AB3189" i="11"/>
  <c r="W3189" i="11"/>
  <c r="AH3188" i="11"/>
  <c r="AB3188" i="11"/>
  <c r="W3188" i="11"/>
  <c r="AH3187" i="11"/>
  <c r="AB3187" i="11"/>
  <c r="W3187" i="11"/>
  <c r="AH3186" i="11"/>
  <c r="AB3186" i="11"/>
  <c r="W3186" i="11"/>
  <c r="AH3185" i="11"/>
  <c r="AB3185" i="11"/>
  <c r="W3185" i="11"/>
  <c r="AH3184" i="11"/>
  <c r="AB3184" i="11"/>
  <c r="W3184" i="11"/>
  <c r="AH3183" i="11"/>
  <c r="AB3183" i="11"/>
  <c r="W3183" i="11"/>
  <c r="AH3182" i="11"/>
  <c r="AB3182" i="11"/>
  <c r="W3182" i="11"/>
  <c r="AH3181" i="11"/>
  <c r="AB3181" i="11"/>
  <c r="W3181" i="11"/>
  <c r="AH3180" i="11"/>
  <c r="AB3180" i="11"/>
  <c r="W3180" i="11"/>
  <c r="AH3179" i="11"/>
  <c r="AB3179" i="11"/>
  <c r="W3179" i="11"/>
  <c r="AH3178" i="11"/>
  <c r="AB3178" i="11"/>
  <c r="W3178" i="11"/>
  <c r="AH3177" i="11"/>
  <c r="AB3177" i="11"/>
  <c r="W3177" i="11"/>
  <c r="AH3176" i="11"/>
  <c r="AB3176" i="11"/>
  <c r="W3176" i="11"/>
  <c r="AH3175" i="11"/>
  <c r="AB3175" i="11"/>
  <c r="W3175" i="11"/>
  <c r="AH3174" i="11"/>
  <c r="AB3174" i="11"/>
  <c r="W3174" i="11"/>
  <c r="AH3173" i="11"/>
  <c r="AB3173" i="11"/>
  <c r="W3173" i="11"/>
  <c r="AH3172" i="11"/>
  <c r="AB3172" i="11"/>
  <c r="W3172" i="11"/>
  <c r="AH3171" i="11"/>
  <c r="AB3171" i="11"/>
  <c r="W3171" i="11"/>
  <c r="AH3170" i="11"/>
  <c r="AB3170" i="11"/>
  <c r="W3170" i="11"/>
  <c r="AH3169" i="11"/>
  <c r="AB3169" i="11"/>
  <c r="W3169" i="11"/>
  <c r="AH3168" i="11"/>
  <c r="AB3168" i="11"/>
  <c r="W3168" i="11"/>
  <c r="AH3167" i="11"/>
  <c r="AB3167" i="11"/>
  <c r="W3167" i="11"/>
  <c r="AH3166" i="11"/>
  <c r="AB3166" i="11"/>
  <c r="W3166" i="11"/>
  <c r="AH3165" i="11"/>
  <c r="AB3165" i="11"/>
  <c r="W3165" i="11"/>
  <c r="AH3164" i="11"/>
  <c r="AB3164" i="11"/>
  <c r="W3164" i="11"/>
  <c r="AH3163" i="11"/>
  <c r="AB3163" i="11"/>
  <c r="W3163" i="11"/>
  <c r="AH3162" i="11"/>
  <c r="AB3162" i="11"/>
  <c r="W3162" i="11"/>
  <c r="AH3161" i="11"/>
  <c r="AB3161" i="11"/>
  <c r="W3161" i="11"/>
  <c r="AH3160" i="11"/>
  <c r="AB3160" i="11"/>
  <c r="W3160" i="11"/>
  <c r="AH3159" i="11"/>
  <c r="AB3159" i="11"/>
  <c r="W3159" i="11"/>
  <c r="AH3158" i="11"/>
  <c r="AB3158" i="11"/>
  <c r="W3158" i="11"/>
  <c r="AH3157" i="11"/>
  <c r="AB3157" i="11"/>
  <c r="W3157" i="11"/>
  <c r="AH3156" i="11"/>
  <c r="AB3156" i="11"/>
  <c r="W3156" i="11"/>
  <c r="AH3155" i="11"/>
  <c r="AB3155" i="11"/>
  <c r="W3155" i="11"/>
  <c r="AH3154" i="11"/>
  <c r="AB3154" i="11"/>
  <c r="W3154" i="11"/>
  <c r="AH3153" i="11"/>
  <c r="AB3153" i="11"/>
  <c r="W3153" i="11"/>
  <c r="AH3152" i="11"/>
  <c r="AB3152" i="11"/>
  <c r="W3152" i="11"/>
  <c r="AH3151" i="11"/>
  <c r="AB3151" i="11"/>
  <c r="W3151" i="11"/>
  <c r="AH3150" i="11"/>
  <c r="AB3150" i="11"/>
  <c r="W3150" i="11"/>
  <c r="AH3149" i="11"/>
  <c r="AB3149" i="11"/>
  <c r="W3149" i="11"/>
  <c r="AH3148" i="11"/>
  <c r="AB3148" i="11"/>
  <c r="W3148" i="11"/>
  <c r="AH3147" i="11"/>
  <c r="AB3147" i="11"/>
  <c r="W3147" i="11"/>
  <c r="AH3146" i="11"/>
  <c r="AB3146" i="11"/>
  <c r="W3146" i="11"/>
  <c r="AH3145" i="11"/>
  <c r="AB3145" i="11"/>
  <c r="W3145" i="11"/>
  <c r="AH3144" i="11"/>
  <c r="AB3144" i="11"/>
  <c r="W3144" i="11"/>
  <c r="AH3143" i="11"/>
  <c r="AB3143" i="11"/>
  <c r="W3143" i="11"/>
  <c r="AH3142" i="11"/>
  <c r="AB3142" i="11"/>
  <c r="W3142" i="11"/>
  <c r="AH3141" i="11"/>
  <c r="AB3141" i="11"/>
  <c r="W3141" i="11"/>
  <c r="AH3140" i="11"/>
  <c r="AB3140" i="11"/>
  <c r="W3140" i="11"/>
  <c r="AH3139" i="11"/>
  <c r="AB3139" i="11"/>
  <c r="W3139" i="11"/>
  <c r="AH3138" i="11"/>
  <c r="AB3138" i="11"/>
  <c r="W3138" i="11"/>
  <c r="AH3137" i="11"/>
  <c r="AB3137" i="11"/>
  <c r="W3137" i="11"/>
  <c r="AH3136" i="11"/>
  <c r="AB3136" i="11"/>
  <c r="W3136" i="11"/>
  <c r="AH3135" i="11"/>
  <c r="AB3135" i="11"/>
  <c r="W3135" i="11"/>
  <c r="AH3134" i="11"/>
  <c r="AB3134" i="11"/>
  <c r="W3134" i="11"/>
  <c r="AH3133" i="11"/>
  <c r="AB3133" i="11"/>
  <c r="W3133" i="11"/>
  <c r="AH3132" i="11"/>
  <c r="AB3132" i="11"/>
  <c r="W3132" i="11"/>
  <c r="AH3131" i="11"/>
  <c r="AB3131" i="11"/>
  <c r="W3131" i="11"/>
  <c r="AH3130" i="11"/>
  <c r="AB3130" i="11"/>
  <c r="W3130" i="11"/>
  <c r="AH3129" i="11"/>
  <c r="AB3129" i="11"/>
  <c r="W3129" i="11"/>
  <c r="AH3128" i="11"/>
  <c r="AB3128" i="11"/>
  <c r="W3128" i="11"/>
  <c r="AH3127" i="11"/>
  <c r="AB3127" i="11"/>
  <c r="W3127" i="11"/>
  <c r="AH3126" i="11"/>
  <c r="AB3126" i="11"/>
  <c r="W3126" i="11"/>
  <c r="AH3125" i="11"/>
  <c r="AB3125" i="11"/>
  <c r="W3125" i="11"/>
  <c r="AH3124" i="11"/>
  <c r="AB3124" i="11"/>
  <c r="W3124" i="11"/>
  <c r="AH3123" i="11"/>
  <c r="AB3123" i="11"/>
  <c r="W3123" i="11"/>
  <c r="AH3122" i="11"/>
  <c r="AB3122" i="11"/>
  <c r="W3122" i="11"/>
  <c r="AH3121" i="11"/>
  <c r="AB3121" i="11"/>
  <c r="W3121" i="11"/>
  <c r="AH3120" i="11"/>
  <c r="AB3120" i="11"/>
  <c r="W3120" i="11"/>
  <c r="AH3119" i="11"/>
  <c r="AB3119" i="11"/>
  <c r="W3119" i="11"/>
  <c r="AH3118" i="11"/>
  <c r="AB3118" i="11"/>
  <c r="W3118" i="11"/>
  <c r="AH3117" i="11"/>
  <c r="AB3117" i="11"/>
  <c r="W3117" i="11"/>
  <c r="AH3116" i="11"/>
  <c r="AB3116" i="11"/>
  <c r="W3116" i="11"/>
  <c r="AH3115" i="11"/>
  <c r="AB3115" i="11"/>
  <c r="W3115" i="11"/>
  <c r="AH3114" i="11"/>
  <c r="AB3114" i="11"/>
  <c r="W3114" i="11"/>
  <c r="AH3113" i="11"/>
  <c r="AB3113" i="11"/>
  <c r="W3113" i="11"/>
  <c r="AH3112" i="11"/>
  <c r="AB3112" i="11"/>
  <c r="W3112" i="11"/>
  <c r="AH3111" i="11"/>
  <c r="AB3111" i="11"/>
  <c r="W3111" i="11"/>
  <c r="AH3110" i="11"/>
  <c r="AB3110" i="11"/>
  <c r="W3110" i="11"/>
  <c r="AH3109" i="11"/>
  <c r="AB3109" i="11"/>
  <c r="W3109" i="11"/>
  <c r="AH3108" i="11"/>
  <c r="AB3108" i="11"/>
  <c r="W3108" i="11"/>
  <c r="AH3107" i="11"/>
  <c r="AB3107" i="11"/>
  <c r="W3107" i="11"/>
  <c r="AH3106" i="11"/>
  <c r="AB3106" i="11"/>
  <c r="W3106" i="11"/>
  <c r="AH3105" i="11"/>
  <c r="AB3105" i="11"/>
  <c r="W3105" i="11"/>
  <c r="AH3104" i="11"/>
  <c r="AB3104" i="11"/>
  <c r="W3104" i="11"/>
  <c r="AH3103" i="11"/>
  <c r="AB3103" i="11"/>
  <c r="W3103" i="11"/>
  <c r="AH3102" i="11"/>
  <c r="AB3102" i="11"/>
  <c r="W3102" i="11"/>
  <c r="AH3101" i="11"/>
  <c r="AB3101" i="11"/>
  <c r="W3101" i="11"/>
  <c r="AH3100" i="11"/>
  <c r="AB3100" i="11"/>
  <c r="W3100" i="11"/>
  <c r="AH3099" i="11"/>
  <c r="AB3099" i="11"/>
  <c r="W3099" i="11"/>
  <c r="AH3098" i="11"/>
  <c r="AB3098" i="11"/>
  <c r="W3098" i="11"/>
  <c r="AH3097" i="11"/>
  <c r="AB3097" i="11"/>
  <c r="W3097" i="11"/>
  <c r="AH3096" i="11"/>
  <c r="AB3096" i="11"/>
  <c r="W3096" i="11"/>
  <c r="AH3095" i="11"/>
  <c r="AB3095" i="11"/>
  <c r="W3095" i="11"/>
  <c r="AH3094" i="11"/>
  <c r="AB3094" i="11"/>
  <c r="W3094" i="11"/>
  <c r="AH3093" i="11"/>
  <c r="AB3093" i="11"/>
  <c r="W3093" i="11"/>
  <c r="AH3092" i="11"/>
  <c r="AB3092" i="11"/>
  <c r="W3092" i="11"/>
  <c r="AH3091" i="11"/>
  <c r="AB3091" i="11"/>
  <c r="W3091" i="11"/>
  <c r="AH3090" i="11"/>
  <c r="AB3090" i="11"/>
  <c r="W3090" i="11"/>
  <c r="AH3089" i="11"/>
  <c r="AB3089" i="11"/>
  <c r="W3089" i="11"/>
  <c r="AH3088" i="11"/>
  <c r="AB3088" i="11"/>
  <c r="W3088" i="11"/>
  <c r="AH3087" i="11"/>
  <c r="AB3087" i="11"/>
  <c r="W3087" i="11"/>
  <c r="AH3086" i="11"/>
  <c r="AB3086" i="11"/>
  <c r="W3086" i="11"/>
  <c r="AH3085" i="11"/>
  <c r="AB3085" i="11"/>
  <c r="W3085" i="11"/>
  <c r="AH3084" i="11"/>
  <c r="AB3084" i="11"/>
  <c r="W3084" i="11"/>
  <c r="AH3083" i="11"/>
  <c r="AB3083" i="11"/>
  <c r="W3083" i="11"/>
  <c r="AH3082" i="11"/>
  <c r="AB3082" i="11"/>
  <c r="W3082" i="11"/>
  <c r="AH3081" i="11"/>
  <c r="AB3081" i="11"/>
  <c r="W3081" i="11"/>
  <c r="AH3080" i="11"/>
  <c r="AB3080" i="11"/>
  <c r="W3080" i="11"/>
  <c r="AH3079" i="11"/>
  <c r="AB3079" i="11"/>
  <c r="W3079" i="11"/>
  <c r="AH3078" i="11"/>
  <c r="AB3078" i="11"/>
  <c r="W3078" i="11"/>
  <c r="AH3077" i="11"/>
  <c r="AB3077" i="11"/>
  <c r="W3077" i="11"/>
  <c r="AH3076" i="11"/>
  <c r="AB3076" i="11"/>
  <c r="W3076" i="11"/>
  <c r="AH3075" i="11"/>
  <c r="AB3075" i="11"/>
  <c r="W3075" i="11"/>
  <c r="AH3074" i="11"/>
  <c r="AB3074" i="11"/>
  <c r="W3074" i="11"/>
  <c r="AH3073" i="11"/>
  <c r="AB3073" i="11"/>
  <c r="W3073" i="11"/>
  <c r="AH3072" i="11"/>
  <c r="AB3072" i="11"/>
  <c r="W3072" i="11"/>
  <c r="AH3071" i="11"/>
  <c r="AB3071" i="11"/>
  <c r="W3071" i="11"/>
  <c r="AH3070" i="11"/>
  <c r="AB3070" i="11"/>
  <c r="W3070" i="11"/>
  <c r="AH3069" i="11"/>
  <c r="AB3069" i="11"/>
  <c r="W3069" i="11"/>
  <c r="AH3068" i="11"/>
  <c r="AB3068" i="11"/>
  <c r="W3068" i="11"/>
  <c r="AH3067" i="11"/>
  <c r="AB3067" i="11"/>
  <c r="W3067" i="11"/>
  <c r="AH3066" i="11"/>
  <c r="AB3066" i="11"/>
  <c r="W3066" i="11"/>
  <c r="AH3065" i="11"/>
  <c r="AB3065" i="11"/>
  <c r="W3065" i="11"/>
  <c r="AH3064" i="11"/>
  <c r="AB3064" i="11"/>
  <c r="W3064" i="11"/>
  <c r="AH3063" i="11"/>
  <c r="AB3063" i="11"/>
  <c r="W3063" i="11"/>
  <c r="AH3062" i="11"/>
  <c r="AB3062" i="11"/>
  <c r="W3062" i="11"/>
  <c r="AH3061" i="11"/>
  <c r="AB3061" i="11"/>
  <c r="W3061" i="11"/>
  <c r="AH3060" i="11"/>
  <c r="AB3060" i="11"/>
  <c r="W3060" i="11"/>
  <c r="AH3059" i="11"/>
  <c r="AB3059" i="11"/>
  <c r="W3059" i="11"/>
  <c r="AH3058" i="11"/>
  <c r="AB3058" i="11"/>
  <c r="W3058" i="11"/>
  <c r="AH3057" i="11"/>
  <c r="AB3057" i="11"/>
  <c r="W3057" i="11"/>
  <c r="AH3056" i="11"/>
  <c r="AB3056" i="11"/>
  <c r="W3056" i="11"/>
  <c r="AH3055" i="11"/>
  <c r="AB3055" i="11"/>
  <c r="W3055" i="11"/>
  <c r="AH3054" i="11"/>
  <c r="AB3054" i="11"/>
  <c r="W3054" i="11"/>
  <c r="AH3053" i="11"/>
  <c r="AB3053" i="11"/>
  <c r="W3053" i="11"/>
  <c r="AH3052" i="11"/>
  <c r="AB3052" i="11"/>
  <c r="W3052" i="11"/>
  <c r="AH3051" i="11"/>
  <c r="AB3051" i="11"/>
  <c r="W3051" i="11"/>
  <c r="AH3050" i="11"/>
  <c r="AB3050" i="11"/>
  <c r="W3050" i="11"/>
  <c r="AH3049" i="11"/>
  <c r="AB3049" i="11"/>
  <c r="W3049" i="11"/>
  <c r="AH3048" i="11"/>
  <c r="AB3048" i="11"/>
  <c r="W3048" i="11"/>
  <c r="AH3047" i="11"/>
  <c r="AB3047" i="11"/>
  <c r="W3047" i="11"/>
  <c r="AH3046" i="11"/>
  <c r="AB3046" i="11"/>
  <c r="W3046" i="11"/>
  <c r="AH3045" i="11"/>
  <c r="AB3045" i="11"/>
  <c r="W3045" i="11"/>
  <c r="AH3044" i="11"/>
  <c r="AB3044" i="11"/>
  <c r="W3044" i="11"/>
  <c r="AH3043" i="11"/>
  <c r="AB3043" i="11"/>
  <c r="W3043" i="11"/>
  <c r="AH3042" i="11"/>
  <c r="AB3042" i="11"/>
  <c r="W3042" i="11"/>
  <c r="AH3041" i="11"/>
  <c r="AB3041" i="11"/>
  <c r="W3041" i="11"/>
  <c r="AH3040" i="11"/>
  <c r="AB3040" i="11"/>
  <c r="W3040" i="11"/>
  <c r="AH3039" i="11"/>
  <c r="AB3039" i="11"/>
  <c r="W3039" i="11"/>
  <c r="AH3038" i="11"/>
  <c r="AB3038" i="11"/>
  <c r="W3038" i="11"/>
  <c r="AH3037" i="11"/>
  <c r="AB3037" i="11"/>
  <c r="W3037" i="11"/>
  <c r="AH3036" i="11"/>
  <c r="AB3036" i="11"/>
  <c r="W3036" i="11"/>
  <c r="AH3035" i="11"/>
  <c r="AB3035" i="11"/>
  <c r="W3035" i="11"/>
  <c r="AH3034" i="11"/>
  <c r="AB3034" i="11"/>
  <c r="W3034" i="11"/>
  <c r="AH3033" i="11"/>
  <c r="AB3033" i="11"/>
  <c r="W3033" i="11"/>
  <c r="AH3032" i="11"/>
  <c r="AB3032" i="11"/>
  <c r="W3032" i="11"/>
  <c r="AH3031" i="11"/>
  <c r="AB3031" i="11"/>
  <c r="W3031" i="11"/>
  <c r="AH3030" i="11"/>
  <c r="AB3030" i="11"/>
  <c r="W3030" i="11"/>
  <c r="AH3029" i="11"/>
  <c r="AB3029" i="11"/>
  <c r="W3029" i="11"/>
  <c r="AH3028" i="11"/>
  <c r="AB3028" i="11"/>
  <c r="W3028" i="11"/>
  <c r="AH3027" i="11"/>
  <c r="AB3027" i="11"/>
  <c r="W3027" i="11"/>
  <c r="AH3026" i="11"/>
  <c r="AB3026" i="11"/>
  <c r="W3026" i="11"/>
  <c r="AH3025" i="11"/>
  <c r="AB3025" i="11"/>
  <c r="W3025" i="11"/>
  <c r="AH3024" i="11"/>
  <c r="AB3024" i="11"/>
  <c r="W3024" i="11"/>
  <c r="AH3023" i="11"/>
  <c r="AB3023" i="11"/>
  <c r="W3023" i="11"/>
  <c r="AH3022" i="11"/>
  <c r="AB3022" i="11"/>
  <c r="W3022" i="11"/>
  <c r="AH3021" i="11"/>
  <c r="AB3021" i="11"/>
  <c r="W3021" i="11"/>
  <c r="AH3020" i="11"/>
  <c r="AB3020" i="11"/>
  <c r="W3020" i="11"/>
  <c r="AH3019" i="11"/>
  <c r="AB3019" i="11"/>
  <c r="W3019" i="11"/>
  <c r="AH3018" i="11"/>
  <c r="AB3018" i="11"/>
  <c r="W3018" i="11"/>
  <c r="AH3017" i="11"/>
  <c r="AB3017" i="11"/>
  <c r="W3017" i="11"/>
  <c r="AH3016" i="11"/>
  <c r="AB3016" i="11"/>
  <c r="W3016" i="11"/>
  <c r="AH3015" i="11"/>
  <c r="AB3015" i="11"/>
  <c r="W3015" i="11"/>
  <c r="AH3014" i="11"/>
  <c r="AB3014" i="11"/>
  <c r="W3014" i="11"/>
  <c r="AH3013" i="11"/>
  <c r="AB3013" i="11"/>
  <c r="W3013" i="11"/>
  <c r="AH3012" i="11"/>
  <c r="AB3012" i="11"/>
  <c r="W3012" i="11"/>
  <c r="AH3011" i="11"/>
  <c r="AB3011" i="11"/>
  <c r="W3011" i="11"/>
  <c r="AH3010" i="11"/>
  <c r="AB3010" i="11"/>
  <c r="W3010" i="11"/>
  <c r="AH3009" i="11"/>
  <c r="AB3009" i="11"/>
  <c r="W3009" i="11"/>
  <c r="AH3008" i="11"/>
  <c r="AB3008" i="11"/>
  <c r="W3008" i="11"/>
  <c r="AH3007" i="11"/>
  <c r="AB3007" i="11"/>
  <c r="W3007" i="11"/>
  <c r="AH3006" i="11"/>
  <c r="AB3006" i="11"/>
  <c r="W3006" i="11"/>
  <c r="AH3005" i="11"/>
  <c r="AB3005" i="11"/>
  <c r="W3005" i="11"/>
  <c r="AH3004" i="11"/>
  <c r="AB3004" i="11"/>
  <c r="W3004" i="11"/>
  <c r="AH3003" i="11"/>
  <c r="AB3003" i="11"/>
  <c r="W3003" i="11"/>
  <c r="AH3002" i="11"/>
  <c r="AB3002" i="11"/>
  <c r="W3002" i="11"/>
  <c r="AH3001" i="11"/>
  <c r="AB3001" i="11"/>
  <c r="W3001" i="11"/>
  <c r="AH3000" i="11"/>
  <c r="AB3000" i="11"/>
  <c r="W3000" i="11"/>
  <c r="AH2999" i="11"/>
  <c r="AB2999" i="11"/>
  <c r="W2999" i="11"/>
  <c r="AH2998" i="11"/>
  <c r="AB2998" i="11"/>
  <c r="W2998" i="11"/>
  <c r="AH2997" i="11"/>
  <c r="AB2997" i="11"/>
  <c r="W2997" i="11"/>
  <c r="AH2996" i="11"/>
  <c r="AB2996" i="11"/>
  <c r="W2996" i="11"/>
  <c r="AH2995" i="11"/>
  <c r="AB2995" i="11"/>
  <c r="W2995" i="11"/>
  <c r="AH2994" i="11"/>
  <c r="AB2994" i="11"/>
  <c r="W2994" i="11"/>
  <c r="AH2993" i="11"/>
  <c r="AB2993" i="11"/>
  <c r="W2993" i="11"/>
  <c r="AH2992" i="11"/>
  <c r="AB2992" i="11"/>
  <c r="W2992" i="11"/>
  <c r="AH2991" i="11"/>
  <c r="AB2991" i="11"/>
  <c r="W2991" i="11"/>
  <c r="AH2990" i="11"/>
  <c r="AB2990" i="11"/>
  <c r="W2990" i="11"/>
  <c r="AH2989" i="11"/>
  <c r="AB2989" i="11"/>
  <c r="W2989" i="11"/>
  <c r="AH2988" i="11"/>
  <c r="AB2988" i="11"/>
  <c r="W2988" i="11"/>
  <c r="AH2987" i="11"/>
  <c r="AB2987" i="11"/>
  <c r="W2987" i="11"/>
  <c r="AH2986" i="11"/>
  <c r="AB2986" i="11"/>
  <c r="W2986" i="11"/>
  <c r="AH2985" i="11"/>
  <c r="AB2985" i="11"/>
  <c r="W2985" i="11"/>
  <c r="AH2984" i="11"/>
  <c r="AB2984" i="11"/>
  <c r="W2984" i="11"/>
  <c r="AH2983" i="11"/>
  <c r="AB2983" i="11"/>
  <c r="W2983" i="11"/>
  <c r="AH2982" i="11"/>
  <c r="AB2982" i="11"/>
  <c r="W2982" i="11"/>
  <c r="AH2981" i="11"/>
  <c r="AB2981" i="11"/>
  <c r="W2981" i="11"/>
  <c r="AH2980" i="11"/>
  <c r="AB2980" i="11"/>
  <c r="W2980" i="11"/>
  <c r="AH2979" i="11"/>
  <c r="AB2979" i="11"/>
  <c r="W2979" i="11"/>
  <c r="AH2978" i="11"/>
  <c r="AB2978" i="11"/>
  <c r="W2978" i="11"/>
  <c r="AH2977" i="11"/>
  <c r="AB2977" i="11"/>
  <c r="W2977" i="11"/>
  <c r="AH2976" i="11"/>
  <c r="AB2976" i="11"/>
  <c r="W2976" i="11"/>
  <c r="AH2975" i="11"/>
  <c r="AB2975" i="11"/>
  <c r="W2975" i="11"/>
  <c r="AH2974" i="11"/>
  <c r="AB2974" i="11"/>
  <c r="W2974" i="11"/>
  <c r="AH2973" i="11"/>
  <c r="AB2973" i="11"/>
  <c r="W2973" i="11"/>
  <c r="AH2972" i="11"/>
  <c r="AB2972" i="11"/>
  <c r="W2972" i="11"/>
  <c r="AH2971" i="11"/>
  <c r="AB2971" i="11"/>
  <c r="W2971" i="11"/>
  <c r="AH2970" i="11"/>
  <c r="AB2970" i="11"/>
  <c r="W2970" i="11"/>
  <c r="AH2969" i="11"/>
  <c r="AB2969" i="11"/>
  <c r="W2969" i="11"/>
  <c r="AH2968" i="11"/>
  <c r="AB2968" i="11"/>
  <c r="W2968" i="11"/>
  <c r="AH2967" i="11"/>
  <c r="AB2967" i="11"/>
  <c r="W2967" i="11"/>
  <c r="AH2966" i="11"/>
  <c r="AB2966" i="11"/>
  <c r="W2966" i="11"/>
  <c r="AH2965" i="11"/>
  <c r="AB2965" i="11"/>
  <c r="W2965" i="11"/>
  <c r="AH2964" i="11"/>
  <c r="AB2964" i="11"/>
  <c r="W2964" i="11"/>
  <c r="AH2963" i="11"/>
  <c r="AB2963" i="11"/>
  <c r="W2963" i="11"/>
  <c r="AH2962" i="11"/>
  <c r="AB2962" i="11"/>
  <c r="W2962" i="11"/>
  <c r="AH2961" i="11"/>
  <c r="AB2961" i="11"/>
  <c r="W2961" i="11"/>
  <c r="AH2960" i="11"/>
  <c r="AB2960" i="11"/>
  <c r="W2960" i="11"/>
  <c r="AH2959" i="11"/>
  <c r="AB2959" i="11"/>
  <c r="W2959" i="11"/>
  <c r="AH2958" i="11"/>
  <c r="AB2958" i="11"/>
  <c r="W2958" i="11"/>
  <c r="AH2957" i="11"/>
  <c r="AB2957" i="11"/>
  <c r="W2957" i="11"/>
  <c r="AH2956" i="11"/>
  <c r="AB2956" i="11"/>
  <c r="W2956" i="11"/>
  <c r="AH2955" i="11"/>
  <c r="AB2955" i="11"/>
  <c r="W2955" i="11"/>
  <c r="AH2954" i="11"/>
  <c r="AB2954" i="11"/>
  <c r="W2954" i="11"/>
  <c r="AH2953" i="11"/>
  <c r="AB2953" i="11"/>
  <c r="W2953" i="11"/>
  <c r="AH2952" i="11"/>
  <c r="AB2952" i="11"/>
  <c r="W2952" i="11"/>
  <c r="AH2951" i="11"/>
  <c r="AB2951" i="11"/>
  <c r="W2951" i="11"/>
  <c r="AH2950" i="11"/>
  <c r="AB2950" i="11"/>
  <c r="W2950" i="11"/>
  <c r="AH2949" i="11"/>
  <c r="AB2949" i="11"/>
  <c r="W2949" i="11"/>
  <c r="AH2948" i="11"/>
  <c r="AB2948" i="11"/>
  <c r="W2948" i="11"/>
  <c r="AH2947" i="11"/>
  <c r="AB2947" i="11"/>
  <c r="W2947" i="11"/>
  <c r="AH2946" i="11"/>
  <c r="AB2946" i="11"/>
  <c r="W2946" i="11"/>
  <c r="AH2945" i="11"/>
  <c r="AB2945" i="11"/>
  <c r="W2945" i="11"/>
  <c r="AH2944" i="11"/>
  <c r="AB2944" i="11"/>
  <c r="W2944" i="11"/>
  <c r="AH2943" i="11"/>
  <c r="AB2943" i="11"/>
  <c r="W2943" i="11"/>
  <c r="AH2942" i="11"/>
  <c r="AB2942" i="11"/>
  <c r="W2942" i="11"/>
  <c r="AH2941" i="11"/>
  <c r="AB2941" i="11"/>
  <c r="W2941" i="11"/>
  <c r="AH2940" i="11"/>
  <c r="AB2940" i="11"/>
  <c r="W2940" i="11"/>
  <c r="AH2939" i="11"/>
  <c r="AB2939" i="11"/>
  <c r="W2939" i="11"/>
  <c r="AH2938" i="11"/>
  <c r="AB2938" i="11"/>
  <c r="W2938" i="11"/>
  <c r="AH2937" i="11"/>
  <c r="AB2937" i="11"/>
  <c r="W2937" i="11"/>
  <c r="AH2936" i="11"/>
  <c r="AB2936" i="11"/>
  <c r="W2936" i="11"/>
  <c r="AH2935" i="11"/>
  <c r="AB2935" i="11"/>
  <c r="W2935" i="11"/>
  <c r="AH2934" i="11"/>
  <c r="AB2934" i="11"/>
  <c r="W2934" i="11"/>
  <c r="AH2933" i="11"/>
  <c r="AB2933" i="11"/>
  <c r="W2933" i="11"/>
  <c r="AH2932" i="11"/>
  <c r="AB2932" i="11"/>
  <c r="W2932" i="11"/>
  <c r="AH2931" i="11"/>
  <c r="AB2931" i="11"/>
  <c r="W2931" i="11"/>
  <c r="AH2930" i="11"/>
  <c r="AB2930" i="11"/>
  <c r="W2930" i="11"/>
  <c r="AH2929" i="11"/>
  <c r="AB2929" i="11"/>
  <c r="W2929" i="11"/>
  <c r="AH2928" i="11"/>
  <c r="AB2928" i="11"/>
  <c r="W2928" i="11"/>
  <c r="AH2927" i="11"/>
  <c r="AB2927" i="11"/>
  <c r="W2927" i="11"/>
  <c r="AH2926" i="11"/>
  <c r="AB2926" i="11"/>
  <c r="W2926" i="11"/>
  <c r="AH2925" i="11"/>
  <c r="AB2925" i="11"/>
  <c r="W2925" i="11"/>
  <c r="AH2924" i="11"/>
  <c r="AB2924" i="11"/>
  <c r="W2924" i="11"/>
  <c r="AH2923" i="11"/>
  <c r="AB2923" i="11"/>
  <c r="W2923" i="11"/>
  <c r="AH2922" i="11"/>
  <c r="AB2922" i="11"/>
  <c r="W2922" i="11"/>
  <c r="AH2921" i="11"/>
  <c r="AB2921" i="11"/>
  <c r="W2921" i="11"/>
  <c r="AH2920" i="11"/>
  <c r="AB2920" i="11"/>
  <c r="W2920" i="11"/>
  <c r="AH2919" i="11"/>
  <c r="AB2919" i="11"/>
  <c r="W2919" i="11"/>
  <c r="AH2918" i="11"/>
  <c r="AB2918" i="11"/>
  <c r="W2918" i="11"/>
  <c r="AH2917" i="11"/>
  <c r="AB2917" i="11"/>
  <c r="W2917" i="11"/>
  <c r="AH2916" i="11"/>
  <c r="AB2916" i="11"/>
  <c r="W2916" i="11"/>
  <c r="AH2915" i="11"/>
  <c r="AB2915" i="11"/>
  <c r="W2915" i="11"/>
  <c r="AH2914" i="11"/>
  <c r="AB2914" i="11"/>
  <c r="W2914" i="11"/>
  <c r="AH2913" i="11"/>
  <c r="AB2913" i="11"/>
  <c r="W2913" i="11"/>
  <c r="AH2912" i="11"/>
  <c r="AB2912" i="11"/>
  <c r="W2912" i="11"/>
  <c r="AH2911" i="11"/>
  <c r="AB2911" i="11"/>
  <c r="W2911" i="11"/>
  <c r="AH2910" i="11"/>
  <c r="AB2910" i="11"/>
  <c r="W2910" i="11"/>
  <c r="AH2909" i="11"/>
  <c r="AB2909" i="11"/>
  <c r="W2909" i="11"/>
  <c r="AH2908" i="11"/>
  <c r="AB2908" i="11"/>
  <c r="W2908" i="11"/>
  <c r="AH2907" i="11"/>
  <c r="AB2907" i="11"/>
  <c r="W2907" i="11"/>
  <c r="AH2906" i="11"/>
  <c r="AB2906" i="11"/>
  <c r="W2906" i="11"/>
  <c r="AH2905" i="11"/>
  <c r="AB2905" i="11"/>
  <c r="W2905" i="11"/>
  <c r="AH2904" i="11"/>
  <c r="AB2904" i="11"/>
  <c r="W2904" i="11"/>
  <c r="AH2903" i="11"/>
  <c r="AB2903" i="11"/>
  <c r="W2903" i="11"/>
  <c r="AH2902" i="11"/>
  <c r="AB2902" i="11"/>
  <c r="W2902" i="11"/>
  <c r="AH2901" i="11"/>
  <c r="AB2901" i="11"/>
  <c r="W2901" i="11"/>
  <c r="AH2900" i="11"/>
  <c r="AB2900" i="11"/>
  <c r="W2900" i="11"/>
  <c r="AH2899" i="11"/>
  <c r="AB2899" i="11"/>
  <c r="W2899" i="11"/>
  <c r="AH2898" i="11"/>
  <c r="AB2898" i="11"/>
  <c r="W2898" i="11"/>
  <c r="AH2897" i="11"/>
  <c r="AB2897" i="11"/>
  <c r="W2897" i="11"/>
  <c r="AH2896" i="11"/>
  <c r="AB2896" i="11"/>
  <c r="W2896" i="11"/>
  <c r="AH2895" i="11"/>
  <c r="AB2895" i="11"/>
  <c r="W2895" i="11"/>
  <c r="AH2894" i="11"/>
  <c r="AB2894" i="11"/>
  <c r="W2894" i="11"/>
  <c r="AH2893" i="11"/>
  <c r="AB2893" i="11"/>
  <c r="W2893" i="11"/>
  <c r="AH2892" i="11"/>
  <c r="AB2892" i="11"/>
  <c r="W2892" i="11"/>
  <c r="AH2891" i="11"/>
  <c r="AB2891" i="11"/>
  <c r="W2891" i="11"/>
  <c r="AH2890" i="11"/>
  <c r="AB2890" i="11"/>
  <c r="W2890" i="11"/>
  <c r="AH2889" i="11"/>
  <c r="AB2889" i="11"/>
  <c r="W2889" i="11"/>
  <c r="AH2888" i="11"/>
  <c r="AB2888" i="11"/>
  <c r="W2888" i="11"/>
  <c r="AH2887" i="11"/>
  <c r="AB2887" i="11"/>
  <c r="W2887" i="11"/>
  <c r="AH2886" i="11"/>
  <c r="AB2886" i="11"/>
  <c r="W2886" i="11"/>
  <c r="AH2885" i="11"/>
  <c r="AB2885" i="11"/>
  <c r="W2885" i="11"/>
  <c r="AH2884" i="11"/>
  <c r="AB2884" i="11"/>
  <c r="W2884" i="11"/>
  <c r="AH2883" i="11"/>
  <c r="AB2883" i="11"/>
  <c r="W2883" i="11"/>
  <c r="AH2882" i="11"/>
  <c r="AB2882" i="11"/>
  <c r="W2882" i="11"/>
  <c r="AH2881" i="11"/>
  <c r="AB2881" i="11"/>
  <c r="W2881" i="11"/>
  <c r="AH2880" i="11"/>
  <c r="AB2880" i="11"/>
  <c r="W2880" i="11"/>
  <c r="AH2879" i="11"/>
  <c r="AB2879" i="11"/>
  <c r="W2879" i="11"/>
  <c r="AH2878" i="11"/>
  <c r="AB2878" i="11"/>
  <c r="W2878" i="11"/>
  <c r="AH2877" i="11"/>
  <c r="AB2877" i="11"/>
  <c r="W2877" i="11"/>
  <c r="AH2876" i="11"/>
  <c r="AB2876" i="11"/>
  <c r="W2876" i="11"/>
  <c r="AH2875" i="11"/>
  <c r="AB2875" i="11"/>
  <c r="W2875" i="11"/>
  <c r="AH2874" i="11"/>
  <c r="AB2874" i="11"/>
  <c r="W2874" i="11"/>
  <c r="AH2873" i="11"/>
  <c r="AB2873" i="11"/>
  <c r="W2873" i="11"/>
  <c r="AH2872" i="11"/>
  <c r="AB2872" i="11"/>
  <c r="W2872" i="11"/>
  <c r="AH2871" i="11"/>
  <c r="AB2871" i="11"/>
  <c r="W2871" i="11"/>
  <c r="AH2870" i="11"/>
  <c r="AB2870" i="11"/>
  <c r="W2870" i="11"/>
  <c r="AH2869" i="11"/>
  <c r="AB2869" i="11"/>
  <c r="W2869" i="11"/>
  <c r="AH2868" i="11"/>
  <c r="AB2868" i="11"/>
  <c r="W2868" i="11"/>
  <c r="AH2867" i="11"/>
  <c r="AB2867" i="11"/>
  <c r="W2867" i="11"/>
  <c r="AH2866" i="11"/>
  <c r="AB2866" i="11"/>
  <c r="W2866" i="11"/>
  <c r="AH2865" i="11"/>
  <c r="AB2865" i="11"/>
  <c r="W2865" i="11"/>
  <c r="AH2864" i="11"/>
  <c r="AB2864" i="11"/>
  <c r="W2864" i="11"/>
  <c r="AH2863" i="11"/>
  <c r="AB2863" i="11"/>
  <c r="W2863" i="11"/>
  <c r="AH2862" i="11"/>
  <c r="AB2862" i="11"/>
  <c r="W2862" i="11"/>
  <c r="AH2861" i="11"/>
  <c r="AB2861" i="11"/>
  <c r="W2861" i="11"/>
  <c r="AH2860" i="11"/>
  <c r="AB2860" i="11"/>
  <c r="W2860" i="11"/>
  <c r="AH2859" i="11"/>
  <c r="AB2859" i="11"/>
  <c r="W2859" i="11"/>
  <c r="AH2858" i="11"/>
  <c r="AB2858" i="11"/>
  <c r="W2858" i="11"/>
  <c r="AH2857" i="11"/>
  <c r="AB2857" i="11"/>
  <c r="W2857" i="11"/>
  <c r="AH2856" i="11"/>
  <c r="AB2856" i="11"/>
  <c r="W2856" i="11"/>
  <c r="AH2855" i="11"/>
  <c r="AB2855" i="11"/>
  <c r="W2855" i="11"/>
  <c r="AH2854" i="11"/>
  <c r="AB2854" i="11"/>
  <c r="W2854" i="11"/>
  <c r="AH2853" i="11"/>
  <c r="AB2853" i="11"/>
  <c r="W2853" i="11"/>
  <c r="AH2852" i="11"/>
  <c r="AB2852" i="11"/>
  <c r="W2852" i="11"/>
  <c r="AH2851" i="11"/>
  <c r="AB2851" i="11"/>
  <c r="W2851" i="11"/>
  <c r="AH2850" i="11"/>
  <c r="AB2850" i="11"/>
  <c r="W2850" i="11"/>
  <c r="AH2849" i="11"/>
  <c r="AB2849" i="11"/>
  <c r="W2849" i="11"/>
  <c r="AH2848" i="11"/>
  <c r="AB2848" i="11"/>
  <c r="W2848" i="11"/>
  <c r="AH2847" i="11"/>
  <c r="AB2847" i="11"/>
  <c r="W2847" i="11"/>
  <c r="AH2846" i="11"/>
  <c r="AB2846" i="11"/>
  <c r="W2846" i="11"/>
  <c r="AH2845" i="11"/>
  <c r="AB2845" i="11"/>
  <c r="W2845" i="11"/>
  <c r="AH2844" i="11"/>
  <c r="AB2844" i="11"/>
  <c r="W2844" i="11"/>
  <c r="AH2843" i="11"/>
  <c r="AB2843" i="11"/>
  <c r="W2843" i="11"/>
  <c r="AH2842" i="11"/>
  <c r="AB2842" i="11"/>
  <c r="W2842" i="11"/>
  <c r="AH2841" i="11"/>
  <c r="AB2841" i="11"/>
  <c r="W2841" i="11"/>
  <c r="AH2840" i="11"/>
  <c r="AB2840" i="11"/>
  <c r="W2840" i="11"/>
  <c r="AH2839" i="11"/>
  <c r="AB2839" i="11"/>
  <c r="W2839" i="11"/>
  <c r="AH2838" i="11"/>
  <c r="AB2838" i="11"/>
  <c r="W2838" i="11"/>
  <c r="AH2837" i="11"/>
  <c r="AB2837" i="11"/>
  <c r="W2837" i="11"/>
  <c r="AH2836" i="11"/>
  <c r="AB2836" i="11"/>
  <c r="W2836" i="11"/>
  <c r="AH2835" i="11"/>
  <c r="AB2835" i="11"/>
  <c r="W2835" i="11"/>
  <c r="AH2834" i="11"/>
  <c r="AB2834" i="11"/>
  <c r="W2834" i="11"/>
  <c r="AH2833" i="11"/>
  <c r="AB2833" i="11"/>
  <c r="W2833" i="11"/>
  <c r="AH2832" i="11"/>
  <c r="AB2832" i="11"/>
  <c r="W2832" i="11"/>
  <c r="AH2831" i="11"/>
  <c r="AB2831" i="11"/>
  <c r="W2831" i="11"/>
  <c r="AH2830" i="11"/>
  <c r="AB2830" i="11"/>
  <c r="W2830" i="11"/>
  <c r="AH2829" i="11"/>
  <c r="AB2829" i="11"/>
  <c r="W2829" i="11"/>
  <c r="AH2828" i="11"/>
  <c r="AB2828" i="11"/>
  <c r="W2828" i="11"/>
  <c r="AH2827" i="11"/>
  <c r="AB2827" i="11"/>
  <c r="W2827" i="11"/>
  <c r="AH2826" i="11"/>
  <c r="AB2826" i="11"/>
  <c r="W2826" i="11"/>
  <c r="AH2825" i="11"/>
  <c r="AB2825" i="11"/>
  <c r="W2825" i="11"/>
  <c r="AH2824" i="11"/>
  <c r="AB2824" i="11"/>
  <c r="W2824" i="11"/>
  <c r="AH2823" i="11"/>
  <c r="AB2823" i="11"/>
  <c r="W2823" i="11"/>
  <c r="AH2822" i="11"/>
  <c r="AB2822" i="11"/>
  <c r="W2822" i="11"/>
  <c r="AH2821" i="11"/>
  <c r="AB2821" i="11"/>
  <c r="W2821" i="11"/>
  <c r="AH2820" i="11"/>
  <c r="AB2820" i="11"/>
  <c r="W2820" i="11"/>
  <c r="AH2819" i="11"/>
  <c r="AB2819" i="11"/>
  <c r="W2819" i="11"/>
  <c r="AH2818" i="11"/>
  <c r="AB2818" i="11"/>
  <c r="W2818" i="11"/>
  <c r="AH2817" i="11"/>
  <c r="AB2817" i="11"/>
  <c r="W2817" i="11"/>
  <c r="AH2816" i="11"/>
  <c r="AB2816" i="11"/>
  <c r="W2816" i="11"/>
  <c r="AH2815" i="11"/>
  <c r="AB2815" i="11"/>
  <c r="W2815" i="11"/>
  <c r="AH2814" i="11"/>
  <c r="AB2814" i="11"/>
  <c r="W2814" i="11"/>
  <c r="AH2813" i="11"/>
  <c r="AB2813" i="11"/>
  <c r="W2813" i="11"/>
  <c r="AH2812" i="11"/>
  <c r="AB2812" i="11"/>
  <c r="W2812" i="11"/>
  <c r="AH2811" i="11"/>
  <c r="AB2811" i="11"/>
  <c r="W2811" i="11"/>
  <c r="AH2810" i="11"/>
  <c r="AB2810" i="11"/>
  <c r="W2810" i="11"/>
  <c r="AH2809" i="11"/>
  <c r="AB2809" i="11"/>
  <c r="W2809" i="11"/>
  <c r="AH2808" i="11"/>
  <c r="AB2808" i="11"/>
  <c r="W2808" i="11"/>
  <c r="AH2807" i="11"/>
  <c r="AB2807" i="11"/>
  <c r="W2807" i="11"/>
  <c r="AH2806" i="11"/>
  <c r="AB2806" i="11"/>
  <c r="W2806" i="11"/>
  <c r="AH2805" i="11"/>
  <c r="AB2805" i="11"/>
  <c r="W2805" i="11"/>
  <c r="AH2804" i="11"/>
  <c r="AB2804" i="11"/>
  <c r="W2804" i="11"/>
  <c r="AH2803" i="11"/>
  <c r="AB2803" i="11"/>
  <c r="W2803" i="11"/>
  <c r="AH2802" i="11"/>
  <c r="AB2802" i="11"/>
  <c r="W2802" i="11"/>
  <c r="AH2801" i="11"/>
  <c r="AB2801" i="11"/>
  <c r="W2801" i="11"/>
  <c r="AH2800" i="11"/>
  <c r="AB2800" i="11"/>
  <c r="W2800" i="11"/>
  <c r="AH2799" i="11"/>
  <c r="AB2799" i="11"/>
  <c r="W2799" i="11"/>
  <c r="AH2798" i="11"/>
  <c r="AB2798" i="11"/>
  <c r="W2798" i="11"/>
  <c r="AH2797" i="11"/>
  <c r="AB2797" i="11"/>
  <c r="W2797" i="11"/>
  <c r="AH2796" i="11"/>
  <c r="AB2796" i="11"/>
  <c r="W2796" i="11"/>
  <c r="AH2795" i="11"/>
  <c r="AB2795" i="11"/>
  <c r="W2795" i="11"/>
  <c r="AH2794" i="11"/>
  <c r="AB2794" i="11"/>
  <c r="W2794" i="11"/>
  <c r="AH2793" i="11"/>
  <c r="AB2793" i="11"/>
  <c r="W2793" i="11"/>
  <c r="AH2792" i="11"/>
  <c r="AB2792" i="11"/>
  <c r="W2792" i="11"/>
  <c r="AH2791" i="11"/>
  <c r="AB2791" i="11"/>
  <c r="W2791" i="11"/>
  <c r="AH2790" i="11"/>
  <c r="AB2790" i="11"/>
  <c r="W2790" i="11"/>
  <c r="AH2789" i="11"/>
  <c r="AB2789" i="11"/>
  <c r="W2789" i="11"/>
  <c r="AH2788" i="11"/>
  <c r="AB2788" i="11"/>
  <c r="W2788" i="11"/>
  <c r="AH2787" i="11"/>
  <c r="AB2787" i="11"/>
  <c r="W2787" i="11"/>
  <c r="AH2786" i="11"/>
  <c r="AB2786" i="11"/>
  <c r="W2786" i="11"/>
  <c r="AH2785" i="11"/>
  <c r="AB2785" i="11"/>
  <c r="W2785" i="11"/>
  <c r="AH2784" i="11"/>
  <c r="AB2784" i="11"/>
  <c r="W2784" i="11"/>
  <c r="AH2783" i="11"/>
  <c r="AB2783" i="11"/>
  <c r="W2783" i="11"/>
  <c r="AH2782" i="11"/>
  <c r="AB2782" i="11"/>
  <c r="W2782" i="11"/>
  <c r="AH2781" i="11"/>
  <c r="AB2781" i="11"/>
  <c r="W2781" i="11"/>
  <c r="AH2780" i="11"/>
  <c r="AB2780" i="11"/>
  <c r="W2780" i="11"/>
  <c r="AH2779" i="11"/>
  <c r="AB2779" i="11"/>
  <c r="W2779" i="11"/>
  <c r="AH2778" i="11"/>
  <c r="AB2778" i="11"/>
  <c r="W2778" i="11"/>
  <c r="AH2777" i="11"/>
  <c r="AB2777" i="11"/>
  <c r="W2777" i="11"/>
  <c r="AH2776" i="11"/>
  <c r="AB2776" i="11"/>
  <c r="W2776" i="11"/>
  <c r="AH2775" i="11"/>
  <c r="AB2775" i="11"/>
  <c r="W2775" i="11"/>
  <c r="AH2774" i="11"/>
  <c r="AB2774" i="11"/>
  <c r="W2774" i="11"/>
  <c r="AH2773" i="11"/>
  <c r="AB2773" i="11"/>
  <c r="W2773" i="11"/>
  <c r="AH2772" i="11"/>
  <c r="AB2772" i="11"/>
  <c r="W2772" i="11"/>
  <c r="AH2771" i="11"/>
  <c r="AB2771" i="11"/>
  <c r="W2771" i="11"/>
  <c r="AH2770" i="11"/>
  <c r="AB2770" i="11"/>
  <c r="W2770" i="11"/>
  <c r="AH2769" i="11"/>
  <c r="AB2769" i="11"/>
  <c r="W2769" i="11"/>
  <c r="AH2768" i="11"/>
  <c r="AB2768" i="11"/>
  <c r="W2768" i="11"/>
  <c r="AH2767" i="11"/>
  <c r="AB2767" i="11"/>
  <c r="W2767" i="11"/>
  <c r="AH2766" i="11"/>
  <c r="AB2766" i="11"/>
  <c r="W2766" i="11"/>
  <c r="AH2765" i="11"/>
  <c r="AB2765" i="11"/>
  <c r="W2765" i="11"/>
  <c r="AH2764" i="11"/>
  <c r="AB2764" i="11"/>
  <c r="W2764" i="11"/>
  <c r="AH2763" i="11"/>
  <c r="AB2763" i="11"/>
  <c r="W2763" i="11"/>
  <c r="AH2762" i="11"/>
  <c r="AB2762" i="11"/>
  <c r="W2762" i="11"/>
  <c r="AH2761" i="11"/>
  <c r="AB2761" i="11"/>
  <c r="W2761" i="11"/>
  <c r="AH2760" i="11"/>
  <c r="AB2760" i="11"/>
  <c r="W2760" i="11"/>
  <c r="AH2759" i="11"/>
  <c r="AB2759" i="11"/>
  <c r="W2759" i="11"/>
  <c r="AH2758" i="11"/>
  <c r="AB2758" i="11"/>
  <c r="W2758" i="11"/>
  <c r="AH2757" i="11"/>
  <c r="AB2757" i="11"/>
  <c r="W2757" i="11"/>
  <c r="AH2756" i="11"/>
  <c r="AB2756" i="11"/>
  <c r="W2756" i="11"/>
  <c r="AH2755" i="11"/>
  <c r="AB2755" i="11"/>
  <c r="W2755" i="11"/>
  <c r="AH2754" i="11"/>
  <c r="AB2754" i="11"/>
  <c r="W2754" i="11"/>
  <c r="AH2753" i="11"/>
  <c r="AB2753" i="11"/>
  <c r="W2753" i="11"/>
  <c r="AH2752" i="11"/>
  <c r="AB2752" i="11"/>
  <c r="W2752" i="11"/>
  <c r="AH2751" i="11"/>
  <c r="AB2751" i="11"/>
  <c r="W2751" i="11"/>
  <c r="AH2750" i="11"/>
  <c r="AB2750" i="11"/>
  <c r="W2750" i="11"/>
  <c r="AH2749" i="11"/>
  <c r="AB2749" i="11"/>
  <c r="W2749" i="11"/>
  <c r="AH2748" i="11"/>
  <c r="AB2748" i="11"/>
  <c r="W2748" i="11"/>
  <c r="AH2747" i="11"/>
  <c r="AB2747" i="11"/>
  <c r="W2747" i="11"/>
  <c r="AH2746" i="11"/>
  <c r="AB2746" i="11"/>
  <c r="W2746" i="11"/>
  <c r="AH2745" i="11"/>
  <c r="AB2745" i="11"/>
  <c r="W2745" i="11"/>
  <c r="AH2744" i="11"/>
  <c r="AB2744" i="11"/>
  <c r="W2744" i="11"/>
  <c r="AH2743" i="11"/>
  <c r="AB2743" i="11"/>
  <c r="W2743" i="11"/>
  <c r="AH2742" i="11"/>
  <c r="AB2742" i="11"/>
  <c r="W2742" i="11"/>
  <c r="AH2741" i="11"/>
  <c r="AB2741" i="11"/>
  <c r="W2741" i="11"/>
  <c r="AH2740" i="11"/>
  <c r="AB2740" i="11"/>
  <c r="W2740" i="11"/>
  <c r="AH2739" i="11"/>
  <c r="AB2739" i="11"/>
  <c r="W2739" i="11"/>
  <c r="AH2738" i="11"/>
  <c r="AB2738" i="11"/>
  <c r="W2738" i="11"/>
  <c r="AH2737" i="11"/>
  <c r="AB2737" i="11"/>
  <c r="W2737" i="11"/>
  <c r="AH2736" i="11"/>
  <c r="AB2736" i="11"/>
  <c r="W2736" i="11"/>
  <c r="AH2735" i="11"/>
  <c r="AB2735" i="11"/>
  <c r="W2735" i="11"/>
  <c r="AH2734" i="11"/>
  <c r="AB2734" i="11"/>
  <c r="W2734" i="11"/>
  <c r="AH2733" i="11"/>
  <c r="AB2733" i="11"/>
  <c r="W2733" i="11"/>
  <c r="AH2732" i="11"/>
  <c r="AB2732" i="11"/>
  <c r="W2732" i="11"/>
  <c r="AH2731" i="11"/>
  <c r="AB2731" i="11"/>
  <c r="W2731" i="11"/>
  <c r="AH2730" i="11"/>
  <c r="AB2730" i="11"/>
  <c r="W2730" i="11"/>
  <c r="AH2729" i="11"/>
  <c r="AB2729" i="11"/>
  <c r="W2729" i="11"/>
  <c r="AH2728" i="11"/>
  <c r="AB2728" i="11"/>
  <c r="W2728" i="11"/>
  <c r="AH2727" i="11"/>
  <c r="AB2727" i="11"/>
  <c r="W2727" i="11"/>
  <c r="AH2726" i="11"/>
  <c r="AB2726" i="11"/>
  <c r="W2726" i="11"/>
  <c r="AH2725" i="11"/>
  <c r="AB2725" i="11"/>
  <c r="W2725" i="11"/>
  <c r="AH2724" i="11"/>
  <c r="AB2724" i="11"/>
  <c r="W2724" i="11"/>
  <c r="AH2723" i="11"/>
  <c r="AB2723" i="11"/>
  <c r="W2723" i="11"/>
  <c r="AH2722" i="11"/>
  <c r="AB2722" i="11"/>
  <c r="W2722" i="11"/>
  <c r="AH2721" i="11"/>
  <c r="AB2721" i="11"/>
  <c r="W2721" i="11"/>
  <c r="AH2720" i="11"/>
  <c r="AB2720" i="11"/>
  <c r="W2720" i="11"/>
  <c r="AH2719" i="11"/>
  <c r="AB2719" i="11"/>
  <c r="W2719" i="11"/>
  <c r="AH2718" i="11"/>
  <c r="AB2718" i="11"/>
  <c r="W2718" i="11"/>
  <c r="AH2717" i="11"/>
  <c r="AB2717" i="11"/>
  <c r="W2717" i="11"/>
  <c r="AH2716" i="11"/>
  <c r="AB2716" i="11"/>
  <c r="W2716" i="11"/>
  <c r="AH2715" i="11"/>
  <c r="AB2715" i="11"/>
  <c r="W2715" i="11"/>
  <c r="AH2714" i="11"/>
  <c r="AB2714" i="11"/>
  <c r="W2714" i="11"/>
  <c r="AH2713" i="11"/>
  <c r="AB2713" i="11"/>
  <c r="W2713" i="11"/>
  <c r="AH2712" i="11"/>
  <c r="AB2712" i="11"/>
  <c r="W2712" i="11"/>
  <c r="AH2711" i="11"/>
  <c r="AB2711" i="11"/>
  <c r="W2711" i="11"/>
  <c r="AH2710" i="11"/>
  <c r="AB2710" i="11"/>
  <c r="W2710" i="11"/>
  <c r="AH2709" i="11"/>
  <c r="AB2709" i="11"/>
  <c r="W2709" i="11"/>
  <c r="AH2708" i="11"/>
  <c r="AB2708" i="11"/>
  <c r="W2708" i="11"/>
  <c r="AH2707" i="11"/>
  <c r="AB2707" i="11"/>
  <c r="W2707" i="11"/>
  <c r="AH2706" i="11"/>
  <c r="AB2706" i="11"/>
  <c r="W2706" i="11"/>
  <c r="AH2705" i="11"/>
  <c r="AB2705" i="11"/>
  <c r="W2705" i="11"/>
  <c r="AH2704" i="11"/>
  <c r="AB2704" i="11"/>
  <c r="W2704" i="11"/>
  <c r="AH2703" i="11"/>
  <c r="AB2703" i="11"/>
  <c r="W2703" i="11"/>
  <c r="AH2702" i="11"/>
  <c r="AB2702" i="11"/>
  <c r="W2702" i="11"/>
  <c r="AH2701" i="11"/>
  <c r="AB2701" i="11"/>
  <c r="W2701" i="11"/>
  <c r="AH2700" i="11"/>
  <c r="AB2700" i="11"/>
  <c r="W2700" i="11"/>
  <c r="AH2699" i="11"/>
  <c r="AB2699" i="11"/>
  <c r="W2699" i="11"/>
  <c r="AH2698" i="11"/>
  <c r="AB2698" i="11"/>
  <c r="W2698" i="11"/>
  <c r="AH2697" i="11"/>
  <c r="AB2697" i="11"/>
  <c r="W2697" i="11"/>
  <c r="AH2696" i="11"/>
  <c r="AB2696" i="11"/>
  <c r="W2696" i="11"/>
  <c r="AH2695" i="11"/>
  <c r="AB2695" i="11"/>
  <c r="W2695" i="11"/>
  <c r="AH2694" i="11"/>
  <c r="AB2694" i="11"/>
  <c r="W2694" i="11"/>
  <c r="AH2693" i="11"/>
  <c r="AB2693" i="11"/>
  <c r="W2693" i="11"/>
  <c r="AH2692" i="11"/>
  <c r="AB2692" i="11"/>
  <c r="W2692" i="11"/>
  <c r="AH2691" i="11"/>
  <c r="AB2691" i="11"/>
  <c r="W2691" i="11"/>
  <c r="AH2690" i="11"/>
  <c r="AB2690" i="11"/>
  <c r="W2690" i="11"/>
  <c r="AH2689" i="11"/>
  <c r="AB2689" i="11"/>
  <c r="W2689" i="11"/>
  <c r="AH2688" i="11"/>
  <c r="AB2688" i="11"/>
  <c r="W2688" i="11"/>
  <c r="AH2687" i="11"/>
  <c r="AB2687" i="11"/>
  <c r="W2687" i="11"/>
  <c r="AH2686" i="11"/>
  <c r="AB2686" i="11"/>
  <c r="W2686" i="11"/>
  <c r="AH2685" i="11"/>
  <c r="AB2685" i="11"/>
  <c r="W2685" i="11"/>
  <c r="AH2684" i="11"/>
  <c r="AB2684" i="11"/>
  <c r="W2684" i="11"/>
  <c r="AH2683" i="11"/>
  <c r="AB2683" i="11"/>
  <c r="W2683" i="11"/>
  <c r="AH2682" i="11"/>
  <c r="AB2682" i="11"/>
  <c r="W2682" i="11"/>
  <c r="AH2681" i="11"/>
  <c r="AB2681" i="11"/>
  <c r="W2681" i="11"/>
  <c r="AH2680" i="11"/>
  <c r="AB2680" i="11"/>
  <c r="W2680" i="11"/>
  <c r="AH2679" i="11"/>
  <c r="AB2679" i="11"/>
  <c r="W2679" i="11"/>
  <c r="AH2678" i="11"/>
  <c r="AB2678" i="11"/>
  <c r="W2678" i="11"/>
  <c r="AH2677" i="11"/>
  <c r="AB2677" i="11"/>
  <c r="W2677" i="11"/>
  <c r="AH2676" i="11"/>
  <c r="AB2676" i="11"/>
  <c r="W2676" i="11"/>
  <c r="AH2675" i="11"/>
  <c r="AB2675" i="11"/>
  <c r="W2675" i="11"/>
  <c r="AH2674" i="11"/>
  <c r="AB2674" i="11"/>
  <c r="W2674" i="11"/>
  <c r="AH2673" i="11"/>
  <c r="AB2673" i="11"/>
  <c r="W2673" i="11"/>
  <c r="AH2672" i="11"/>
  <c r="AB2672" i="11"/>
  <c r="W2672" i="11"/>
  <c r="AH2671" i="11"/>
  <c r="AB2671" i="11"/>
  <c r="W2671" i="11"/>
  <c r="AH2670" i="11"/>
  <c r="AB2670" i="11"/>
  <c r="W2670" i="11"/>
  <c r="AH2669" i="11"/>
  <c r="AB2669" i="11"/>
  <c r="W2669" i="11"/>
  <c r="AH2668" i="11"/>
  <c r="AB2668" i="11"/>
  <c r="W2668" i="11"/>
  <c r="AH2667" i="11"/>
  <c r="AB2667" i="11"/>
  <c r="W2667" i="11"/>
  <c r="AH2666" i="11"/>
  <c r="AB2666" i="11"/>
  <c r="W2666" i="11"/>
  <c r="AH2665" i="11"/>
  <c r="AB2665" i="11"/>
  <c r="W2665" i="11"/>
  <c r="AH2664" i="11"/>
  <c r="AB2664" i="11"/>
  <c r="W2664" i="11"/>
  <c r="AH2663" i="11"/>
  <c r="AB2663" i="11"/>
  <c r="W2663" i="11"/>
  <c r="AH2662" i="11"/>
  <c r="AB2662" i="11"/>
  <c r="W2662" i="11"/>
  <c r="AH2661" i="11"/>
  <c r="AB2661" i="11"/>
  <c r="W2661" i="11"/>
  <c r="AH2660" i="11"/>
  <c r="AB2660" i="11"/>
  <c r="W2660" i="11"/>
  <c r="AH2659" i="11"/>
  <c r="AB2659" i="11"/>
  <c r="W2659" i="11"/>
  <c r="AH2658" i="11"/>
  <c r="AB2658" i="11"/>
  <c r="W2658" i="11"/>
  <c r="AH2657" i="11"/>
  <c r="AB2657" i="11"/>
  <c r="W2657" i="11"/>
  <c r="AH2656" i="11"/>
  <c r="AB2656" i="11"/>
  <c r="W2656" i="11"/>
  <c r="AH2655" i="11"/>
  <c r="AB2655" i="11"/>
  <c r="W2655" i="11"/>
  <c r="AH2654" i="11"/>
  <c r="AB2654" i="11"/>
  <c r="W2654" i="11"/>
  <c r="AH2653" i="11"/>
  <c r="AB2653" i="11"/>
  <c r="W2653" i="11"/>
  <c r="AH2652" i="11"/>
  <c r="AB2652" i="11"/>
  <c r="W2652" i="11"/>
  <c r="AH2651" i="11"/>
  <c r="AB2651" i="11"/>
  <c r="W2651" i="11"/>
  <c r="AH2650" i="11"/>
  <c r="AB2650" i="11"/>
  <c r="W2650" i="11"/>
  <c r="AH2649" i="11"/>
  <c r="AB2649" i="11"/>
  <c r="W2649" i="11"/>
  <c r="AH2648" i="11"/>
  <c r="AB2648" i="11"/>
  <c r="W2648" i="11"/>
  <c r="AH2647" i="11"/>
  <c r="AB2647" i="11"/>
  <c r="W2647" i="11"/>
  <c r="AH2646" i="11"/>
  <c r="AB2646" i="11"/>
  <c r="W2646" i="11"/>
  <c r="AH2645" i="11"/>
  <c r="AB2645" i="11"/>
  <c r="W2645" i="11"/>
  <c r="AH2644" i="11"/>
  <c r="AB2644" i="11"/>
  <c r="W2644" i="11"/>
  <c r="AH2643" i="11"/>
  <c r="AB2643" i="11"/>
  <c r="W2643" i="11"/>
  <c r="AH2642" i="11"/>
  <c r="AB2642" i="11"/>
  <c r="W2642" i="11"/>
  <c r="AH2641" i="11"/>
  <c r="AB2641" i="11"/>
  <c r="W2641" i="11"/>
  <c r="AH2640" i="11"/>
  <c r="AB2640" i="11"/>
  <c r="W2640" i="11"/>
  <c r="AH2639" i="11"/>
  <c r="AB2639" i="11"/>
  <c r="W2639" i="11"/>
  <c r="AH2638" i="11"/>
  <c r="AB2638" i="11"/>
  <c r="W2638" i="11"/>
  <c r="AH2637" i="11"/>
  <c r="AB2637" i="11"/>
  <c r="W2637" i="11"/>
  <c r="AH2636" i="11"/>
  <c r="AB2636" i="11"/>
  <c r="W2636" i="11"/>
  <c r="AH2635" i="11"/>
  <c r="AB2635" i="11"/>
  <c r="W2635" i="11"/>
  <c r="AH2634" i="11"/>
  <c r="AB2634" i="11"/>
  <c r="W2634" i="11"/>
  <c r="AH2633" i="11"/>
  <c r="AB2633" i="11"/>
  <c r="W2633" i="11"/>
  <c r="AH2632" i="11"/>
  <c r="AB2632" i="11"/>
  <c r="W2632" i="11"/>
  <c r="AH2631" i="11"/>
  <c r="AB2631" i="11"/>
  <c r="W2631" i="11"/>
  <c r="AH2630" i="11"/>
  <c r="AB2630" i="11"/>
  <c r="W2630" i="11"/>
  <c r="AH2629" i="11"/>
  <c r="AB2629" i="11"/>
  <c r="W2629" i="11"/>
  <c r="AH2628" i="11"/>
  <c r="AB2628" i="11"/>
  <c r="W2628" i="11"/>
  <c r="AH2627" i="11"/>
  <c r="AB2627" i="11"/>
  <c r="W2627" i="11"/>
  <c r="AH2626" i="11"/>
  <c r="AB2626" i="11"/>
  <c r="W2626" i="11"/>
  <c r="AH2625" i="11"/>
  <c r="AB2625" i="11"/>
  <c r="W2625" i="11"/>
  <c r="AH2624" i="11"/>
  <c r="AB2624" i="11"/>
  <c r="W2624" i="11"/>
  <c r="AH2623" i="11"/>
  <c r="AB2623" i="11"/>
  <c r="W2623" i="11"/>
  <c r="AH2622" i="11"/>
  <c r="AB2622" i="11"/>
  <c r="W2622" i="11"/>
  <c r="AH2621" i="11"/>
  <c r="AB2621" i="11"/>
  <c r="W2621" i="11"/>
  <c r="AH2620" i="11"/>
  <c r="AB2620" i="11"/>
  <c r="W2620" i="11"/>
  <c r="AH2619" i="11"/>
  <c r="AB2619" i="11"/>
  <c r="W2619" i="11"/>
  <c r="AH2618" i="11"/>
  <c r="AB2618" i="11"/>
  <c r="W2618" i="11"/>
  <c r="AH2617" i="11"/>
  <c r="AB2617" i="11"/>
  <c r="W2617" i="11"/>
  <c r="AH2616" i="11"/>
  <c r="AB2616" i="11"/>
  <c r="W2616" i="11"/>
  <c r="AH2615" i="11"/>
  <c r="AB2615" i="11"/>
  <c r="W2615" i="11"/>
  <c r="AH2614" i="11"/>
  <c r="AB2614" i="11"/>
  <c r="W2614" i="11"/>
  <c r="AH2613" i="11"/>
  <c r="AB2613" i="11"/>
  <c r="W2613" i="11"/>
  <c r="AH2612" i="11"/>
  <c r="AB2612" i="11"/>
  <c r="W2612" i="11"/>
  <c r="AH2611" i="11"/>
  <c r="AB2611" i="11"/>
  <c r="W2611" i="11"/>
  <c r="AH2610" i="11"/>
  <c r="AB2610" i="11"/>
  <c r="W2610" i="11"/>
  <c r="AH2609" i="11"/>
  <c r="AB2609" i="11"/>
  <c r="W2609" i="11"/>
  <c r="AH2608" i="11"/>
  <c r="AB2608" i="11"/>
  <c r="W2608" i="11"/>
  <c r="AH2607" i="11"/>
  <c r="AB2607" i="11"/>
  <c r="W2607" i="11"/>
  <c r="AH2606" i="11"/>
  <c r="AB2606" i="11"/>
  <c r="W2606" i="11"/>
  <c r="AH2605" i="11"/>
  <c r="AB2605" i="11"/>
  <c r="W2605" i="11"/>
  <c r="AH2604" i="11"/>
  <c r="AB2604" i="11"/>
  <c r="W2604" i="11"/>
  <c r="AH2603" i="11"/>
  <c r="AB2603" i="11"/>
  <c r="W2603" i="11"/>
  <c r="AH2602" i="11"/>
  <c r="AB2602" i="11"/>
  <c r="W2602" i="11"/>
  <c r="AH2601" i="11"/>
  <c r="AB2601" i="11"/>
  <c r="W2601" i="11"/>
  <c r="AH2600" i="11"/>
  <c r="AB2600" i="11"/>
  <c r="W2600" i="11"/>
  <c r="AH2599" i="11"/>
  <c r="AB2599" i="11"/>
  <c r="W2599" i="11"/>
  <c r="AH2598" i="11"/>
  <c r="AB2598" i="11"/>
  <c r="W2598" i="11"/>
  <c r="AH2597" i="11"/>
  <c r="AB2597" i="11"/>
  <c r="W2597" i="11"/>
  <c r="AH2596" i="11"/>
  <c r="AB2596" i="11"/>
  <c r="W2596" i="11"/>
  <c r="AH2595" i="11"/>
  <c r="AB2595" i="11"/>
  <c r="W2595" i="11"/>
  <c r="AH2594" i="11"/>
  <c r="AB2594" i="11"/>
  <c r="W2594" i="11"/>
  <c r="AH2593" i="11"/>
  <c r="AB2593" i="11"/>
  <c r="W2593" i="11"/>
  <c r="AH2592" i="11"/>
  <c r="AB2592" i="11"/>
  <c r="W2592" i="11"/>
  <c r="AH2591" i="11"/>
  <c r="AB2591" i="11"/>
  <c r="W2591" i="11"/>
  <c r="AH2590" i="11"/>
  <c r="AB2590" i="11"/>
  <c r="W2590" i="11"/>
  <c r="AH2589" i="11"/>
  <c r="AB2589" i="11"/>
  <c r="W2589" i="11"/>
  <c r="AH2588" i="11"/>
  <c r="AB2588" i="11"/>
  <c r="W2588" i="11"/>
  <c r="AH2587" i="11"/>
  <c r="AB2587" i="11"/>
  <c r="W2587" i="11"/>
  <c r="AH2586" i="11"/>
  <c r="AB2586" i="11"/>
  <c r="W2586" i="11"/>
  <c r="AH2585" i="11"/>
  <c r="AB2585" i="11"/>
  <c r="W2585" i="11"/>
  <c r="AH2584" i="11"/>
  <c r="AB2584" i="11"/>
  <c r="W2584" i="11"/>
  <c r="AH2583" i="11"/>
  <c r="AB2583" i="11"/>
  <c r="W2583" i="11"/>
  <c r="AH2582" i="11"/>
  <c r="AB2582" i="11"/>
  <c r="W2582" i="11"/>
  <c r="AH2581" i="11"/>
  <c r="AB2581" i="11"/>
  <c r="W2581" i="11"/>
  <c r="AH2580" i="11"/>
  <c r="AB2580" i="11"/>
  <c r="W2580" i="11"/>
  <c r="AH2579" i="11"/>
  <c r="AB2579" i="11"/>
  <c r="W2579" i="11"/>
  <c r="AH2578" i="11"/>
  <c r="AB2578" i="11"/>
  <c r="W2578" i="11"/>
  <c r="AH2577" i="11"/>
  <c r="AB2577" i="11"/>
  <c r="W2577" i="11"/>
  <c r="AH2576" i="11"/>
  <c r="AB2576" i="11"/>
  <c r="W2576" i="11"/>
  <c r="AH2575" i="11"/>
  <c r="AB2575" i="11"/>
  <c r="W2575" i="11"/>
  <c r="AH2574" i="11"/>
  <c r="AB2574" i="11"/>
  <c r="W2574" i="11"/>
  <c r="AH2573" i="11"/>
  <c r="AB2573" i="11"/>
  <c r="W2573" i="11"/>
  <c r="AH2572" i="11"/>
  <c r="AB2572" i="11"/>
  <c r="W2572" i="11"/>
  <c r="AH2571" i="11"/>
  <c r="AB2571" i="11"/>
  <c r="W2571" i="11"/>
  <c r="AH2570" i="11"/>
  <c r="AB2570" i="11"/>
  <c r="W2570" i="11"/>
  <c r="AH2569" i="11"/>
  <c r="AB2569" i="11"/>
  <c r="W2569" i="11"/>
  <c r="AH2568" i="11"/>
  <c r="AB2568" i="11"/>
  <c r="W2568" i="11"/>
  <c r="AH2567" i="11"/>
  <c r="AB2567" i="11"/>
  <c r="W2567" i="11"/>
  <c r="AH2566" i="11"/>
  <c r="AB2566" i="11"/>
  <c r="W2566" i="11"/>
  <c r="AH2565" i="11"/>
  <c r="AB2565" i="11"/>
  <c r="W2565" i="11"/>
  <c r="AH2564" i="11"/>
  <c r="AB2564" i="11"/>
  <c r="W2564" i="11"/>
  <c r="AH2563" i="11"/>
  <c r="AB2563" i="11"/>
  <c r="W2563" i="11"/>
  <c r="AH2562" i="11"/>
  <c r="AB2562" i="11"/>
  <c r="W2562" i="11"/>
  <c r="AH2561" i="11"/>
  <c r="AB2561" i="11"/>
  <c r="W2561" i="11"/>
  <c r="AH2560" i="11"/>
  <c r="AB2560" i="11"/>
  <c r="W2560" i="11"/>
  <c r="AH2559" i="11"/>
  <c r="AB2559" i="11"/>
  <c r="W2559" i="11"/>
  <c r="AH2558" i="11"/>
  <c r="AB2558" i="11"/>
  <c r="W2558" i="11"/>
  <c r="AH2557" i="11"/>
  <c r="AB2557" i="11"/>
  <c r="W2557" i="11"/>
  <c r="AH2556" i="11"/>
  <c r="AB2556" i="11"/>
  <c r="W2556" i="11"/>
  <c r="AH2555" i="11"/>
  <c r="AB2555" i="11"/>
  <c r="W2555" i="11"/>
  <c r="AH2554" i="11"/>
  <c r="AB2554" i="11"/>
  <c r="W2554" i="11"/>
  <c r="AH2553" i="11"/>
  <c r="AB2553" i="11"/>
  <c r="W2553" i="11"/>
  <c r="AH2552" i="11"/>
  <c r="AB2552" i="11"/>
  <c r="W2552" i="11"/>
  <c r="AH2551" i="11"/>
  <c r="AB2551" i="11"/>
  <c r="W2551" i="11"/>
  <c r="AH2550" i="11"/>
  <c r="AB2550" i="11"/>
  <c r="W2550" i="11"/>
  <c r="AH2549" i="11"/>
  <c r="AB2549" i="11"/>
  <c r="W2549" i="11"/>
  <c r="AH2548" i="11"/>
  <c r="AB2548" i="11"/>
  <c r="W2548" i="11"/>
  <c r="AH2547" i="11"/>
  <c r="AB2547" i="11"/>
  <c r="W2547" i="11"/>
  <c r="AH2546" i="11"/>
  <c r="AB2546" i="11"/>
  <c r="W2546" i="11"/>
  <c r="AH2545" i="11"/>
  <c r="AB2545" i="11"/>
  <c r="W2545" i="11"/>
  <c r="AH2544" i="11"/>
  <c r="AB2544" i="11"/>
  <c r="W2544" i="11"/>
  <c r="AH2543" i="11"/>
  <c r="AB2543" i="11"/>
  <c r="W2543" i="11"/>
  <c r="AH2542" i="11"/>
  <c r="AB2542" i="11"/>
  <c r="W2542" i="11"/>
  <c r="AH2541" i="11"/>
  <c r="AB2541" i="11"/>
  <c r="W2541" i="11"/>
  <c r="AH2540" i="11"/>
  <c r="AB2540" i="11"/>
  <c r="W2540" i="11"/>
  <c r="AH2539" i="11"/>
  <c r="AB2539" i="11"/>
  <c r="W2539" i="11"/>
  <c r="AH2538" i="11"/>
  <c r="AB2538" i="11"/>
  <c r="W2538" i="11"/>
  <c r="AH2537" i="11"/>
  <c r="AB2537" i="11"/>
  <c r="W2537" i="11"/>
  <c r="AH2536" i="11"/>
  <c r="AB2536" i="11"/>
  <c r="W2536" i="11"/>
  <c r="AH2535" i="11"/>
  <c r="AB2535" i="11"/>
  <c r="W2535" i="11"/>
  <c r="AH2534" i="11"/>
  <c r="AB2534" i="11"/>
  <c r="W2534" i="11"/>
  <c r="AH2533" i="11"/>
  <c r="AB2533" i="11"/>
  <c r="W2533" i="11"/>
  <c r="AH2532" i="11"/>
  <c r="AB2532" i="11"/>
  <c r="W2532" i="11"/>
  <c r="AH2531" i="11"/>
  <c r="AB2531" i="11"/>
  <c r="W2531" i="11"/>
  <c r="AH2530" i="11"/>
  <c r="AB2530" i="11"/>
  <c r="W2530" i="11"/>
  <c r="AH2529" i="11"/>
  <c r="AB2529" i="11"/>
  <c r="W2529" i="11"/>
  <c r="AH2528" i="11"/>
  <c r="AB2528" i="11"/>
  <c r="W2528" i="11"/>
  <c r="AH2527" i="11"/>
  <c r="AB2527" i="11"/>
  <c r="W2527" i="11"/>
  <c r="AH2526" i="11"/>
  <c r="AB2526" i="11"/>
  <c r="W2526" i="11"/>
  <c r="AH2525" i="11"/>
  <c r="AB2525" i="11"/>
  <c r="W2525" i="11"/>
  <c r="AH2524" i="11"/>
  <c r="AB2524" i="11"/>
  <c r="W2524" i="11"/>
  <c r="AH2523" i="11"/>
  <c r="AB2523" i="11"/>
  <c r="W2523" i="11"/>
  <c r="AH2522" i="11"/>
  <c r="AB2522" i="11"/>
  <c r="W2522" i="11"/>
  <c r="AH2521" i="11"/>
  <c r="AB2521" i="11"/>
  <c r="W2521" i="11"/>
  <c r="AH2520" i="11"/>
  <c r="AB2520" i="11"/>
  <c r="W2520" i="11"/>
  <c r="AH2519" i="11"/>
  <c r="AB2519" i="11"/>
  <c r="W2519" i="11"/>
  <c r="AH2518" i="11"/>
  <c r="AB2518" i="11"/>
  <c r="W2518" i="11"/>
  <c r="AH2517" i="11"/>
  <c r="AB2517" i="11"/>
  <c r="W2517" i="11"/>
  <c r="AH2516" i="11"/>
  <c r="AB2516" i="11"/>
  <c r="W2516" i="11"/>
  <c r="AH2515" i="11"/>
  <c r="AB2515" i="11"/>
  <c r="W2515" i="11"/>
  <c r="AH2514" i="11"/>
  <c r="AB2514" i="11"/>
  <c r="W2514" i="11"/>
  <c r="AH2513" i="11"/>
  <c r="AB2513" i="11"/>
  <c r="W2513" i="11"/>
  <c r="AH2512" i="11"/>
  <c r="AB2512" i="11"/>
  <c r="W2512" i="11"/>
  <c r="AH2511" i="11"/>
  <c r="AB2511" i="11"/>
  <c r="W2511" i="11"/>
  <c r="AH2510" i="11"/>
  <c r="AB2510" i="11"/>
  <c r="W2510" i="11"/>
  <c r="AH2509" i="11"/>
  <c r="AB2509" i="11"/>
  <c r="W2509" i="11"/>
  <c r="AH2508" i="11"/>
  <c r="AB2508" i="11"/>
  <c r="W2508" i="11"/>
  <c r="AH2507" i="11"/>
  <c r="AB2507" i="11"/>
  <c r="W2507" i="11"/>
  <c r="AH2506" i="11"/>
  <c r="AB2506" i="11"/>
  <c r="W2506" i="11"/>
  <c r="AH2505" i="11"/>
  <c r="AB2505" i="11"/>
  <c r="W2505" i="11"/>
  <c r="AH2504" i="11"/>
  <c r="AB2504" i="11"/>
  <c r="W2504" i="11"/>
  <c r="AH2503" i="11"/>
  <c r="AB2503" i="11"/>
  <c r="W2503" i="11"/>
  <c r="AH2502" i="11"/>
  <c r="AB2502" i="11"/>
  <c r="W2502" i="11"/>
  <c r="AH2501" i="11"/>
  <c r="AB2501" i="11"/>
  <c r="W2501" i="11"/>
  <c r="AH2500" i="11"/>
  <c r="AB2500" i="11"/>
  <c r="W2500" i="11"/>
  <c r="AH2499" i="11"/>
  <c r="AB2499" i="11"/>
  <c r="W2499" i="11"/>
  <c r="AH2498" i="11"/>
  <c r="AB2498" i="11"/>
  <c r="W2498" i="11"/>
  <c r="AH2497" i="11"/>
  <c r="AB2497" i="11"/>
  <c r="W2497" i="11"/>
  <c r="AH2496" i="11"/>
  <c r="AB2496" i="11"/>
  <c r="W2496" i="11"/>
  <c r="AH2495" i="11"/>
  <c r="AB2495" i="11"/>
  <c r="W2495" i="11"/>
  <c r="AH2494" i="11"/>
  <c r="AB2494" i="11"/>
  <c r="W2494" i="11"/>
  <c r="AH2493" i="11"/>
  <c r="AB2493" i="11"/>
  <c r="W2493" i="11"/>
  <c r="AH2492" i="11"/>
  <c r="AB2492" i="11"/>
  <c r="W2492" i="11"/>
  <c r="AH2491" i="11"/>
  <c r="AB2491" i="11"/>
  <c r="W2491" i="11"/>
  <c r="AH2490" i="11"/>
  <c r="AB2490" i="11"/>
  <c r="W2490" i="11"/>
  <c r="AH2489" i="11"/>
  <c r="AB2489" i="11"/>
  <c r="W2489" i="11"/>
  <c r="AH2488" i="11"/>
  <c r="AB2488" i="11"/>
  <c r="W2488" i="11"/>
  <c r="AH2487" i="11"/>
  <c r="AB2487" i="11"/>
  <c r="W2487" i="11"/>
  <c r="AH2486" i="11"/>
  <c r="AB2486" i="11"/>
  <c r="W2486" i="11"/>
  <c r="AH2485" i="11"/>
  <c r="AB2485" i="11"/>
  <c r="W2485" i="11"/>
  <c r="AH2484" i="11"/>
  <c r="AB2484" i="11"/>
  <c r="W2484" i="11"/>
  <c r="AH2483" i="11"/>
  <c r="AB2483" i="11"/>
  <c r="W2483" i="11"/>
  <c r="AH2482" i="11"/>
  <c r="AB2482" i="11"/>
  <c r="W2482" i="11"/>
  <c r="AH2481" i="11"/>
  <c r="AB2481" i="11"/>
  <c r="W2481" i="11"/>
  <c r="AH2480" i="11"/>
  <c r="AB2480" i="11"/>
  <c r="W2480" i="11"/>
  <c r="AH2479" i="11"/>
  <c r="AB2479" i="11"/>
  <c r="W2479" i="11"/>
  <c r="AH2478" i="11"/>
  <c r="AB2478" i="11"/>
  <c r="W2478" i="11"/>
  <c r="AH2477" i="11"/>
  <c r="AB2477" i="11"/>
  <c r="W2477" i="11"/>
  <c r="AH2476" i="11"/>
  <c r="AB2476" i="11"/>
  <c r="W2476" i="11"/>
  <c r="AH2475" i="11"/>
  <c r="AB2475" i="11"/>
  <c r="W2475" i="11"/>
  <c r="AH2474" i="11"/>
  <c r="AB2474" i="11"/>
  <c r="W2474" i="11"/>
  <c r="AH2473" i="11"/>
  <c r="AB2473" i="11"/>
  <c r="W2473" i="11"/>
  <c r="AH2472" i="11"/>
  <c r="AB2472" i="11"/>
  <c r="W2472" i="11"/>
  <c r="AH2471" i="11"/>
  <c r="AB2471" i="11"/>
  <c r="W2471" i="11"/>
  <c r="AH2470" i="11"/>
  <c r="AB2470" i="11"/>
  <c r="W2470" i="11"/>
  <c r="AH2469" i="11"/>
  <c r="AB2469" i="11"/>
  <c r="W2469" i="11"/>
  <c r="AH2468" i="11"/>
  <c r="AB2468" i="11"/>
  <c r="W2468" i="11"/>
  <c r="AH2467" i="11"/>
  <c r="AB2467" i="11"/>
  <c r="W2467" i="11"/>
  <c r="AH2466" i="11"/>
  <c r="AB2466" i="11"/>
  <c r="W2466" i="11"/>
  <c r="AH2465" i="11"/>
  <c r="AB2465" i="11"/>
  <c r="W2465" i="11"/>
  <c r="AH2464" i="11"/>
  <c r="AB2464" i="11"/>
  <c r="W2464" i="11"/>
  <c r="AH2463" i="11"/>
  <c r="AB2463" i="11"/>
  <c r="W2463" i="11"/>
  <c r="AH2462" i="11"/>
  <c r="AB2462" i="11"/>
  <c r="W2462" i="11"/>
  <c r="AH2461" i="11"/>
  <c r="AB2461" i="11"/>
  <c r="W2461" i="11"/>
  <c r="AH2460" i="11"/>
  <c r="AB2460" i="11"/>
  <c r="W2460" i="11"/>
  <c r="AH2459" i="11"/>
  <c r="AB2459" i="11"/>
  <c r="W2459" i="11"/>
  <c r="AH2458" i="11"/>
  <c r="AB2458" i="11"/>
  <c r="W2458" i="11"/>
  <c r="AH2457" i="11"/>
  <c r="AB2457" i="11"/>
  <c r="W2457" i="11"/>
  <c r="AH2456" i="11"/>
  <c r="AB2456" i="11"/>
  <c r="W2456" i="11"/>
  <c r="AH2455" i="11"/>
  <c r="AB2455" i="11"/>
  <c r="W2455" i="11"/>
  <c r="AH2454" i="11"/>
  <c r="AB2454" i="11"/>
  <c r="W2454" i="11"/>
  <c r="AH2453" i="11"/>
  <c r="AB2453" i="11"/>
  <c r="W2453" i="11"/>
  <c r="AH2452" i="11"/>
  <c r="AB2452" i="11"/>
  <c r="W2452" i="11"/>
  <c r="AH2451" i="11"/>
  <c r="AB2451" i="11"/>
  <c r="W2451" i="11"/>
  <c r="AH2450" i="11"/>
  <c r="AB2450" i="11"/>
  <c r="W2450" i="11"/>
  <c r="AH2449" i="11"/>
  <c r="AB2449" i="11"/>
  <c r="W2449" i="11"/>
  <c r="AH2448" i="11"/>
  <c r="AB2448" i="11"/>
  <c r="W2448" i="11"/>
  <c r="AH2447" i="11"/>
  <c r="AB2447" i="11"/>
  <c r="W2447" i="11"/>
  <c r="AH2446" i="11"/>
  <c r="AB2446" i="11"/>
  <c r="W2446" i="11"/>
  <c r="AH2445" i="11"/>
  <c r="AB2445" i="11"/>
  <c r="W2445" i="11"/>
  <c r="AH2444" i="11"/>
  <c r="AB2444" i="11"/>
  <c r="W2444" i="11"/>
  <c r="AH2443" i="11"/>
  <c r="AB2443" i="11"/>
  <c r="W2443" i="11"/>
  <c r="AH2442" i="11"/>
  <c r="AB2442" i="11"/>
  <c r="W2442" i="11"/>
  <c r="AH2441" i="11"/>
  <c r="AB2441" i="11"/>
  <c r="W2441" i="11"/>
  <c r="AH2440" i="11"/>
  <c r="AB2440" i="11"/>
  <c r="W2440" i="11"/>
  <c r="AH2439" i="11"/>
  <c r="AB2439" i="11"/>
  <c r="W2439" i="11"/>
  <c r="AH2438" i="11"/>
  <c r="AB2438" i="11"/>
  <c r="W2438" i="11"/>
  <c r="AH2437" i="11"/>
  <c r="AB2437" i="11"/>
  <c r="W2437" i="11"/>
  <c r="AH2436" i="11"/>
  <c r="AB2436" i="11"/>
  <c r="W2436" i="11"/>
  <c r="AH2435" i="11"/>
  <c r="AB2435" i="11"/>
  <c r="W2435" i="11"/>
  <c r="AH2434" i="11"/>
  <c r="AB2434" i="11"/>
  <c r="W2434" i="11"/>
  <c r="AH2433" i="11"/>
  <c r="AB2433" i="11"/>
  <c r="W2433" i="11"/>
  <c r="AH2432" i="11"/>
  <c r="AB2432" i="11"/>
  <c r="W2432" i="11"/>
  <c r="AH2431" i="11"/>
  <c r="AB2431" i="11"/>
  <c r="W2431" i="11"/>
  <c r="AH2430" i="11"/>
  <c r="AB2430" i="11"/>
  <c r="W2430" i="11"/>
  <c r="AH2429" i="11"/>
  <c r="AB2429" i="11"/>
  <c r="W2429" i="11"/>
  <c r="AH2428" i="11"/>
  <c r="AB2428" i="11"/>
  <c r="W2428" i="11"/>
  <c r="AH2427" i="11"/>
  <c r="AB2427" i="11"/>
  <c r="W2427" i="11"/>
  <c r="AH2426" i="11"/>
  <c r="AB2426" i="11"/>
  <c r="W2426" i="11"/>
  <c r="AH2425" i="11"/>
  <c r="AB2425" i="11"/>
  <c r="W2425" i="11"/>
  <c r="AH2424" i="11"/>
  <c r="AB2424" i="11"/>
  <c r="W2424" i="11"/>
  <c r="AH2423" i="11"/>
  <c r="AB2423" i="11"/>
  <c r="W2423" i="11"/>
  <c r="AH2422" i="11"/>
  <c r="AB2422" i="11"/>
  <c r="W2422" i="11"/>
  <c r="AH2421" i="11"/>
  <c r="AB2421" i="11"/>
  <c r="W2421" i="11"/>
  <c r="AH2420" i="11"/>
  <c r="AB2420" i="11"/>
  <c r="W2420" i="11"/>
  <c r="AH2419" i="11"/>
  <c r="AB2419" i="11"/>
  <c r="W2419" i="11"/>
  <c r="AH2418" i="11"/>
  <c r="AB2418" i="11"/>
  <c r="W2418" i="11"/>
  <c r="AH2417" i="11"/>
  <c r="AB2417" i="11"/>
  <c r="W2417" i="11"/>
  <c r="AH2416" i="11"/>
  <c r="AB2416" i="11"/>
  <c r="W2416" i="11"/>
  <c r="AH2415" i="11"/>
  <c r="AB2415" i="11"/>
  <c r="W2415" i="11"/>
  <c r="AH2414" i="11"/>
  <c r="AB2414" i="11"/>
  <c r="W2414" i="11"/>
  <c r="AH2413" i="11"/>
  <c r="AB2413" i="11"/>
  <c r="W2413" i="11"/>
  <c r="AH2412" i="11"/>
  <c r="AB2412" i="11"/>
  <c r="W2412" i="11"/>
  <c r="AH2411" i="11"/>
  <c r="AB2411" i="11"/>
  <c r="W2411" i="11"/>
  <c r="AH2410" i="11"/>
  <c r="AB2410" i="11"/>
  <c r="W2410" i="11"/>
  <c r="AH2409" i="11"/>
  <c r="AB2409" i="11"/>
  <c r="W2409" i="11"/>
  <c r="AH2408" i="11"/>
  <c r="AB2408" i="11"/>
  <c r="W2408" i="11"/>
  <c r="AH2407" i="11"/>
  <c r="AB2407" i="11"/>
  <c r="W2407" i="11"/>
  <c r="AH2406" i="11"/>
  <c r="AB2406" i="11"/>
  <c r="W2406" i="11"/>
  <c r="AH2405" i="11"/>
  <c r="AB2405" i="11"/>
  <c r="W2405" i="11"/>
  <c r="AH2404" i="11"/>
  <c r="AB2404" i="11"/>
  <c r="W2404" i="11"/>
  <c r="AH2403" i="11"/>
  <c r="AB2403" i="11"/>
  <c r="W2403" i="11"/>
  <c r="AH2402" i="11"/>
  <c r="AB2402" i="11"/>
  <c r="W2402" i="11"/>
  <c r="AH2401" i="11"/>
  <c r="AB2401" i="11"/>
  <c r="W2401" i="11"/>
  <c r="AH2400" i="11"/>
  <c r="AB2400" i="11"/>
  <c r="W2400" i="11"/>
  <c r="AH2399" i="11"/>
  <c r="AB2399" i="11"/>
  <c r="W2399" i="11"/>
  <c r="AH2398" i="11"/>
  <c r="AB2398" i="11"/>
  <c r="W2398" i="11"/>
  <c r="AH2397" i="11"/>
  <c r="AB2397" i="11"/>
  <c r="W2397" i="11"/>
  <c r="AH2396" i="11"/>
  <c r="AB2396" i="11"/>
  <c r="W2396" i="11"/>
  <c r="AH2395" i="11"/>
  <c r="AB2395" i="11"/>
  <c r="W2395" i="11"/>
  <c r="AH2394" i="11"/>
  <c r="AB2394" i="11"/>
  <c r="W2394" i="11"/>
  <c r="AH2393" i="11"/>
  <c r="AB2393" i="11"/>
  <c r="W2393" i="11"/>
  <c r="AH2392" i="11"/>
  <c r="AB2392" i="11"/>
  <c r="W2392" i="11"/>
  <c r="AH2391" i="11"/>
  <c r="AB2391" i="11"/>
  <c r="W2391" i="11"/>
  <c r="AH2390" i="11"/>
  <c r="AB2390" i="11"/>
  <c r="W2390" i="11"/>
  <c r="AH2389" i="11"/>
  <c r="AB2389" i="11"/>
  <c r="W2389" i="11"/>
  <c r="AH2388" i="11"/>
  <c r="AB2388" i="11"/>
  <c r="W2388" i="11"/>
  <c r="AH2387" i="11"/>
  <c r="AB2387" i="11"/>
  <c r="W2387" i="11"/>
  <c r="AH2386" i="11"/>
  <c r="AB2386" i="11"/>
  <c r="W2386" i="11"/>
  <c r="AH2385" i="11"/>
  <c r="AB2385" i="11"/>
  <c r="W2385" i="11"/>
  <c r="AH2384" i="11"/>
  <c r="AB2384" i="11"/>
  <c r="W2384" i="11"/>
  <c r="AH2383" i="11"/>
  <c r="AB2383" i="11"/>
  <c r="W2383" i="11"/>
  <c r="AH2382" i="11"/>
  <c r="AB2382" i="11"/>
  <c r="W2382" i="11"/>
  <c r="AH2381" i="11"/>
  <c r="AB2381" i="11"/>
  <c r="W2381" i="11"/>
  <c r="AH2380" i="11"/>
  <c r="AB2380" i="11"/>
  <c r="W2380" i="11"/>
  <c r="AH2379" i="11"/>
  <c r="AB2379" i="11"/>
  <c r="W2379" i="11"/>
  <c r="AH2378" i="11"/>
  <c r="AB2378" i="11"/>
  <c r="W2378" i="11"/>
  <c r="AH2377" i="11"/>
  <c r="AB2377" i="11"/>
  <c r="W2377" i="11"/>
  <c r="AH2376" i="11"/>
  <c r="AB2376" i="11"/>
  <c r="W2376" i="11"/>
  <c r="AH2375" i="11"/>
  <c r="AB2375" i="11"/>
  <c r="W2375" i="11"/>
  <c r="AH2374" i="11"/>
  <c r="AB2374" i="11"/>
  <c r="W2374" i="11"/>
  <c r="AH2373" i="11"/>
  <c r="AB2373" i="11"/>
  <c r="W2373" i="11"/>
  <c r="AH2372" i="11"/>
  <c r="AB2372" i="11"/>
  <c r="W2372" i="11"/>
  <c r="AH2371" i="11"/>
  <c r="AB2371" i="11"/>
  <c r="W2371" i="11"/>
  <c r="AH2370" i="11"/>
  <c r="AB2370" i="11"/>
  <c r="W2370" i="11"/>
  <c r="AH2369" i="11"/>
  <c r="AB2369" i="11"/>
  <c r="W2369" i="11"/>
  <c r="AH2368" i="11"/>
  <c r="AB2368" i="11"/>
  <c r="W2368" i="11"/>
  <c r="AH2367" i="11"/>
  <c r="AB2367" i="11"/>
  <c r="W2367" i="11"/>
  <c r="AH2366" i="11"/>
  <c r="AB2366" i="11"/>
  <c r="W2366" i="11"/>
  <c r="AH2365" i="11"/>
  <c r="AB2365" i="11"/>
  <c r="W2365" i="11"/>
  <c r="AH2364" i="11"/>
  <c r="AB2364" i="11"/>
  <c r="W2364" i="11"/>
  <c r="AH2363" i="11"/>
  <c r="AB2363" i="11"/>
  <c r="W2363" i="11"/>
  <c r="AH2362" i="11"/>
  <c r="AB2362" i="11"/>
  <c r="W2362" i="11"/>
  <c r="AH2361" i="11"/>
  <c r="AB2361" i="11"/>
  <c r="W2361" i="11"/>
  <c r="AH2360" i="11"/>
  <c r="AB2360" i="11"/>
  <c r="W2360" i="11"/>
  <c r="AH2359" i="11"/>
  <c r="AB2359" i="11"/>
  <c r="W2359" i="11"/>
  <c r="AH2358" i="11"/>
  <c r="AB2358" i="11"/>
  <c r="W2358" i="11"/>
  <c r="AH2357" i="11"/>
  <c r="AB2357" i="11"/>
  <c r="W2357" i="11"/>
  <c r="AH2356" i="11"/>
  <c r="AB2356" i="11"/>
  <c r="W2356" i="11"/>
  <c r="AH2355" i="11"/>
  <c r="AB2355" i="11"/>
  <c r="W2355" i="11"/>
  <c r="AH2354" i="11"/>
  <c r="AB2354" i="11"/>
  <c r="W2354" i="11"/>
  <c r="AH2353" i="11"/>
  <c r="AB2353" i="11"/>
  <c r="W2353" i="11"/>
  <c r="AH2352" i="11"/>
  <c r="AB2352" i="11"/>
  <c r="W2352" i="11"/>
  <c r="AH2351" i="11"/>
  <c r="AB2351" i="11"/>
  <c r="W2351" i="11"/>
  <c r="AH2350" i="11"/>
  <c r="AB2350" i="11"/>
  <c r="W2350" i="11"/>
  <c r="AH2349" i="11"/>
  <c r="AB2349" i="11"/>
  <c r="W2349" i="11"/>
  <c r="AH2348" i="11"/>
  <c r="AB2348" i="11"/>
  <c r="W2348" i="11"/>
  <c r="AH2347" i="11"/>
  <c r="AB2347" i="11"/>
  <c r="W2347" i="11"/>
  <c r="AH2346" i="11"/>
  <c r="AB2346" i="11"/>
  <c r="W2346" i="11"/>
  <c r="AH2345" i="11"/>
  <c r="AB2345" i="11"/>
  <c r="W2345" i="11"/>
  <c r="AH2344" i="11"/>
  <c r="AB2344" i="11"/>
  <c r="W2344" i="11"/>
  <c r="AH2343" i="11"/>
  <c r="AB2343" i="11"/>
  <c r="W2343" i="11"/>
  <c r="AH2342" i="11"/>
  <c r="AB2342" i="11"/>
  <c r="W2342" i="11"/>
  <c r="AH2341" i="11"/>
  <c r="AB2341" i="11"/>
  <c r="W2341" i="11"/>
  <c r="AH2340" i="11"/>
  <c r="AB2340" i="11"/>
  <c r="W2340" i="11"/>
  <c r="AH2339" i="11"/>
  <c r="AB2339" i="11"/>
  <c r="W2339" i="11"/>
  <c r="AH2338" i="11"/>
  <c r="AB2338" i="11"/>
  <c r="W2338" i="11"/>
  <c r="AH2337" i="11"/>
  <c r="AB2337" i="11"/>
  <c r="W2337" i="11"/>
  <c r="AH2336" i="11"/>
  <c r="AB2336" i="11"/>
  <c r="W2336" i="11"/>
  <c r="AH2335" i="11"/>
  <c r="AB2335" i="11"/>
  <c r="W2335" i="11"/>
  <c r="AH2334" i="11"/>
  <c r="AB2334" i="11"/>
  <c r="W2334" i="11"/>
  <c r="AH2333" i="11"/>
  <c r="AB2333" i="11"/>
  <c r="W2333" i="11"/>
  <c r="AH2332" i="11"/>
  <c r="AB2332" i="11"/>
  <c r="W2332" i="11"/>
  <c r="AH2331" i="11"/>
  <c r="AB2331" i="11"/>
  <c r="W2331" i="11"/>
  <c r="AH2330" i="11"/>
  <c r="AB2330" i="11"/>
  <c r="W2330" i="11"/>
  <c r="AH2329" i="11"/>
  <c r="AB2329" i="11"/>
  <c r="W2329" i="11"/>
  <c r="AH2328" i="11"/>
  <c r="AB2328" i="11"/>
  <c r="W2328" i="11"/>
  <c r="AH2327" i="11"/>
  <c r="AB2327" i="11"/>
  <c r="W2327" i="11"/>
  <c r="AH2326" i="11"/>
  <c r="AB2326" i="11"/>
  <c r="W2326" i="11"/>
  <c r="AH2325" i="11"/>
  <c r="AB2325" i="11"/>
  <c r="W2325" i="11"/>
  <c r="AH2324" i="11"/>
  <c r="AB2324" i="11"/>
  <c r="W2324" i="11"/>
  <c r="AH2323" i="11"/>
  <c r="AB2323" i="11"/>
  <c r="W2323" i="11"/>
  <c r="AH2322" i="11"/>
  <c r="AB2322" i="11"/>
  <c r="W2322" i="11"/>
  <c r="AH2321" i="11"/>
  <c r="AB2321" i="11"/>
  <c r="W2321" i="11"/>
  <c r="AH2320" i="11"/>
  <c r="AB2320" i="11"/>
  <c r="W2320" i="11"/>
  <c r="AH2319" i="11"/>
  <c r="AB2319" i="11"/>
  <c r="W2319" i="11"/>
  <c r="AH2318" i="11"/>
  <c r="AB2318" i="11"/>
  <c r="W2318" i="11"/>
  <c r="AH2317" i="11"/>
  <c r="AB2317" i="11"/>
  <c r="W2317" i="11"/>
  <c r="AH2316" i="11"/>
  <c r="AB2316" i="11"/>
  <c r="W2316" i="11"/>
  <c r="AH2315" i="11"/>
  <c r="AB2315" i="11"/>
  <c r="W2315" i="11"/>
  <c r="AH2314" i="11"/>
  <c r="AB2314" i="11"/>
  <c r="W2314" i="11"/>
  <c r="AH2313" i="11"/>
  <c r="AB2313" i="11"/>
  <c r="W2313" i="11"/>
  <c r="AH2312" i="11"/>
  <c r="AB2312" i="11"/>
  <c r="W2312" i="11"/>
  <c r="AH2311" i="11"/>
  <c r="AB2311" i="11"/>
  <c r="W2311" i="11"/>
  <c r="AH2310" i="11"/>
  <c r="AB2310" i="11"/>
  <c r="W2310" i="11"/>
  <c r="AH2309" i="11"/>
  <c r="AB2309" i="11"/>
  <c r="W2309" i="11"/>
  <c r="AH2308" i="11"/>
  <c r="AB2308" i="11"/>
  <c r="W2308" i="11"/>
  <c r="AH2307" i="11"/>
  <c r="AB2307" i="11"/>
  <c r="W2307" i="11"/>
  <c r="AH2306" i="11"/>
  <c r="AB2306" i="11"/>
  <c r="W2306" i="11"/>
  <c r="AH2305" i="11"/>
  <c r="AB2305" i="11"/>
  <c r="W2305" i="11"/>
  <c r="AH2304" i="11"/>
  <c r="AB2304" i="11"/>
  <c r="W2304" i="11"/>
  <c r="AH2303" i="11"/>
  <c r="AB2303" i="11"/>
  <c r="W2303" i="11"/>
  <c r="AH2302" i="11"/>
  <c r="AB2302" i="11"/>
  <c r="W2302" i="11"/>
  <c r="AH2301" i="11"/>
  <c r="AB2301" i="11"/>
  <c r="W2301" i="11"/>
  <c r="AH2300" i="11"/>
  <c r="AB2300" i="11"/>
  <c r="W2300" i="11"/>
  <c r="AH2299" i="11"/>
  <c r="AB2299" i="11"/>
  <c r="W2299" i="11"/>
  <c r="AH2298" i="11"/>
  <c r="AB2298" i="11"/>
  <c r="W2298" i="11"/>
  <c r="AH2297" i="11"/>
  <c r="AB2297" i="11"/>
  <c r="W2297" i="11"/>
  <c r="AH2296" i="11"/>
  <c r="AB2296" i="11"/>
  <c r="W2296" i="11"/>
  <c r="AH2295" i="11"/>
  <c r="AB2295" i="11"/>
  <c r="W2295" i="11"/>
  <c r="AH2294" i="11"/>
  <c r="AB2294" i="11"/>
  <c r="W2294" i="11"/>
  <c r="AH2293" i="11"/>
  <c r="AB2293" i="11"/>
  <c r="W2293" i="11"/>
  <c r="AH2292" i="11"/>
  <c r="AB2292" i="11"/>
  <c r="W2292" i="11"/>
  <c r="AH2291" i="11"/>
  <c r="AB2291" i="11"/>
  <c r="W2291" i="11"/>
  <c r="AH2290" i="11"/>
  <c r="AB2290" i="11"/>
  <c r="W2290" i="11"/>
  <c r="AH2289" i="11"/>
  <c r="AB2289" i="11"/>
  <c r="W2289" i="11"/>
  <c r="AH2288" i="11"/>
  <c r="AB2288" i="11"/>
  <c r="W2288" i="11"/>
  <c r="AH2287" i="11"/>
  <c r="AB2287" i="11"/>
  <c r="W2287" i="11"/>
  <c r="AH2286" i="11"/>
  <c r="AB2286" i="11"/>
  <c r="W2286" i="11"/>
  <c r="AH2285" i="11"/>
  <c r="AB2285" i="11"/>
  <c r="W2285" i="11"/>
  <c r="AH2284" i="11"/>
  <c r="AB2284" i="11"/>
  <c r="W2284" i="11"/>
  <c r="AH2283" i="11"/>
  <c r="AB2283" i="11"/>
  <c r="W2283" i="11"/>
  <c r="AH2282" i="11"/>
  <c r="AB2282" i="11"/>
  <c r="W2282" i="11"/>
  <c r="AH2281" i="11"/>
  <c r="AB2281" i="11"/>
  <c r="W2281" i="11"/>
  <c r="AH2280" i="11"/>
  <c r="AB2280" i="11"/>
  <c r="W2280" i="11"/>
  <c r="AH2279" i="11"/>
  <c r="AB2279" i="11"/>
  <c r="W2279" i="11"/>
  <c r="AH2278" i="11"/>
  <c r="AB2278" i="11"/>
  <c r="W2278" i="11"/>
  <c r="AH2277" i="11"/>
  <c r="AB2277" i="11"/>
  <c r="W2277" i="11"/>
  <c r="AH2276" i="11"/>
  <c r="AB2276" i="11"/>
  <c r="W2276" i="11"/>
  <c r="AH2275" i="11"/>
  <c r="AB2275" i="11"/>
  <c r="W2275" i="11"/>
  <c r="AH2274" i="11"/>
  <c r="AB2274" i="11"/>
  <c r="W2274" i="11"/>
  <c r="AH2273" i="11"/>
  <c r="AB2273" i="11"/>
  <c r="W2273" i="11"/>
  <c r="AH2272" i="11"/>
  <c r="AB2272" i="11"/>
  <c r="W2272" i="11"/>
  <c r="AH2271" i="11"/>
  <c r="AB2271" i="11"/>
  <c r="W2271" i="11"/>
  <c r="AH2270" i="11"/>
  <c r="AB2270" i="11"/>
  <c r="W2270" i="11"/>
  <c r="AH2269" i="11"/>
  <c r="AB2269" i="11"/>
  <c r="W2269" i="11"/>
  <c r="AH2268" i="11"/>
  <c r="AB2268" i="11"/>
  <c r="W2268" i="11"/>
  <c r="AH2267" i="11"/>
  <c r="AB2267" i="11"/>
  <c r="W2267" i="11"/>
  <c r="AH2266" i="11"/>
  <c r="AB2266" i="11"/>
  <c r="W2266" i="11"/>
  <c r="AH2265" i="11"/>
  <c r="AB2265" i="11"/>
  <c r="W2265" i="11"/>
  <c r="AH2264" i="11"/>
  <c r="AB2264" i="11"/>
  <c r="W2264" i="11"/>
  <c r="AH2263" i="11"/>
  <c r="AB2263" i="11"/>
  <c r="W2263" i="11"/>
  <c r="AH2262" i="11"/>
  <c r="AB2262" i="11"/>
  <c r="W2262" i="11"/>
  <c r="AH2261" i="11"/>
  <c r="AB2261" i="11"/>
  <c r="W2261" i="11"/>
  <c r="AH2260" i="11"/>
  <c r="AB2260" i="11"/>
  <c r="W2260" i="11"/>
  <c r="AH2259" i="11"/>
  <c r="AB2259" i="11"/>
  <c r="W2259" i="11"/>
  <c r="AH2258" i="11"/>
  <c r="AB2258" i="11"/>
  <c r="W2258" i="11"/>
  <c r="AH2257" i="11"/>
  <c r="AB2257" i="11"/>
  <c r="W2257" i="11"/>
  <c r="AH2256" i="11"/>
  <c r="AB2256" i="11"/>
  <c r="W2256" i="11"/>
  <c r="AH2255" i="11"/>
  <c r="AB2255" i="11"/>
  <c r="W2255" i="11"/>
  <c r="AH2254" i="11"/>
  <c r="AB2254" i="11"/>
  <c r="W2254" i="11"/>
  <c r="AH2253" i="11"/>
  <c r="AB2253" i="11"/>
  <c r="W2253" i="11"/>
  <c r="AH2252" i="11"/>
  <c r="AB2252" i="11"/>
  <c r="W2252" i="11"/>
  <c r="AH2251" i="11"/>
  <c r="AB2251" i="11"/>
  <c r="W2251" i="11"/>
  <c r="AH2250" i="11"/>
  <c r="AB2250" i="11"/>
  <c r="W2250" i="11"/>
  <c r="AH2249" i="11"/>
  <c r="AB2249" i="11"/>
  <c r="W2249" i="11"/>
  <c r="AH2248" i="11"/>
  <c r="AB2248" i="11"/>
  <c r="W2248" i="11"/>
  <c r="AH2247" i="11"/>
  <c r="AB2247" i="11"/>
  <c r="W2247" i="11"/>
  <c r="AH2246" i="11"/>
  <c r="AB2246" i="11"/>
  <c r="W2246" i="11"/>
  <c r="AH2245" i="11"/>
  <c r="AB2245" i="11"/>
  <c r="W2245" i="11"/>
  <c r="AH2244" i="11"/>
  <c r="AB2244" i="11"/>
  <c r="W2244" i="11"/>
  <c r="AH2243" i="11"/>
  <c r="AB2243" i="11"/>
  <c r="W2243" i="11"/>
  <c r="AH2242" i="11"/>
  <c r="AB2242" i="11"/>
  <c r="W2242" i="11"/>
  <c r="AH2241" i="11"/>
  <c r="AB2241" i="11"/>
  <c r="W2241" i="11"/>
  <c r="AH2240" i="11"/>
  <c r="AB2240" i="11"/>
  <c r="W2240" i="11"/>
  <c r="AH2239" i="11"/>
  <c r="AB2239" i="11"/>
  <c r="W2239" i="11"/>
  <c r="AH2238" i="11"/>
  <c r="AB2238" i="11"/>
  <c r="W2238" i="11"/>
  <c r="AH2237" i="11"/>
  <c r="AB2237" i="11"/>
  <c r="W2237" i="11"/>
  <c r="AH2236" i="11"/>
  <c r="AB2236" i="11"/>
  <c r="W2236" i="11"/>
  <c r="AH2235" i="11"/>
  <c r="AB2235" i="11"/>
  <c r="W2235" i="11"/>
  <c r="AH2234" i="11"/>
  <c r="AB2234" i="11"/>
  <c r="W2234" i="11"/>
  <c r="AH2233" i="11"/>
  <c r="AB2233" i="11"/>
  <c r="W2233" i="11"/>
  <c r="AH2232" i="11"/>
  <c r="AB2232" i="11"/>
  <c r="W2232" i="11"/>
  <c r="AH2231" i="11"/>
  <c r="AB2231" i="11"/>
  <c r="W2231" i="11"/>
  <c r="AH2230" i="11"/>
  <c r="AB2230" i="11"/>
  <c r="W2230" i="11"/>
  <c r="AH2229" i="11"/>
  <c r="AB2229" i="11"/>
  <c r="W2229" i="11"/>
  <c r="AH2228" i="11"/>
  <c r="AB2228" i="11"/>
  <c r="W2228" i="11"/>
  <c r="AH2227" i="11"/>
  <c r="AB2227" i="11"/>
  <c r="W2227" i="11"/>
  <c r="AH2226" i="11"/>
  <c r="AB2226" i="11"/>
  <c r="W2226" i="11"/>
  <c r="AH2225" i="11"/>
  <c r="AB2225" i="11"/>
  <c r="W2225" i="11"/>
  <c r="AH2224" i="11"/>
  <c r="AB2224" i="11"/>
  <c r="W2224" i="11"/>
  <c r="AH2223" i="11"/>
  <c r="AB2223" i="11"/>
  <c r="W2223" i="11"/>
  <c r="AH2222" i="11"/>
  <c r="AB2222" i="11"/>
  <c r="W2222" i="11"/>
  <c r="AH2221" i="11"/>
  <c r="AB2221" i="11"/>
  <c r="W2221" i="11"/>
  <c r="AH2220" i="11"/>
  <c r="AB2220" i="11"/>
  <c r="W2220" i="11"/>
  <c r="AH2219" i="11"/>
  <c r="AB2219" i="11"/>
  <c r="W2219" i="11"/>
  <c r="AH2218" i="11"/>
  <c r="AB2218" i="11"/>
  <c r="W2218" i="11"/>
  <c r="AH2217" i="11"/>
  <c r="AB2217" i="11"/>
  <c r="W2217" i="11"/>
  <c r="AH2216" i="11"/>
  <c r="AB2216" i="11"/>
  <c r="W2216" i="11"/>
  <c r="AH2215" i="11"/>
  <c r="AB2215" i="11"/>
  <c r="W2215" i="11"/>
  <c r="AH2214" i="11"/>
  <c r="AB2214" i="11"/>
  <c r="W2214" i="11"/>
  <c r="AH2213" i="11"/>
  <c r="AB2213" i="11"/>
  <c r="W2213" i="11"/>
  <c r="AH2212" i="11"/>
  <c r="AB2212" i="11"/>
  <c r="W2212" i="11"/>
  <c r="AH2211" i="11"/>
  <c r="AB2211" i="11"/>
  <c r="W2211" i="11"/>
  <c r="AH2210" i="11"/>
  <c r="AB2210" i="11"/>
  <c r="W2210" i="11"/>
  <c r="AH2209" i="11"/>
  <c r="AB2209" i="11"/>
  <c r="W2209" i="11"/>
  <c r="AH2208" i="11"/>
  <c r="AB2208" i="11"/>
  <c r="W2208" i="11"/>
  <c r="AH2207" i="11"/>
  <c r="AB2207" i="11"/>
  <c r="W2207" i="11"/>
  <c r="AH2206" i="11"/>
  <c r="AB2206" i="11"/>
  <c r="W2206" i="11"/>
  <c r="AH2205" i="11"/>
  <c r="AB2205" i="11"/>
  <c r="W2205" i="11"/>
  <c r="AH2204" i="11"/>
  <c r="AB2204" i="11"/>
  <c r="W2204" i="11"/>
  <c r="AH2203" i="11"/>
  <c r="AB2203" i="11"/>
  <c r="W2203" i="11"/>
  <c r="AH2202" i="11"/>
  <c r="AB2202" i="11"/>
  <c r="W2202" i="11"/>
  <c r="AH2201" i="11"/>
  <c r="AB2201" i="11"/>
  <c r="W2201" i="11"/>
  <c r="AH2200" i="11"/>
  <c r="AB2200" i="11"/>
  <c r="W2200" i="11"/>
  <c r="AH2199" i="11"/>
  <c r="AB2199" i="11"/>
  <c r="W2199" i="11"/>
  <c r="AH2198" i="11"/>
  <c r="AB2198" i="11"/>
  <c r="W2198" i="11"/>
  <c r="AH2197" i="11"/>
  <c r="AB2197" i="11"/>
  <c r="W2197" i="11"/>
  <c r="AH2196" i="11"/>
  <c r="AB2196" i="11"/>
  <c r="W2196" i="11"/>
  <c r="AH2195" i="11"/>
  <c r="AB2195" i="11"/>
  <c r="W2195" i="11"/>
  <c r="AH2194" i="11"/>
  <c r="AB2194" i="11"/>
  <c r="W2194" i="11"/>
  <c r="AH2193" i="11"/>
  <c r="AB2193" i="11"/>
  <c r="W2193" i="11"/>
  <c r="AH2192" i="11"/>
  <c r="AB2192" i="11"/>
  <c r="W2192" i="11"/>
  <c r="AH2191" i="11"/>
  <c r="AB2191" i="11"/>
  <c r="W2191" i="11"/>
  <c r="AH2190" i="11"/>
  <c r="AB2190" i="11"/>
  <c r="W2190" i="11"/>
  <c r="AH2189" i="11"/>
  <c r="AB2189" i="11"/>
  <c r="W2189" i="11"/>
  <c r="AH2188" i="11"/>
  <c r="AB2188" i="11"/>
  <c r="W2188" i="11"/>
  <c r="AH2187" i="11"/>
  <c r="AB2187" i="11"/>
  <c r="W2187" i="11"/>
  <c r="AH2186" i="11"/>
  <c r="AB2186" i="11"/>
  <c r="W2186" i="11"/>
  <c r="AH2185" i="11"/>
  <c r="AB2185" i="11"/>
  <c r="W2185" i="11"/>
  <c r="AH2184" i="11"/>
  <c r="AB2184" i="11"/>
  <c r="W2184" i="11"/>
  <c r="AH2183" i="11"/>
  <c r="AB2183" i="11"/>
  <c r="W2183" i="11"/>
  <c r="AH2182" i="11"/>
  <c r="AB2182" i="11"/>
  <c r="W2182" i="11"/>
  <c r="AH2181" i="11"/>
  <c r="AB2181" i="11"/>
  <c r="W2181" i="11"/>
  <c r="AH2180" i="11"/>
  <c r="AB2180" i="11"/>
  <c r="W2180" i="11"/>
  <c r="AH2179" i="11"/>
  <c r="AB2179" i="11"/>
  <c r="W2179" i="11"/>
  <c r="AH2178" i="11"/>
  <c r="AB2178" i="11"/>
  <c r="W2178" i="11"/>
  <c r="AH2177" i="11"/>
  <c r="AB2177" i="11"/>
  <c r="W2177" i="11"/>
  <c r="AH2176" i="11"/>
  <c r="AB2176" i="11"/>
  <c r="W2176" i="11"/>
  <c r="AH2175" i="11"/>
  <c r="AB2175" i="11"/>
  <c r="W2175" i="11"/>
  <c r="AH2174" i="11"/>
  <c r="AB2174" i="11"/>
  <c r="W2174" i="11"/>
  <c r="AH2173" i="11"/>
  <c r="AB2173" i="11"/>
  <c r="W2173" i="11"/>
  <c r="AH2172" i="11"/>
  <c r="AB2172" i="11"/>
  <c r="W2172" i="11"/>
  <c r="AH2171" i="11"/>
  <c r="AB2171" i="11"/>
  <c r="W2171" i="11"/>
  <c r="AH2170" i="11"/>
  <c r="AB2170" i="11"/>
  <c r="W2170" i="11"/>
  <c r="AH2169" i="11"/>
  <c r="AB2169" i="11"/>
  <c r="W2169" i="11"/>
  <c r="AH2168" i="11"/>
  <c r="AB2168" i="11"/>
  <c r="W2168" i="11"/>
  <c r="AH2167" i="11"/>
  <c r="AB2167" i="11"/>
  <c r="W2167" i="11"/>
  <c r="AH2166" i="11"/>
  <c r="AB2166" i="11"/>
  <c r="W2166" i="11"/>
  <c r="AH2165" i="11"/>
  <c r="AB2165" i="11"/>
  <c r="W2165" i="11"/>
  <c r="AH2164" i="11"/>
  <c r="AB2164" i="11"/>
  <c r="W2164" i="11"/>
  <c r="AH2163" i="11"/>
  <c r="AB2163" i="11"/>
  <c r="W2163" i="11"/>
  <c r="AH2162" i="11"/>
  <c r="AB2162" i="11"/>
  <c r="W2162" i="11"/>
  <c r="AH2161" i="11"/>
  <c r="AB2161" i="11"/>
  <c r="W2161" i="11"/>
  <c r="AH2160" i="11"/>
  <c r="AB2160" i="11"/>
  <c r="W2160" i="11"/>
  <c r="AH2159" i="11"/>
  <c r="AB2159" i="11"/>
  <c r="W2159" i="11"/>
  <c r="AH2158" i="11"/>
  <c r="AB2158" i="11"/>
  <c r="W2158" i="11"/>
  <c r="AH2157" i="11"/>
  <c r="AB2157" i="11"/>
  <c r="W2157" i="11"/>
  <c r="AH2156" i="11"/>
  <c r="AB2156" i="11"/>
  <c r="W2156" i="11"/>
  <c r="AH2155" i="11"/>
  <c r="AB2155" i="11"/>
  <c r="W2155" i="11"/>
  <c r="AH2154" i="11"/>
  <c r="AB2154" i="11"/>
  <c r="W2154" i="11"/>
  <c r="AH2153" i="11"/>
  <c r="AB2153" i="11"/>
  <c r="W2153" i="11"/>
  <c r="AH2152" i="11"/>
  <c r="AB2152" i="11"/>
  <c r="W2152" i="11"/>
  <c r="AH2151" i="11"/>
  <c r="AB2151" i="11"/>
  <c r="W2151" i="11"/>
  <c r="AH2150" i="11"/>
  <c r="AB2150" i="11"/>
  <c r="W2150" i="11"/>
  <c r="AH2149" i="11"/>
  <c r="AB2149" i="11"/>
  <c r="W2149" i="11"/>
  <c r="AH2148" i="11"/>
  <c r="AB2148" i="11"/>
  <c r="W2148" i="11"/>
  <c r="AH2147" i="11"/>
  <c r="AB2147" i="11"/>
  <c r="W2147" i="11"/>
  <c r="AH2146" i="11"/>
  <c r="AB2146" i="11"/>
  <c r="W2146" i="11"/>
  <c r="AH2145" i="11"/>
  <c r="AB2145" i="11"/>
  <c r="W2145" i="11"/>
  <c r="AH2144" i="11"/>
  <c r="AB2144" i="11"/>
  <c r="W2144" i="11"/>
  <c r="AH2143" i="11"/>
  <c r="AB2143" i="11"/>
  <c r="W2143" i="11"/>
  <c r="AH2142" i="11"/>
  <c r="AB2142" i="11"/>
  <c r="W2142" i="11"/>
  <c r="AH2141" i="11"/>
  <c r="AB2141" i="11"/>
  <c r="W2141" i="11"/>
  <c r="AH2140" i="11"/>
  <c r="AB2140" i="11"/>
  <c r="W2140" i="11"/>
  <c r="AH2139" i="11"/>
  <c r="AB2139" i="11"/>
  <c r="W2139" i="11"/>
  <c r="AH2138" i="11"/>
  <c r="AB2138" i="11"/>
  <c r="W2138" i="11"/>
  <c r="AH2137" i="11"/>
  <c r="AB2137" i="11"/>
  <c r="W2137" i="11"/>
  <c r="AH2136" i="11"/>
  <c r="AB2136" i="11"/>
  <c r="W2136" i="11"/>
  <c r="AH2135" i="11"/>
  <c r="AB2135" i="11"/>
  <c r="W2135" i="11"/>
  <c r="AH2134" i="11"/>
  <c r="AB2134" i="11"/>
  <c r="W2134" i="11"/>
  <c r="AH2133" i="11"/>
  <c r="AB2133" i="11"/>
  <c r="W2133" i="11"/>
  <c r="AH2132" i="11"/>
  <c r="AB2132" i="11"/>
  <c r="W2132" i="11"/>
  <c r="AH2131" i="11"/>
  <c r="AB2131" i="11"/>
  <c r="W2131" i="11"/>
  <c r="AH2130" i="11"/>
  <c r="AB2130" i="11"/>
  <c r="W2130" i="11"/>
  <c r="AH2129" i="11"/>
  <c r="AB2129" i="11"/>
  <c r="W2129" i="11"/>
  <c r="AH2128" i="11"/>
  <c r="AB2128" i="11"/>
  <c r="W2128" i="11"/>
  <c r="AH2127" i="11"/>
  <c r="AB2127" i="11"/>
  <c r="W2127" i="11"/>
  <c r="AH2126" i="11"/>
  <c r="AB2126" i="11"/>
  <c r="W2126" i="11"/>
  <c r="AH2125" i="11"/>
  <c r="AB2125" i="11"/>
  <c r="W2125" i="11"/>
  <c r="AH2124" i="11"/>
  <c r="AB2124" i="11"/>
  <c r="W2124" i="11"/>
  <c r="AH2123" i="11"/>
  <c r="AB2123" i="11"/>
  <c r="W2123" i="11"/>
  <c r="AH2122" i="11"/>
  <c r="AB2122" i="11"/>
  <c r="W2122" i="11"/>
  <c r="AH2121" i="11"/>
  <c r="AB2121" i="11"/>
  <c r="W2121" i="11"/>
  <c r="AH2120" i="11"/>
  <c r="AB2120" i="11"/>
  <c r="W2120" i="11"/>
  <c r="AH2119" i="11"/>
  <c r="AB2119" i="11"/>
  <c r="W2119" i="11"/>
  <c r="AH2118" i="11"/>
  <c r="AB2118" i="11"/>
  <c r="W2118" i="11"/>
  <c r="AH2117" i="11"/>
  <c r="AB2117" i="11"/>
  <c r="W2117" i="11"/>
  <c r="AH2116" i="11"/>
  <c r="AB2116" i="11"/>
  <c r="W2116" i="11"/>
  <c r="AH2115" i="11"/>
  <c r="AB2115" i="11"/>
  <c r="W2115" i="11"/>
  <c r="AH2114" i="11"/>
  <c r="AB2114" i="11"/>
  <c r="W2114" i="11"/>
  <c r="AH2113" i="11"/>
  <c r="AB2113" i="11"/>
  <c r="W2113" i="11"/>
  <c r="AH2112" i="11"/>
  <c r="AB2112" i="11"/>
  <c r="W2112" i="11"/>
  <c r="AH2111" i="11"/>
  <c r="AB2111" i="11"/>
  <c r="W2111" i="11"/>
  <c r="AH2110" i="11"/>
  <c r="AB2110" i="11"/>
  <c r="W2110" i="11"/>
  <c r="AH2109" i="11"/>
  <c r="AB2109" i="11"/>
  <c r="W2109" i="11"/>
  <c r="AH2108" i="11"/>
  <c r="AB2108" i="11"/>
  <c r="W2108" i="11"/>
  <c r="AH2107" i="11"/>
  <c r="AB2107" i="11"/>
  <c r="W2107" i="11"/>
  <c r="AH2106" i="11"/>
  <c r="AB2106" i="11"/>
  <c r="W2106" i="11"/>
  <c r="AH2105" i="11"/>
  <c r="AB2105" i="11"/>
  <c r="W2105" i="11"/>
  <c r="AH2104" i="11"/>
  <c r="AB2104" i="11"/>
  <c r="W2104" i="11"/>
  <c r="AH2103" i="11"/>
  <c r="AB2103" i="11"/>
  <c r="W2103" i="11"/>
  <c r="AH2102" i="11"/>
  <c r="AB2102" i="11"/>
  <c r="W2102" i="11"/>
  <c r="AH2101" i="11"/>
  <c r="AB2101" i="11"/>
  <c r="W2101" i="11"/>
  <c r="AH2100" i="11"/>
  <c r="AB2100" i="11"/>
  <c r="W2100" i="11"/>
  <c r="AH2099" i="11"/>
  <c r="AB2099" i="11"/>
  <c r="W2099" i="11"/>
  <c r="AH2098" i="11"/>
  <c r="AB2098" i="11"/>
  <c r="W2098" i="11"/>
  <c r="AH2097" i="11"/>
  <c r="AB2097" i="11"/>
  <c r="W2097" i="11"/>
  <c r="AH2096" i="11"/>
  <c r="AB2096" i="11"/>
  <c r="W2096" i="11"/>
  <c r="AH2095" i="11"/>
  <c r="AB2095" i="11"/>
  <c r="W2095" i="11"/>
  <c r="AH2094" i="11"/>
  <c r="AB2094" i="11"/>
  <c r="W2094" i="11"/>
  <c r="AH2093" i="11"/>
  <c r="AB2093" i="11"/>
  <c r="W2093" i="11"/>
  <c r="AH2092" i="11"/>
  <c r="AB2092" i="11"/>
  <c r="W2092" i="11"/>
  <c r="AH2091" i="11"/>
  <c r="AB2091" i="11"/>
  <c r="W2091" i="11"/>
  <c r="AH2090" i="11"/>
  <c r="AB2090" i="11"/>
  <c r="W2090" i="11"/>
  <c r="AH2089" i="11"/>
  <c r="AB2089" i="11"/>
  <c r="W2089" i="11"/>
  <c r="AH2088" i="11"/>
  <c r="AB2088" i="11"/>
  <c r="W2088" i="11"/>
  <c r="AH2087" i="11"/>
  <c r="AB2087" i="11"/>
  <c r="W2087" i="11"/>
  <c r="AH2086" i="11"/>
  <c r="AB2086" i="11"/>
  <c r="W2086" i="11"/>
  <c r="AH2085" i="11"/>
  <c r="AB2085" i="11"/>
  <c r="W2085" i="11"/>
  <c r="AH2084" i="11"/>
  <c r="AB2084" i="11"/>
  <c r="W2084" i="11"/>
  <c r="AH2083" i="11"/>
  <c r="AB2083" i="11"/>
  <c r="W2083" i="11"/>
  <c r="AH2082" i="11"/>
  <c r="AB2082" i="11"/>
  <c r="W2082" i="11"/>
  <c r="AH2081" i="11"/>
  <c r="AB2081" i="11"/>
  <c r="W2081" i="11"/>
  <c r="AH2080" i="11"/>
  <c r="AB2080" i="11"/>
  <c r="W2080" i="11"/>
  <c r="AH2079" i="11"/>
  <c r="AB2079" i="11"/>
  <c r="W2079" i="11"/>
  <c r="AH2078" i="11"/>
  <c r="AB2078" i="11"/>
  <c r="W2078" i="11"/>
  <c r="AH2077" i="11"/>
  <c r="AB2077" i="11"/>
  <c r="W2077" i="11"/>
  <c r="AH2076" i="11"/>
  <c r="AB2076" i="11"/>
  <c r="W2076" i="11"/>
  <c r="AH2075" i="11"/>
  <c r="AB2075" i="11"/>
  <c r="W2075" i="11"/>
  <c r="AH2074" i="11"/>
  <c r="AB2074" i="11"/>
  <c r="W2074" i="11"/>
  <c r="AH2073" i="11"/>
  <c r="AB2073" i="11"/>
  <c r="W2073" i="11"/>
  <c r="AH2072" i="11"/>
  <c r="AB2072" i="11"/>
  <c r="W2072" i="11"/>
  <c r="AH2071" i="11"/>
  <c r="AB2071" i="11"/>
  <c r="W2071" i="11"/>
  <c r="AH2070" i="11"/>
  <c r="AB2070" i="11"/>
  <c r="W2070" i="11"/>
  <c r="AH2069" i="11"/>
  <c r="AB2069" i="11"/>
  <c r="W2069" i="11"/>
  <c r="AH2068" i="11"/>
  <c r="AB2068" i="11"/>
  <c r="W2068" i="11"/>
  <c r="AH2067" i="11"/>
  <c r="AB2067" i="11"/>
  <c r="W2067" i="11"/>
  <c r="AH2066" i="11"/>
  <c r="AB2066" i="11"/>
  <c r="W2066" i="11"/>
  <c r="AH2065" i="11"/>
  <c r="AB2065" i="11"/>
  <c r="W2065" i="11"/>
  <c r="AH2064" i="11"/>
  <c r="AB2064" i="11"/>
  <c r="W2064" i="11"/>
  <c r="AH2063" i="11"/>
  <c r="AB2063" i="11"/>
  <c r="W2063" i="11"/>
  <c r="AH2062" i="11"/>
  <c r="AB2062" i="11"/>
  <c r="W2062" i="11"/>
  <c r="AH2061" i="11"/>
  <c r="AB2061" i="11"/>
  <c r="W2061" i="11"/>
  <c r="AH2060" i="11"/>
  <c r="AB2060" i="11"/>
  <c r="W2060" i="11"/>
  <c r="AH2059" i="11"/>
  <c r="AB2059" i="11"/>
  <c r="W2059" i="11"/>
  <c r="AH2058" i="11"/>
  <c r="AB2058" i="11"/>
  <c r="W2058" i="11"/>
  <c r="AH2057" i="11"/>
  <c r="AB2057" i="11"/>
  <c r="W2057" i="11"/>
  <c r="AH2056" i="11"/>
  <c r="AB2056" i="11"/>
  <c r="W2056" i="11"/>
  <c r="AH2055" i="11"/>
  <c r="AB2055" i="11"/>
  <c r="W2055" i="11"/>
  <c r="AH2054" i="11"/>
  <c r="AB2054" i="11"/>
  <c r="W2054" i="11"/>
  <c r="AH2053" i="11"/>
  <c r="AB2053" i="11"/>
  <c r="W2053" i="11"/>
  <c r="AH2052" i="11"/>
  <c r="AB2052" i="11"/>
  <c r="W2052" i="11"/>
  <c r="AH2051" i="11"/>
  <c r="AB2051" i="11"/>
  <c r="W2051" i="11"/>
  <c r="AH2050" i="11"/>
  <c r="AB2050" i="11"/>
  <c r="W2050" i="11"/>
  <c r="AH2049" i="11"/>
  <c r="AB2049" i="11"/>
  <c r="W2049" i="11"/>
  <c r="AH2048" i="11"/>
  <c r="AB2048" i="11"/>
  <c r="W2048" i="11"/>
  <c r="AH2047" i="11"/>
  <c r="AB2047" i="11"/>
  <c r="W2047" i="11"/>
  <c r="AH2046" i="11"/>
  <c r="AB2046" i="11"/>
  <c r="W2046" i="11"/>
  <c r="AH2045" i="11"/>
  <c r="AB2045" i="11"/>
  <c r="W2045" i="11"/>
  <c r="AH2044" i="11"/>
  <c r="AB2044" i="11"/>
  <c r="W2044" i="11"/>
  <c r="AH2043" i="11"/>
  <c r="AB2043" i="11"/>
  <c r="W2043" i="11"/>
  <c r="AH2042" i="11"/>
  <c r="AB2042" i="11"/>
  <c r="W2042" i="11"/>
  <c r="AH2041" i="11"/>
  <c r="AB2041" i="11"/>
  <c r="W2041" i="11"/>
  <c r="AH2040" i="11"/>
  <c r="AB2040" i="11"/>
  <c r="W2040" i="11"/>
  <c r="AH2039" i="11"/>
  <c r="AB2039" i="11"/>
  <c r="W2039" i="11"/>
  <c r="AH2038" i="11"/>
  <c r="AB2038" i="11"/>
  <c r="W2038" i="11"/>
  <c r="AH2037" i="11"/>
  <c r="AB2037" i="11"/>
  <c r="W2037" i="11"/>
  <c r="AH2036" i="11"/>
  <c r="AB2036" i="11"/>
  <c r="W2036" i="11"/>
  <c r="AH2035" i="11"/>
  <c r="AB2035" i="11"/>
  <c r="W2035" i="11"/>
  <c r="AH2034" i="11"/>
  <c r="AB2034" i="11"/>
  <c r="W2034" i="11"/>
  <c r="AH2033" i="11"/>
  <c r="AB2033" i="11"/>
  <c r="W2033" i="11"/>
  <c r="AH2032" i="11"/>
  <c r="AB2032" i="11"/>
  <c r="W2032" i="11"/>
  <c r="AH2031" i="11"/>
  <c r="AB2031" i="11"/>
  <c r="W2031" i="11"/>
  <c r="AH2030" i="11"/>
  <c r="AB2030" i="11"/>
  <c r="W2030" i="11"/>
  <c r="AH2029" i="11"/>
  <c r="AB2029" i="11"/>
  <c r="W2029" i="11"/>
  <c r="AH2028" i="11"/>
  <c r="AB2028" i="11"/>
  <c r="W2028" i="11"/>
  <c r="AH2027" i="11"/>
  <c r="AB2027" i="11"/>
  <c r="W2027" i="11"/>
  <c r="AH2026" i="11"/>
  <c r="AB2026" i="11"/>
  <c r="W2026" i="11"/>
  <c r="AH2025" i="11"/>
  <c r="AB2025" i="11"/>
  <c r="W2025" i="11"/>
  <c r="AH2024" i="11"/>
  <c r="AB2024" i="11"/>
  <c r="W2024" i="11"/>
  <c r="AH2023" i="11"/>
  <c r="AB2023" i="11"/>
  <c r="W2023" i="11"/>
  <c r="AH2022" i="11"/>
  <c r="AB2022" i="11"/>
  <c r="W2022" i="11"/>
  <c r="AH2021" i="11"/>
  <c r="AB2021" i="11"/>
  <c r="W2021" i="11"/>
  <c r="AH2020" i="11"/>
  <c r="AB2020" i="11"/>
  <c r="W2020" i="11"/>
  <c r="AH2019" i="11"/>
  <c r="AB2019" i="11"/>
  <c r="W2019" i="11"/>
  <c r="AH2018" i="11"/>
  <c r="AB2018" i="11"/>
  <c r="W2018" i="11"/>
  <c r="AH2017" i="11"/>
  <c r="AB2017" i="11"/>
  <c r="W2017" i="11"/>
  <c r="AH2016" i="11"/>
  <c r="AB2016" i="11"/>
  <c r="W2016" i="11"/>
  <c r="AH2015" i="11"/>
  <c r="AB2015" i="11"/>
  <c r="W2015" i="11"/>
  <c r="AH2014" i="11"/>
  <c r="AB2014" i="11"/>
  <c r="W2014" i="11"/>
  <c r="AH2013" i="11"/>
  <c r="AB2013" i="11"/>
  <c r="W2013" i="11"/>
  <c r="AH2012" i="11"/>
  <c r="AB2012" i="11"/>
  <c r="W2012" i="11"/>
  <c r="AH2011" i="11"/>
  <c r="AB2011" i="11"/>
  <c r="W2011" i="11"/>
  <c r="AH2010" i="11"/>
  <c r="AB2010" i="11"/>
  <c r="W2010" i="11"/>
  <c r="AH2009" i="11"/>
  <c r="AB2009" i="11"/>
  <c r="W2009" i="11"/>
  <c r="AH2008" i="11"/>
  <c r="AB2008" i="11"/>
  <c r="W2008" i="11"/>
  <c r="AH2007" i="11"/>
  <c r="AB2007" i="11"/>
  <c r="W2007" i="11"/>
  <c r="AH2006" i="11"/>
  <c r="AB2006" i="11"/>
  <c r="W2006" i="11"/>
  <c r="AH2005" i="11"/>
  <c r="AB2005" i="11"/>
  <c r="W2005" i="11"/>
  <c r="AH2004" i="11"/>
  <c r="AB2004" i="11"/>
  <c r="W2004" i="11"/>
  <c r="AH2003" i="11"/>
  <c r="AB2003" i="11"/>
  <c r="W2003" i="11"/>
  <c r="AH2002" i="11"/>
  <c r="AB2002" i="11"/>
  <c r="W2002" i="11"/>
  <c r="AH2001" i="11"/>
  <c r="AB2001" i="11"/>
  <c r="W2001" i="11"/>
  <c r="AH2000" i="11"/>
  <c r="AB2000" i="11"/>
  <c r="W2000" i="11"/>
  <c r="AH1999" i="11"/>
  <c r="AB1999" i="11"/>
  <c r="W1999" i="11"/>
  <c r="AH1998" i="11"/>
  <c r="AB1998" i="11"/>
  <c r="W1998" i="11"/>
  <c r="AH1997" i="11"/>
  <c r="AB1997" i="11"/>
  <c r="W1997" i="11"/>
  <c r="AH1996" i="11"/>
  <c r="AB1996" i="11"/>
  <c r="W1996" i="11"/>
  <c r="AH1995" i="11"/>
  <c r="AB1995" i="11"/>
  <c r="W1995" i="11"/>
  <c r="AH1994" i="11"/>
  <c r="AB1994" i="11"/>
  <c r="W1994" i="11"/>
  <c r="AH1993" i="11"/>
  <c r="AB1993" i="11"/>
  <c r="W1993" i="11"/>
  <c r="AH1992" i="11"/>
  <c r="AB1992" i="11"/>
  <c r="W1992" i="11"/>
  <c r="AH1991" i="11"/>
  <c r="AB1991" i="11"/>
  <c r="W1991" i="11"/>
  <c r="AH1990" i="11"/>
  <c r="AB1990" i="11"/>
  <c r="W1990" i="11"/>
  <c r="AH1989" i="11"/>
  <c r="AB1989" i="11"/>
  <c r="W1989" i="11"/>
  <c r="AH1988" i="11"/>
  <c r="AB1988" i="11"/>
  <c r="W1988" i="11"/>
  <c r="AH1987" i="11"/>
  <c r="AB1987" i="11"/>
  <c r="W1987" i="11"/>
  <c r="AH1986" i="11"/>
  <c r="AB1986" i="11"/>
  <c r="W1986" i="11"/>
  <c r="AH1985" i="11"/>
  <c r="AB1985" i="11"/>
  <c r="W1985" i="11"/>
  <c r="AH1984" i="11"/>
  <c r="AB1984" i="11"/>
  <c r="W1984" i="11"/>
  <c r="AH1983" i="11"/>
  <c r="AB1983" i="11"/>
  <c r="W1983" i="11"/>
  <c r="AH1982" i="11"/>
  <c r="AB1982" i="11"/>
  <c r="W1982" i="11"/>
  <c r="AH1981" i="11"/>
  <c r="AB1981" i="11"/>
  <c r="W1981" i="11"/>
  <c r="AH1980" i="11"/>
  <c r="AB1980" i="11"/>
  <c r="W1980" i="11"/>
  <c r="AH1979" i="11"/>
  <c r="AB1979" i="11"/>
  <c r="W1979" i="11"/>
  <c r="AH1978" i="11"/>
  <c r="AB1978" i="11"/>
  <c r="W1978" i="11"/>
  <c r="AH1977" i="11"/>
  <c r="AB1977" i="11"/>
  <c r="W1977" i="11"/>
  <c r="AH1976" i="11"/>
  <c r="AB1976" i="11"/>
  <c r="W1976" i="11"/>
  <c r="AH1975" i="11"/>
  <c r="AB1975" i="11"/>
  <c r="W1975" i="11"/>
  <c r="AH1974" i="11"/>
  <c r="AB1974" i="11"/>
  <c r="W1974" i="11"/>
  <c r="AH1973" i="11"/>
  <c r="AB1973" i="11"/>
  <c r="W1973" i="11"/>
  <c r="AH1972" i="11"/>
  <c r="AB1972" i="11"/>
  <c r="W1972" i="11"/>
  <c r="AH1971" i="11"/>
  <c r="AB1971" i="11"/>
  <c r="W1971" i="11"/>
  <c r="AH1970" i="11"/>
  <c r="AB1970" i="11"/>
  <c r="W1970" i="11"/>
  <c r="AH1969" i="11"/>
  <c r="AB1969" i="11"/>
  <c r="W1969" i="11"/>
  <c r="AH1968" i="11"/>
  <c r="AB1968" i="11"/>
  <c r="W1968" i="11"/>
  <c r="AH1967" i="11"/>
  <c r="AB1967" i="11"/>
  <c r="W1967" i="11"/>
  <c r="AH1966" i="11"/>
  <c r="AB1966" i="11"/>
  <c r="W1966" i="11"/>
  <c r="AH1965" i="11"/>
  <c r="AB1965" i="11"/>
  <c r="W1965" i="11"/>
  <c r="AH1964" i="11"/>
  <c r="AB1964" i="11"/>
  <c r="W1964" i="11"/>
  <c r="AH1963" i="11"/>
  <c r="AB1963" i="11"/>
  <c r="W1963" i="11"/>
  <c r="AH1962" i="11"/>
  <c r="AB1962" i="11"/>
  <c r="W1962" i="11"/>
  <c r="AH1961" i="11"/>
  <c r="AB1961" i="11"/>
  <c r="W1961" i="11"/>
  <c r="AH1960" i="11"/>
  <c r="AB1960" i="11"/>
  <c r="W1960" i="11"/>
  <c r="AH1959" i="11"/>
  <c r="AB1959" i="11"/>
  <c r="W1959" i="11"/>
  <c r="AH1958" i="11"/>
  <c r="AB1958" i="11"/>
  <c r="W1958" i="11"/>
  <c r="AH1957" i="11"/>
  <c r="AB1957" i="11"/>
  <c r="W1957" i="11"/>
  <c r="AH1956" i="11"/>
  <c r="AB1956" i="11"/>
  <c r="W1956" i="11"/>
  <c r="AH1955" i="11"/>
  <c r="AB1955" i="11"/>
  <c r="W1955" i="11"/>
  <c r="AH1954" i="11"/>
  <c r="AB1954" i="11"/>
  <c r="W1954" i="11"/>
  <c r="AH1953" i="11"/>
  <c r="AB1953" i="11"/>
  <c r="W1953" i="11"/>
  <c r="AH1952" i="11"/>
  <c r="AB1952" i="11"/>
  <c r="W1952" i="11"/>
  <c r="AH1951" i="11"/>
  <c r="AB1951" i="11"/>
  <c r="W1951" i="11"/>
  <c r="AH1950" i="11"/>
  <c r="AB1950" i="11"/>
  <c r="W1950" i="11"/>
  <c r="AH1949" i="11"/>
  <c r="AB1949" i="11"/>
  <c r="W1949" i="11"/>
  <c r="AH1948" i="11"/>
  <c r="AB1948" i="11"/>
  <c r="W1948" i="11"/>
  <c r="AH1947" i="11"/>
  <c r="AB1947" i="11"/>
  <c r="W1947" i="11"/>
  <c r="AH1946" i="11"/>
  <c r="AB1946" i="11"/>
  <c r="W1946" i="11"/>
  <c r="AH1945" i="11"/>
  <c r="AB1945" i="11"/>
  <c r="W1945" i="11"/>
  <c r="AH1944" i="11"/>
  <c r="AB1944" i="11"/>
  <c r="W1944" i="11"/>
  <c r="AH1943" i="11"/>
  <c r="AB1943" i="11"/>
  <c r="W1943" i="11"/>
  <c r="AH1942" i="11"/>
  <c r="AB1942" i="11"/>
  <c r="W1942" i="11"/>
  <c r="AH1941" i="11"/>
  <c r="AB1941" i="11"/>
  <c r="W1941" i="11"/>
  <c r="AH1940" i="11"/>
  <c r="AB1940" i="11"/>
  <c r="W1940" i="11"/>
  <c r="AH1939" i="11"/>
  <c r="AB1939" i="11"/>
  <c r="W1939" i="11"/>
  <c r="AH1938" i="11"/>
  <c r="AB1938" i="11"/>
  <c r="W1938" i="11"/>
  <c r="AH1937" i="11"/>
  <c r="AB1937" i="11"/>
  <c r="W1937" i="11"/>
  <c r="AH1936" i="11"/>
  <c r="AB1936" i="11"/>
  <c r="W1936" i="11"/>
  <c r="AH1935" i="11"/>
  <c r="AB1935" i="11"/>
  <c r="W1935" i="11"/>
  <c r="AH1934" i="11"/>
  <c r="AB1934" i="11"/>
  <c r="W1934" i="11"/>
  <c r="AH1933" i="11"/>
  <c r="AB1933" i="11"/>
  <c r="W1933" i="11"/>
  <c r="AH1932" i="11"/>
  <c r="AB1932" i="11"/>
  <c r="W1932" i="11"/>
  <c r="AH1931" i="11"/>
  <c r="AB1931" i="11"/>
  <c r="W1931" i="11"/>
  <c r="AH1930" i="11"/>
  <c r="AB1930" i="11"/>
  <c r="W1930" i="11"/>
  <c r="AH1929" i="11"/>
  <c r="AB1929" i="11"/>
  <c r="W1929" i="11"/>
  <c r="AH1928" i="11"/>
  <c r="AB1928" i="11"/>
  <c r="W1928" i="11"/>
  <c r="AH1927" i="11"/>
  <c r="AB1927" i="11"/>
  <c r="W1927" i="11"/>
  <c r="AH1926" i="11"/>
  <c r="AB1926" i="11"/>
  <c r="W1926" i="11"/>
  <c r="AH1925" i="11"/>
  <c r="AB1925" i="11"/>
  <c r="W1925" i="11"/>
  <c r="AH1924" i="11"/>
  <c r="AB1924" i="11"/>
  <c r="W1924" i="11"/>
  <c r="AH1923" i="11"/>
  <c r="AB1923" i="11"/>
  <c r="W1923" i="11"/>
  <c r="AH1922" i="11"/>
  <c r="AB1922" i="11"/>
  <c r="W1922" i="11"/>
  <c r="AH1921" i="11"/>
  <c r="AB1921" i="11"/>
  <c r="W1921" i="11"/>
  <c r="AH1920" i="11"/>
  <c r="AB1920" i="11"/>
  <c r="W1920" i="11"/>
  <c r="AH1919" i="11"/>
  <c r="AB1919" i="11"/>
  <c r="W1919" i="11"/>
  <c r="AH1918" i="11"/>
  <c r="AB1918" i="11"/>
  <c r="W1918" i="11"/>
  <c r="AH1917" i="11"/>
  <c r="AB1917" i="11"/>
  <c r="W1917" i="11"/>
  <c r="AH1916" i="11"/>
  <c r="AB1916" i="11"/>
  <c r="W1916" i="11"/>
  <c r="AH1915" i="11"/>
  <c r="AB1915" i="11"/>
  <c r="W1915" i="11"/>
  <c r="AH1914" i="11"/>
  <c r="AB1914" i="11"/>
  <c r="W1914" i="11"/>
  <c r="AH1913" i="11"/>
  <c r="AB1913" i="11"/>
  <c r="W1913" i="11"/>
  <c r="AH1912" i="11"/>
  <c r="AB1912" i="11"/>
  <c r="W1912" i="11"/>
  <c r="AH1911" i="11"/>
  <c r="AB1911" i="11"/>
  <c r="W1911" i="11"/>
  <c r="AH1910" i="11"/>
  <c r="AB1910" i="11"/>
  <c r="W1910" i="11"/>
  <c r="AH1909" i="11"/>
  <c r="AB1909" i="11"/>
  <c r="W1909" i="11"/>
  <c r="AH1908" i="11"/>
  <c r="AB1908" i="11"/>
  <c r="W1908" i="11"/>
  <c r="AH1907" i="11"/>
  <c r="AB1907" i="11"/>
  <c r="W1907" i="11"/>
  <c r="AH1906" i="11"/>
  <c r="AB1906" i="11"/>
  <c r="W1906" i="11"/>
  <c r="AH1905" i="11"/>
  <c r="AB1905" i="11"/>
  <c r="W1905" i="11"/>
  <c r="AH1904" i="11"/>
  <c r="AB1904" i="11"/>
  <c r="W1904" i="11"/>
  <c r="AH1903" i="11"/>
  <c r="AB1903" i="11"/>
  <c r="W1903" i="11"/>
  <c r="AH1902" i="11"/>
  <c r="AB1902" i="11"/>
  <c r="W1902" i="11"/>
  <c r="AH1901" i="11"/>
  <c r="AB1901" i="11"/>
  <c r="W1901" i="11"/>
  <c r="AH1900" i="11"/>
  <c r="AB1900" i="11"/>
  <c r="W1900" i="11"/>
  <c r="AH1899" i="11"/>
  <c r="AB1899" i="11"/>
  <c r="W1899" i="11"/>
  <c r="AH1898" i="11"/>
  <c r="AB1898" i="11"/>
  <c r="W1898" i="11"/>
  <c r="AH1897" i="11"/>
  <c r="AB1897" i="11"/>
  <c r="W1897" i="11"/>
  <c r="AH1896" i="11"/>
  <c r="AB1896" i="11"/>
  <c r="W1896" i="11"/>
  <c r="AH1895" i="11"/>
  <c r="AB1895" i="11"/>
  <c r="W1895" i="11"/>
  <c r="AH1894" i="11"/>
  <c r="AB1894" i="11"/>
  <c r="W1894" i="11"/>
  <c r="AH1893" i="11"/>
  <c r="AB1893" i="11"/>
  <c r="W1893" i="11"/>
  <c r="AH1892" i="11"/>
  <c r="AB1892" i="11"/>
  <c r="W1892" i="11"/>
  <c r="AH1891" i="11"/>
  <c r="AB1891" i="11"/>
  <c r="W1891" i="11"/>
  <c r="AH1890" i="11"/>
  <c r="AB1890" i="11"/>
  <c r="W1890" i="11"/>
  <c r="AH1889" i="11"/>
  <c r="AB1889" i="11"/>
  <c r="W1889" i="11"/>
  <c r="AH1888" i="11"/>
  <c r="AB1888" i="11"/>
  <c r="W1888" i="11"/>
  <c r="AH1887" i="11"/>
  <c r="AB1887" i="11"/>
  <c r="W1887" i="11"/>
  <c r="AH1886" i="11"/>
  <c r="AB1886" i="11"/>
  <c r="W1886" i="11"/>
  <c r="AH1885" i="11"/>
  <c r="AB1885" i="11"/>
  <c r="W1885" i="11"/>
  <c r="AH1884" i="11"/>
  <c r="AB1884" i="11"/>
  <c r="W1884" i="11"/>
  <c r="AH1883" i="11"/>
  <c r="AB1883" i="11"/>
  <c r="W1883" i="11"/>
  <c r="AH1882" i="11"/>
  <c r="AB1882" i="11"/>
  <c r="W1882" i="11"/>
  <c r="AH1881" i="11"/>
  <c r="AB1881" i="11"/>
  <c r="W1881" i="11"/>
  <c r="AH1880" i="11"/>
  <c r="AB1880" i="11"/>
  <c r="W1880" i="11"/>
  <c r="AH1879" i="11"/>
  <c r="AB1879" i="11"/>
  <c r="W1879" i="11"/>
  <c r="AH1878" i="11"/>
  <c r="AB1878" i="11"/>
  <c r="W1878" i="11"/>
  <c r="AH1877" i="11"/>
  <c r="AB1877" i="11"/>
  <c r="W1877" i="11"/>
  <c r="AH1876" i="11"/>
  <c r="AB1876" i="11"/>
  <c r="W1876" i="11"/>
  <c r="AH1875" i="11"/>
  <c r="AB1875" i="11"/>
  <c r="W1875" i="11"/>
  <c r="AH1874" i="11"/>
  <c r="AB1874" i="11"/>
  <c r="W1874" i="11"/>
  <c r="AH1873" i="11"/>
  <c r="AB1873" i="11"/>
  <c r="W1873" i="11"/>
  <c r="AH1872" i="11"/>
  <c r="AB1872" i="11"/>
  <c r="W1872" i="11"/>
  <c r="AH1871" i="11"/>
  <c r="AB1871" i="11"/>
  <c r="W1871" i="11"/>
  <c r="AH1870" i="11"/>
  <c r="AB1870" i="11"/>
  <c r="W1870" i="11"/>
  <c r="AH1869" i="11"/>
  <c r="AB1869" i="11"/>
  <c r="W1869" i="11"/>
  <c r="AH1868" i="11"/>
  <c r="AB1868" i="11"/>
  <c r="W1868" i="11"/>
  <c r="AH1867" i="11"/>
  <c r="AB1867" i="11"/>
  <c r="W1867" i="11"/>
  <c r="AH1866" i="11"/>
  <c r="AB1866" i="11"/>
  <c r="W1866" i="11"/>
  <c r="AH1865" i="11"/>
  <c r="AB1865" i="11"/>
  <c r="W1865" i="11"/>
  <c r="AH1864" i="11"/>
  <c r="AB1864" i="11"/>
  <c r="W1864" i="11"/>
  <c r="AH1863" i="11"/>
  <c r="AB1863" i="11"/>
  <c r="W1863" i="11"/>
  <c r="AH1862" i="11"/>
  <c r="AB1862" i="11"/>
  <c r="W1862" i="11"/>
  <c r="AH1861" i="11"/>
  <c r="AB1861" i="11"/>
  <c r="W1861" i="11"/>
  <c r="AH1860" i="11"/>
  <c r="AB1860" i="11"/>
  <c r="W1860" i="11"/>
  <c r="AH1859" i="11"/>
  <c r="AB1859" i="11"/>
  <c r="W1859" i="11"/>
  <c r="AH1858" i="11"/>
  <c r="AB1858" i="11"/>
  <c r="W1858" i="11"/>
  <c r="AH1857" i="11"/>
  <c r="AB1857" i="11"/>
  <c r="W1857" i="11"/>
  <c r="AH1856" i="11"/>
  <c r="AB1856" i="11"/>
  <c r="W1856" i="11"/>
  <c r="AH1855" i="11"/>
  <c r="AB1855" i="11"/>
  <c r="W1855" i="11"/>
  <c r="AH1854" i="11"/>
  <c r="AB1854" i="11"/>
  <c r="W1854" i="11"/>
  <c r="AH1853" i="11"/>
  <c r="AB1853" i="11"/>
  <c r="W1853" i="11"/>
  <c r="AH1852" i="11"/>
  <c r="AB1852" i="11"/>
  <c r="W1852" i="11"/>
  <c r="AH1851" i="11"/>
  <c r="AB1851" i="11"/>
  <c r="W1851" i="11"/>
  <c r="AH1850" i="11"/>
  <c r="AB1850" i="11"/>
  <c r="W1850" i="11"/>
  <c r="AH1849" i="11"/>
  <c r="AB1849" i="11"/>
  <c r="W1849" i="11"/>
  <c r="AH1848" i="11"/>
  <c r="AB1848" i="11"/>
  <c r="W1848" i="11"/>
  <c r="AH1847" i="11"/>
  <c r="AB1847" i="11"/>
  <c r="W1847" i="11"/>
  <c r="AH1846" i="11"/>
  <c r="AB1846" i="11"/>
  <c r="W1846" i="11"/>
  <c r="AH1845" i="11"/>
  <c r="AB1845" i="11"/>
  <c r="W1845" i="11"/>
  <c r="AH1844" i="11"/>
  <c r="AB1844" i="11"/>
  <c r="W1844" i="11"/>
  <c r="AH1843" i="11"/>
  <c r="AB1843" i="11"/>
  <c r="W1843" i="11"/>
  <c r="AH1842" i="11"/>
  <c r="AB1842" i="11"/>
  <c r="W1842" i="11"/>
  <c r="AH1841" i="11"/>
  <c r="AB1841" i="11"/>
  <c r="W1841" i="11"/>
  <c r="AH1840" i="11"/>
  <c r="AB1840" i="11"/>
  <c r="W1840" i="11"/>
  <c r="AH1839" i="11"/>
  <c r="AB1839" i="11"/>
  <c r="W1839" i="11"/>
  <c r="AH1838" i="11"/>
  <c r="AB1838" i="11"/>
  <c r="W1838" i="11"/>
  <c r="AH1837" i="11"/>
  <c r="AB1837" i="11"/>
  <c r="W1837" i="11"/>
  <c r="AH1836" i="11"/>
  <c r="AB1836" i="11"/>
  <c r="W1836" i="11"/>
  <c r="AH1835" i="11"/>
  <c r="AB1835" i="11"/>
  <c r="W1835" i="11"/>
  <c r="AH1834" i="11"/>
  <c r="AB1834" i="11"/>
  <c r="W1834" i="11"/>
  <c r="AH1833" i="11"/>
  <c r="AB1833" i="11"/>
  <c r="W1833" i="11"/>
  <c r="AH1832" i="11"/>
  <c r="AB1832" i="11"/>
  <c r="W1832" i="11"/>
  <c r="AH1831" i="11"/>
  <c r="AB1831" i="11"/>
  <c r="W1831" i="11"/>
  <c r="AH1830" i="11"/>
  <c r="AB1830" i="11"/>
  <c r="W1830" i="11"/>
  <c r="AH1829" i="11"/>
  <c r="AB1829" i="11"/>
  <c r="W1829" i="11"/>
  <c r="AH1828" i="11"/>
  <c r="AB1828" i="11"/>
  <c r="W1828" i="11"/>
  <c r="AH1827" i="11"/>
  <c r="AB1827" i="11"/>
  <c r="W1827" i="11"/>
  <c r="AH1826" i="11"/>
  <c r="AB1826" i="11"/>
  <c r="W1826" i="11"/>
  <c r="AH1825" i="11"/>
  <c r="AB1825" i="11"/>
  <c r="W1825" i="11"/>
  <c r="AH1824" i="11"/>
  <c r="AB1824" i="11"/>
  <c r="W1824" i="11"/>
  <c r="AH1823" i="11"/>
  <c r="AB1823" i="11"/>
  <c r="W1823" i="11"/>
  <c r="AH1822" i="11"/>
  <c r="AB1822" i="11"/>
  <c r="W1822" i="11"/>
  <c r="AH1821" i="11"/>
  <c r="AB1821" i="11"/>
  <c r="W1821" i="11"/>
  <c r="AH1820" i="11"/>
  <c r="AB1820" i="11"/>
  <c r="W1820" i="11"/>
  <c r="AH1819" i="11"/>
  <c r="AB1819" i="11"/>
  <c r="W1819" i="11"/>
  <c r="AH1818" i="11"/>
  <c r="AB1818" i="11"/>
  <c r="W1818" i="11"/>
  <c r="AH1817" i="11"/>
  <c r="AB1817" i="11"/>
  <c r="W1817" i="11"/>
  <c r="AH1816" i="11"/>
  <c r="AB1816" i="11"/>
  <c r="W1816" i="11"/>
  <c r="AH1815" i="11"/>
  <c r="AB1815" i="11"/>
  <c r="W1815" i="11"/>
  <c r="AH1814" i="11"/>
  <c r="AB1814" i="11"/>
  <c r="W1814" i="11"/>
  <c r="AH1813" i="11"/>
  <c r="AB1813" i="11"/>
  <c r="W1813" i="11"/>
  <c r="AH1812" i="11"/>
  <c r="AB1812" i="11"/>
  <c r="W1812" i="11"/>
  <c r="AH1811" i="11"/>
  <c r="AB1811" i="11"/>
  <c r="W1811" i="11"/>
  <c r="AH1810" i="11"/>
  <c r="AB1810" i="11"/>
  <c r="W1810" i="11"/>
  <c r="AH1809" i="11"/>
  <c r="AB1809" i="11"/>
  <c r="W1809" i="11"/>
  <c r="AH1808" i="11"/>
  <c r="AB1808" i="11"/>
  <c r="W1808" i="11"/>
  <c r="AH1807" i="11"/>
  <c r="AB1807" i="11"/>
  <c r="W1807" i="11"/>
  <c r="AH1806" i="11"/>
  <c r="AB1806" i="11"/>
  <c r="W1806" i="11"/>
  <c r="AH1805" i="11"/>
  <c r="AB1805" i="11"/>
  <c r="W1805" i="11"/>
  <c r="AH1804" i="11"/>
  <c r="AB1804" i="11"/>
  <c r="W1804" i="11"/>
  <c r="AH1803" i="11"/>
  <c r="AB1803" i="11"/>
  <c r="W1803" i="11"/>
  <c r="AH1802" i="11"/>
  <c r="AB1802" i="11"/>
  <c r="W1802" i="11"/>
  <c r="AH1801" i="11"/>
  <c r="AB1801" i="11"/>
  <c r="W1801" i="11"/>
  <c r="AH1800" i="11"/>
  <c r="AB1800" i="11"/>
  <c r="W1800" i="11"/>
  <c r="AH1799" i="11"/>
  <c r="AB1799" i="11"/>
  <c r="W1799" i="11"/>
  <c r="AH1798" i="11"/>
  <c r="AB1798" i="11"/>
  <c r="W1798" i="11"/>
  <c r="AH1797" i="11"/>
  <c r="AB1797" i="11"/>
  <c r="W1797" i="11"/>
  <c r="AH1796" i="11"/>
  <c r="AB1796" i="11"/>
  <c r="W1796" i="11"/>
  <c r="AH1795" i="11"/>
  <c r="AB1795" i="11"/>
  <c r="W1795" i="11"/>
  <c r="AH1794" i="11"/>
  <c r="AB1794" i="11"/>
  <c r="W1794" i="11"/>
  <c r="AH1793" i="11"/>
  <c r="AB1793" i="11"/>
  <c r="W1793" i="11"/>
  <c r="AH1792" i="11"/>
  <c r="AB1792" i="11"/>
  <c r="W1792" i="11"/>
  <c r="AH1791" i="11"/>
  <c r="AB1791" i="11"/>
  <c r="W1791" i="11"/>
  <c r="AH1790" i="11"/>
  <c r="AB1790" i="11"/>
  <c r="W1790" i="11"/>
  <c r="AH1789" i="11"/>
  <c r="AB1789" i="11"/>
  <c r="W1789" i="11"/>
  <c r="AH1788" i="11"/>
  <c r="AB1788" i="11"/>
  <c r="W1788" i="11"/>
  <c r="AH1787" i="11"/>
  <c r="AB1787" i="11"/>
  <c r="W1787" i="11"/>
  <c r="AH1786" i="11"/>
  <c r="AB1786" i="11"/>
  <c r="W1786" i="11"/>
  <c r="AH1785" i="11"/>
  <c r="AB1785" i="11"/>
  <c r="W1785" i="11"/>
  <c r="AH1784" i="11"/>
  <c r="AB1784" i="11"/>
  <c r="W1784" i="11"/>
  <c r="AH1783" i="11"/>
  <c r="AB1783" i="11"/>
  <c r="W1783" i="11"/>
  <c r="AH1782" i="11"/>
  <c r="AB1782" i="11"/>
  <c r="W1782" i="11"/>
  <c r="AH1781" i="11"/>
  <c r="AB1781" i="11"/>
  <c r="W1781" i="11"/>
  <c r="AH1780" i="11"/>
  <c r="AB1780" i="11"/>
  <c r="W1780" i="11"/>
  <c r="AH1779" i="11"/>
  <c r="AB1779" i="11"/>
  <c r="W1779" i="11"/>
  <c r="AH1778" i="11"/>
  <c r="AB1778" i="11"/>
  <c r="W1778" i="11"/>
  <c r="AH1777" i="11"/>
  <c r="AB1777" i="11"/>
  <c r="W1777" i="11"/>
  <c r="AH1776" i="11"/>
  <c r="AB1776" i="11"/>
  <c r="W1776" i="11"/>
  <c r="AH1775" i="11"/>
  <c r="AB1775" i="11"/>
  <c r="W1775" i="11"/>
  <c r="AH1774" i="11"/>
  <c r="AB1774" i="11"/>
  <c r="W1774" i="11"/>
  <c r="AH1773" i="11"/>
  <c r="AB1773" i="11"/>
  <c r="W1773" i="11"/>
  <c r="AH1772" i="11"/>
  <c r="AB1772" i="11"/>
  <c r="W1772" i="11"/>
  <c r="AH1771" i="11"/>
  <c r="AB1771" i="11"/>
  <c r="W1771" i="11"/>
  <c r="AH1770" i="11"/>
  <c r="AB1770" i="11"/>
  <c r="W1770" i="11"/>
  <c r="AH1769" i="11"/>
  <c r="AB1769" i="11"/>
  <c r="W1769" i="11"/>
  <c r="AH1768" i="11"/>
  <c r="AB1768" i="11"/>
  <c r="W1768" i="11"/>
  <c r="AH1767" i="11"/>
  <c r="AB1767" i="11"/>
  <c r="W1767" i="11"/>
  <c r="AH1766" i="11"/>
  <c r="AB1766" i="11"/>
  <c r="W1766" i="11"/>
  <c r="AH1765" i="11"/>
  <c r="AB1765" i="11"/>
  <c r="W1765" i="11"/>
  <c r="AH1764" i="11"/>
  <c r="AB1764" i="11"/>
  <c r="W1764" i="11"/>
  <c r="AH1763" i="11"/>
  <c r="AB1763" i="11"/>
  <c r="W1763" i="11"/>
  <c r="AH1762" i="11"/>
  <c r="AB1762" i="11"/>
  <c r="W1762" i="11"/>
  <c r="AH1761" i="11"/>
  <c r="AB1761" i="11"/>
  <c r="W1761" i="11"/>
  <c r="AH1760" i="11"/>
  <c r="AB1760" i="11"/>
  <c r="W1760" i="11"/>
  <c r="AH1759" i="11"/>
  <c r="AB1759" i="11"/>
  <c r="W1759" i="11"/>
  <c r="AH1758" i="11"/>
  <c r="AB1758" i="11"/>
  <c r="W1758" i="11"/>
  <c r="AH1757" i="11"/>
  <c r="AB1757" i="11"/>
  <c r="W1757" i="11"/>
  <c r="AH1756" i="11"/>
  <c r="AB1756" i="11"/>
  <c r="W1756" i="11"/>
  <c r="AH1755" i="11"/>
  <c r="AB1755" i="11"/>
  <c r="W1755" i="11"/>
  <c r="AH1754" i="11"/>
  <c r="AB1754" i="11"/>
  <c r="W1754" i="11"/>
  <c r="AH1753" i="11"/>
  <c r="AB1753" i="11"/>
  <c r="W1753" i="11"/>
  <c r="AH1752" i="11"/>
  <c r="AB1752" i="11"/>
  <c r="W1752" i="11"/>
  <c r="AH1751" i="11"/>
  <c r="AB1751" i="11"/>
  <c r="W1751" i="11"/>
  <c r="AH1750" i="11"/>
  <c r="AB1750" i="11"/>
  <c r="W1750" i="11"/>
  <c r="AH1749" i="11"/>
  <c r="AB1749" i="11"/>
  <c r="W1749" i="11"/>
  <c r="AH1748" i="11"/>
  <c r="AB1748" i="11"/>
  <c r="W1748" i="11"/>
  <c r="AH1747" i="11"/>
  <c r="AB1747" i="11"/>
  <c r="W1747" i="11"/>
  <c r="AH1746" i="11"/>
  <c r="AB1746" i="11"/>
  <c r="W1746" i="11"/>
  <c r="AH1745" i="11"/>
  <c r="AB1745" i="11"/>
  <c r="W1745" i="11"/>
  <c r="AH1744" i="11"/>
  <c r="AB1744" i="11"/>
  <c r="W1744" i="11"/>
  <c r="AH1743" i="11"/>
  <c r="AB1743" i="11"/>
  <c r="W1743" i="11"/>
  <c r="AH1742" i="11"/>
  <c r="AB1742" i="11"/>
  <c r="W1742" i="11"/>
  <c r="AH1741" i="11"/>
  <c r="AB1741" i="11"/>
  <c r="W1741" i="11"/>
  <c r="AH1740" i="11"/>
  <c r="AB1740" i="11"/>
  <c r="W1740" i="11"/>
  <c r="AH1739" i="11"/>
  <c r="AB1739" i="11"/>
  <c r="W1739" i="11"/>
  <c r="AH1738" i="11"/>
  <c r="AB1738" i="11"/>
  <c r="W1738" i="11"/>
  <c r="AH1737" i="11"/>
  <c r="AB1737" i="11"/>
  <c r="W1737" i="11"/>
  <c r="AH1736" i="11"/>
  <c r="AB1736" i="11"/>
  <c r="W1736" i="11"/>
  <c r="AH1735" i="11"/>
  <c r="AB1735" i="11"/>
  <c r="W1735" i="11"/>
  <c r="AH1734" i="11"/>
  <c r="AB1734" i="11"/>
  <c r="W1734" i="11"/>
  <c r="AH1733" i="11"/>
  <c r="AB1733" i="11"/>
  <c r="W1733" i="11"/>
  <c r="AH1732" i="11"/>
  <c r="AB1732" i="11"/>
  <c r="W1732" i="11"/>
  <c r="AH1731" i="11"/>
  <c r="AB1731" i="11"/>
  <c r="W1731" i="11"/>
  <c r="AH1730" i="11"/>
  <c r="AB1730" i="11"/>
  <c r="W1730" i="11"/>
  <c r="AH1729" i="11"/>
  <c r="AB1729" i="11"/>
  <c r="W1729" i="11"/>
  <c r="AH1728" i="11"/>
  <c r="AB1728" i="11"/>
  <c r="W1728" i="11"/>
  <c r="AH1727" i="11"/>
  <c r="AB1727" i="11"/>
  <c r="W1727" i="11"/>
  <c r="AH1726" i="11"/>
  <c r="AB1726" i="11"/>
  <c r="W1726" i="11"/>
  <c r="AH1725" i="11"/>
  <c r="AB1725" i="11"/>
  <c r="W1725" i="11"/>
  <c r="AH1724" i="11"/>
  <c r="AB1724" i="11"/>
  <c r="W1724" i="11"/>
  <c r="AH1723" i="11"/>
  <c r="AB1723" i="11"/>
  <c r="W1723" i="11"/>
  <c r="AH1722" i="11"/>
  <c r="AB1722" i="11"/>
  <c r="W1722" i="11"/>
  <c r="AH1721" i="11"/>
  <c r="AB1721" i="11"/>
  <c r="W1721" i="11"/>
  <c r="AH1720" i="11"/>
  <c r="AB1720" i="11"/>
  <c r="W1720" i="11"/>
  <c r="AH1719" i="11"/>
  <c r="AB1719" i="11"/>
  <c r="W1719" i="11"/>
  <c r="AH1718" i="11"/>
  <c r="AB1718" i="11"/>
  <c r="W1718" i="11"/>
  <c r="AH1717" i="11"/>
  <c r="AB1717" i="11"/>
  <c r="W1717" i="11"/>
  <c r="AH1716" i="11"/>
  <c r="AB1716" i="11"/>
  <c r="W1716" i="11"/>
  <c r="AH1715" i="11"/>
  <c r="AB1715" i="11"/>
  <c r="W1715" i="11"/>
  <c r="AH1714" i="11"/>
  <c r="AB1714" i="11"/>
  <c r="W1714" i="11"/>
  <c r="AH1713" i="11"/>
  <c r="AB1713" i="11"/>
  <c r="W1713" i="11"/>
  <c r="AH1712" i="11"/>
  <c r="AB1712" i="11"/>
  <c r="W1712" i="11"/>
  <c r="AH1711" i="11"/>
  <c r="AB1711" i="11"/>
  <c r="W1711" i="11"/>
  <c r="AH1710" i="11"/>
  <c r="AB1710" i="11"/>
  <c r="W1710" i="11"/>
  <c r="AH1709" i="11"/>
  <c r="AB1709" i="11"/>
  <c r="W1709" i="11"/>
  <c r="AH1708" i="11"/>
  <c r="AB1708" i="11"/>
  <c r="W1708" i="11"/>
  <c r="AH1707" i="11"/>
  <c r="AB1707" i="11"/>
  <c r="W1707" i="11"/>
  <c r="AH1706" i="11"/>
  <c r="AB1706" i="11"/>
  <c r="W1706" i="11"/>
  <c r="AH1705" i="11"/>
  <c r="AB1705" i="11"/>
  <c r="W1705" i="11"/>
  <c r="AH1704" i="11"/>
  <c r="AB1704" i="11"/>
  <c r="W1704" i="11"/>
  <c r="AH1703" i="11"/>
  <c r="AB1703" i="11"/>
  <c r="W1703" i="11"/>
  <c r="AH1702" i="11"/>
  <c r="AB1702" i="11"/>
  <c r="W1702" i="11"/>
  <c r="AH1701" i="11"/>
  <c r="AB1701" i="11"/>
  <c r="W1701" i="11"/>
  <c r="AH1700" i="11"/>
  <c r="AB1700" i="11"/>
  <c r="W1700" i="11"/>
  <c r="AH1699" i="11"/>
  <c r="AB1699" i="11"/>
  <c r="W1699" i="11"/>
  <c r="AH1698" i="11"/>
  <c r="AB1698" i="11"/>
  <c r="W1698" i="11"/>
  <c r="AH1697" i="11"/>
  <c r="AB1697" i="11"/>
  <c r="W1697" i="11"/>
  <c r="AH1696" i="11"/>
  <c r="AB1696" i="11"/>
  <c r="W1696" i="11"/>
  <c r="AH1695" i="11"/>
  <c r="AB1695" i="11"/>
  <c r="W1695" i="11"/>
  <c r="AH1694" i="11"/>
  <c r="AB1694" i="11"/>
  <c r="W1694" i="11"/>
  <c r="AH1693" i="11"/>
  <c r="AB1693" i="11"/>
  <c r="W1693" i="11"/>
  <c r="AH1692" i="11"/>
  <c r="AB1692" i="11"/>
  <c r="W1692" i="11"/>
  <c r="AH1691" i="11"/>
  <c r="AB1691" i="11"/>
  <c r="W1691" i="11"/>
  <c r="AH1690" i="11"/>
  <c r="AB1690" i="11"/>
  <c r="W1690" i="11"/>
  <c r="AH1689" i="11"/>
  <c r="AB1689" i="11"/>
  <c r="W1689" i="11"/>
  <c r="AH1688" i="11"/>
  <c r="AB1688" i="11"/>
  <c r="W1688" i="11"/>
  <c r="AH1687" i="11"/>
  <c r="AB1687" i="11"/>
  <c r="W1687" i="11"/>
  <c r="AH1686" i="11"/>
  <c r="AB1686" i="11"/>
  <c r="W1686" i="11"/>
  <c r="AH1685" i="11"/>
  <c r="AB1685" i="11"/>
  <c r="W1685" i="11"/>
  <c r="AH1684" i="11"/>
  <c r="AB1684" i="11"/>
  <c r="W1684" i="11"/>
  <c r="AH1683" i="11"/>
  <c r="AB1683" i="11"/>
  <c r="W1683" i="11"/>
  <c r="AH1682" i="11"/>
  <c r="AB1682" i="11"/>
  <c r="W1682" i="11"/>
  <c r="AH1681" i="11"/>
  <c r="AB1681" i="11"/>
  <c r="W1681" i="11"/>
  <c r="AH1680" i="11"/>
  <c r="AB1680" i="11"/>
  <c r="W1680" i="11"/>
  <c r="AH1679" i="11"/>
  <c r="AB1679" i="11"/>
  <c r="W1679" i="11"/>
  <c r="AH1678" i="11"/>
  <c r="AB1678" i="11"/>
  <c r="W1678" i="11"/>
  <c r="AH1677" i="11"/>
  <c r="AB1677" i="11"/>
  <c r="W1677" i="11"/>
  <c r="AH1676" i="11"/>
  <c r="AB1676" i="11"/>
  <c r="W1676" i="11"/>
  <c r="AH1675" i="11"/>
  <c r="AB1675" i="11"/>
  <c r="W1675" i="11"/>
  <c r="AH1674" i="11"/>
  <c r="AB1674" i="11"/>
  <c r="W1674" i="11"/>
  <c r="AH1673" i="11"/>
  <c r="AB1673" i="11"/>
  <c r="W1673" i="11"/>
  <c r="AH1672" i="11"/>
  <c r="AB1672" i="11"/>
  <c r="W1672" i="11"/>
  <c r="AH1671" i="11"/>
  <c r="AB1671" i="11"/>
  <c r="W1671" i="11"/>
  <c r="AH1670" i="11"/>
  <c r="AB1670" i="11"/>
  <c r="W1670" i="11"/>
  <c r="AH1669" i="11"/>
  <c r="AB1669" i="11"/>
  <c r="W1669" i="11"/>
  <c r="AH1668" i="11"/>
  <c r="AB1668" i="11"/>
  <c r="W1668" i="11"/>
  <c r="AH1667" i="11"/>
  <c r="AB1667" i="11"/>
  <c r="W1667" i="11"/>
  <c r="AH1666" i="11"/>
  <c r="AB1666" i="11"/>
  <c r="W1666" i="11"/>
  <c r="AH1665" i="11"/>
  <c r="AB1665" i="11"/>
  <c r="W1665" i="11"/>
  <c r="AH1664" i="11"/>
  <c r="AB1664" i="11"/>
  <c r="W1664" i="11"/>
  <c r="AH1663" i="11"/>
  <c r="AB1663" i="11"/>
  <c r="W1663" i="11"/>
  <c r="AH1662" i="11"/>
  <c r="AB1662" i="11"/>
  <c r="W1662" i="11"/>
  <c r="AH1661" i="11"/>
  <c r="AB1661" i="11"/>
  <c r="W1661" i="11"/>
  <c r="AH1660" i="11"/>
  <c r="AB1660" i="11"/>
  <c r="W1660" i="11"/>
  <c r="AH1659" i="11"/>
  <c r="AB1659" i="11"/>
  <c r="W1659" i="11"/>
  <c r="AH1658" i="11"/>
  <c r="AB1658" i="11"/>
  <c r="W1658" i="11"/>
  <c r="AH1657" i="11"/>
  <c r="AB1657" i="11"/>
  <c r="W1657" i="11"/>
  <c r="AH1656" i="11"/>
  <c r="AB1656" i="11"/>
  <c r="W1656" i="11"/>
  <c r="AH1655" i="11"/>
  <c r="AB1655" i="11"/>
  <c r="W1655" i="11"/>
  <c r="AH1654" i="11"/>
  <c r="AB1654" i="11"/>
  <c r="W1654" i="11"/>
  <c r="AH1653" i="11"/>
  <c r="AB1653" i="11"/>
  <c r="W1653" i="11"/>
  <c r="AH1652" i="11"/>
  <c r="AB1652" i="11"/>
  <c r="W1652" i="11"/>
  <c r="AH1651" i="11"/>
  <c r="AB1651" i="11"/>
  <c r="W1651" i="11"/>
  <c r="AH1650" i="11"/>
  <c r="AB1650" i="11"/>
  <c r="W1650" i="11"/>
  <c r="AH1649" i="11"/>
  <c r="AB1649" i="11"/>
  <c r="W1649" i="11"/>
  <c r="AH1648" i="11"/>
  <c r="AB1648" i="11"/>
  <c r="W1648" i="11"/>
  <c r="AH1647" i="11"/>
  <c r="AB1647" i="11"/>
  <c r="W1647" i="11"/>
  <c r="AH1646" i="11"/>
  <c r="AB1646" i="11"/>
  <c r="W1646" i="11"/>
  <c r="AH1645" i="11"/>
  <c r="AB1645" i="11"/>
  <c r="W1645" i="11"/>
  <c r="AH1644" i="11"/>
  <c r="AB1644" i="11"/>
  <c r="W1644" i="11"/>
  <c r="AH1643" i="11"/>
  <c r="AB1643" i="11"/>
  <c r="W1643" i="11"/>
  <c r="AH1642" i="11"/>
  <c r="AB1642" i="11"/>
  <c r="W1642" i="11"/>
  <c r="AH1641" i="11"/>
  <c r="AB1641" i="11"/>
  <c r="W1641" i="11"/>
  <c r="AH1640" i="11"/>
  <c r="AB1640" i="11"/>
  <c r="W1640" i="11"/>
  <c r="AH1639" i="11"/>
  <c r="AB1639" i="11"/>
  <c r="W1639" i="11"/>
  <c r="AH1638" i="11"/>
  <c r="AB1638" i="11"/>
  <c r="W1638" i="11"/>
  <c r="AH1637" i="11"/>
  <c r="AB1637" i="11"/>
  <c r="W1637" i="11"/>
  <c r="AH1636" i="11"/>
  <c r="AB1636" i="11"/>
  <c r="W1636" i="11"/>
  <c r="AH1635" i="11"/>
  <c r="AB1635" i="11"/>
  <c r="W1635" i="11"/>
  <c r="AH1634" i="11"/>
  <c r="AB1634" i="11"/>
  <c r="W1634" i="11"/>
  <c r="AH1633" i="11"/>
  <c r="AB1633" i="11"/>
  <c r="W1633" i="11"/>
  <c r="AH1632" i="11"/>
  <c r="AB1632" i="11"/>
  <c r="W1632" i="11"/>
  <c r="AH1631" i="11"/>
  <c r="AB1631" i="11"/>
  <c r="W1631" i="11"/>
  <c r="AH1630" i="11"/>
  <c r="AB1630" i="11"/>
  <c r="W1630" i="11"/>
  <c r="AH1629" i="11"/>
  <c r="AB1629" i="11"/>
  <c r="W1629" i="11"/>
  <c r="AH1628" i="11"/>
  <c r="AB1628" i="11"/>
  <c r="W1628" i="11"/>
  <c r="AH1627" i="11"/>
  <c r="AB1627" i="11"/>
  <c r="W1627" i="11"/>
  <c r="AH1626" i="11"/>
  <c r="AB1626" i="11"/>
  <c r="W1626" i="11"/>
  <c r="AH1625" i="11"/>
  <c r="AB1625" i="11"/>
  <c r="W1625" i="11"/>
  <c r="AH1624" i="11"/>
  <c r="AB1624" i="11"/>
  <c r="W1624" i="11"/>
  <c r="AH1623" i="11"/>
  <c r="AB1623" i="11"/>
  <c r="W1623" i="11"/>
  <c r="AH1622" i="11"/>
  <c r="AB1622" i="11"/>
  <c r="W1622" i="11"/>
  <c r="AH1621" i="11"/>
  <c r="AB1621" i="11"/>
  <c r="W1621" i="11"/>
  <c r="AH1620" i="11"/>
  <c r="AB1620" i="11"/>
  <c r="W1620" i="11"/>
  <c r="AH1619" i="11"/>
  <c r="AB1619" i="11"/>
  <c r="W1619" i="11"/>
  <c r="AH1618" i="11"/>
  <c r="AB1618" i="11"/>
  <c r="W1618" i="11"/>
  <c r="AH1617" i="11"/>
  <c r="AB1617" i="11"/>
  <c r="W1617" i="11"/>
  <c r="AH1616" i="11"/>
  <c r="AB1616" i="11"/>
  <c r="W1616" i="11"/>
  <c r="AH1615" i="11"/>
  <c r="AB1615" i="11"/>
  <c r="W1615" i="11"/>
  <c r="AH1614" i="11"/>
  <c r="AB1614" i="11"/>
  <c r="W1614" i="11"/>
  <c r="AH1613" i="11"/>
  <c r="AB1613" i="11"/>
  <c r="W1613" i="11"/>
  <c r="AH1612" i="11"/>
  <c r="AB1612" i="11"/>
  <c r="W1612" i="11"/>
  <c r="AH1611" i="11"/>
  <c r="AB1611" i="11"/>
  <c r="W1611" i="11"/>
  <c r="AH1610" i="11"/>
  <c r="AB1610" i="11"/>
  <c r="W1610" i="11"/>
  <c r="AH1609" i="11"/>
  <c r="AB1609" i="11"/>
  <c r="W1609" i="11"/>
  <c r="AH1608" i="11"/>
  <c r="AB1608" i="11"/>
  <c r="W1608" i="11"/>
  <c r="AH1607" i="11"/>
  <c r="AB1607" i="11"/>
  <c r="W1607" i="11"/>
  <c r="AH1606" i="11"/>
  <c r="AB1606" i="11"/>
  <c r="W1606" i="11"/>
  <c r="AH1605" i="11"/>
  <c r="AB1605" i="11"/>
  <c r="W1605" i="11"/>
  <c r="AH1604" i="11"/>
  <c r="AB1604" i="11"/>
  <c r="W1604" i="11"/>
  <c r="AH1603" i="11"/>
  <c r="AB1603" i="11"/>
  <c r="W1603" i="11"/>
  <c r="AH1602" i="11"/>
  <c r="AB1602" i="11"/>
  <c r="W1602" i="11"/>
  <c r="AH1601" i="11"/>
  <c r="AB1601" i="11"/>
  <c r="W1601" i="11"/>
  <c r="AH1600" i="11"/>
  <c r="AB1600" i="11"/>
  <c r="W1600" i="11"/>
  <c r="AH1599" i="11"/>
  <c r="AB1599" i="11"/>
  <c r="W1599" i="11"/>
  <c r="AH1598" i="11"/>
  <c r="AB1598" i="11"/>
  <c r="W1598" i="11"/>
  <c r="AH1597" i="11"/>
  <c r="AB1597" i="11"/>
  <c r="W1597" i="11"/>
  <c r="AH1596" i="11"/>
  <c r="AB1596" i="11"/>
  <c r="W1596" i="11"/>
  <c r="AH1595" i="11"/>
  <c r="AB1595" i="11"/>
  <c r="W1595" i="11"/>
  <c r="AH1594" i="11"/>
  <c r="AB1594" i="11"/>
  <c r="W1594" i="11"/>
  <c r="AH1593" i="11"/>
  <c r="AB1593" i="11"/>
  <c r="W1593" i="11"/>
  <c r="AH1592" i="11"/>
  <c r="AB1592" i="11"/>
  <c r="W1592" i="11"/>
  <c r="AH1591" i="11"/>
  <c r="AB1591" i="11"/>
  <c r="W1591" i="11"/>
  <c r="AH1590" i="11"/>
  <c r="AB1590" i="11"/>
  <c r="W1590" i="11"/>
  <c r="AH1589" i="11"/>
  <c r="AB1589" i="11"/>
  <c r="W1589" i="11"/>
  <c r="AH1588" i="11"/>
  <c r="AB1588" i="11"/>
  <c r="W1588" i="11"/>
  <c r="AH1587" i="11"/>
  <c r="AB1587" i="11"/>
  <c r="W1587" i="11"/>
  <c r="AH1586" i="11"/>
  <c r="AB1586" i="11"/>
  <c r="W1586" i="11"/>
  <c r="AH1585" i="11"/>
  <c r="AB1585" i="11"/>
  <c r="W1585" i="11"/>
  <c r="AH1584" i="11"/>
  <c r="AB1584" i="11"/>
  <c r="W1584" i="11"/>
  <c r="AH1583" i="11"/>
  <c r="AB1583" i="11"/>
  <c r="W1583" i="11"/>
  <c r="AH1582" i="11"/>
  <c r="AB1582" i="11"/>
  <c r="W1582" i="11"/>
  <c r="AH1581" i="11"/>
  <c r="AB1581" i="11"/>
  <c r="W1581" i="11"/>
  <c r="AH1580" i="11"/>
  <c r="AB1580" i="11"/>
  <c r="W1580" i="11"/>
  <c r="AH1579" i="11"/>
  <c r="AB1579" i="11"/>
  <c r="W1579" i="11"/>
  <c r="AH1578" i="11"/>
  <c r="AB1578" i="11"/>
  <c r="W1578" i="11"/>
  <c r="AH1577" i="11"/>
  <c r="AB1577" i="11"/>
  <c r="W1577" i="11"/>
  <c r="AH1576" i="11"/>
  <c r="AB1576" i="11"/>
  <c r="W1576" i="11"/>
  <c r="AH1575" i="11"/>
  <c r="AB1575" i="11"/>
  <c r="W1575" i="11"/>
  <c r="AH1574" i="11"/>
  <c r="AB1574" i="11"/>
  <c r="W1574" i="11"/>
  <c r="AH1573" i="11"/>
  <c r="AB1573" i="11"/>
  <c r="W1573" i="11"/>
  <c r="AH1572" i="11"/>
  <c r="AB1572" i="11"/>
  <c r="W1572" i="11"/>
  <c r="AH1571" i="11"/>
  <c r="AB1571" i="11"/>
  <c r="W1571" i="11"/>
  <c r="AH1570" i="11"/>
  <c r="AB1570" i="11"/>
  <c r="W1570" i="11"/>
  <c r="AH1569" i="11"/>
  <c r="AB1569" i="11"/>
  <c r="W1569" i="11"/>
  <c r="AH1568" i="11"/>
  <c r="AB1568" i="11"/>
  <c r="W1568" i="11"/>
  <c r="AH1567" i="11"/>
  <c r="AB1567" i="11"/>
  <c r="W1567" i="11"/>
  <c r="AH1566" i="11"/>
  <c r="AB1566" i="11"/>
  <c r="W1566" i="11"/>
  <c r="AH1565" i="11"/>
  <c r="AB1565" i="11"/>
  <c r="W1565" i="11"/>
  <c r="AH1564" i="11"/>
  <c r="AB1564" i="11"/>
  <c r="W1564" i="11"/>
  <c r="AH1563" i="11"/>
  <c r="AB1563" i="11"/>
  <c r="W1563" i="11"/>
  <c r="AH1562" i="11"/>
  <c r="AB1562" i="11"/>
  <c r="W1562" i="11"/>
  <c r="AH1561" i="11"/>
  <c r="AB1561" i="11"/>
  <c r="W1561" i="11"/>
  <c r="AH1560" i="11"/>
  <c r="AB1560" i="11"/>
  <c r="W1560" i="11"/>
  <c r="AH1559" i="11"/>
  <c r="AB1559" i="11"/>
  <c r="W1559" i="11"/>
  <c r="AH1558" i="11"/>
  <c r="AB1558" i="11"/>
  <c r="W1558" i="11"/>
  <c r="AH1557" i="11"/>
  <c r="AB1557" i="11"/>
  <c r="W1557" i="11"/>
  <c r="AH1556" i="11"/>
  <c r="AB1556" i="11"/>
  <c r="W1556" i="11"/>
  <c r="AH1555" i="11"/>
  <c r="AB1555" i="11"/>
  <c r="W1555" i="11"/>
  <c r="AH1554" i="11"/>
  <c r="AB1554" i="11"/>
  <c r="W1554" i="11"/>
  <c r="AH1553" i="11"/>
  <c r="AB1553" i="11"/>
  <c r="W1553" i="11"/>
  <c r="AH1552" i="11"/>
  <c r="AB1552" i="11"/>
  <c r="W1552" i="11"/>
  <c r="AH1551" i="11"/>
  <c r="AB1551" i="11"/>
  <c r="W1551" i="11"/>
  <c r="AH1550" i="11"/>
  <c r="AB1550" i="11"/>
  <c r="W1550" i="11"/>
  <c r="AH1549" i="11"/>
  <c r="AB1549" i="11"/>
  <c r="W1549" i="11"/>
  <c r="AH1548" i="11"/>
  <c r="AB1548" i="11"/>
  <c r="W1548" i="11"/>
  <c r="AH1547" i="11"/>
  <c r="AB1547" i="11"/>
  <c r="W1547" i="11"/>
  <c r="AH1546" i="11"/>
  <c r="AB1546" i="11"/>
  <c r="W1546" i="11"/>
  <c r="AH1545" i="11"/>
  <c r="AB1545" i="11"/>
  <c r="W1545" i="11"/>
  <c r="AH1544" i="11"/>
  <c r="AB1544" i="11"/>
  <c r="W1544" i="11"/>
  <c r="AH1543" i="11"/>
  <c r="AB1543" i="11"/>
  <c r="W1543" i="11"/>
  <c r="AH1542" i="11"/>
  <c r="AB1542" i="11"/>
  <c r="W1542" i="11"/>
  <c r="AH1541" i="11"/>
  <c r="AB1541" i="11"/>
  <c r="W1541" i="11"/>
  <c r="AH1540" i="11"/>
  <c r="AB1540" i="11"/>
  <c r="W1540" i="11"/>
  <c r="AH1539" i="11"/>
  <c r="AB1539" i="11"/>
  <c r="W1539" i="11"/>
  <c r="AH1538" i="11"/>
  <c r="AB1538" i="11"/>
  <c r="W1538" i="11"/>
  <c r="AH1537" i="11"/>
  <c r="AB1537" i="11"/>
  <c r="W1537" i="11"/>
  <c r="AH1536" i="11"/>
  <c r="AB1536" i="11"/>
  <c r="W1536" i="11"/>
  <c r="AH1535" i="11"/>
  <c r="AB1535" i="11"/>
  <c r="W1535" i="11"/>
  <c r="AH1534" i="11"/>
  <c r="AB1534" i="11"/>
  <c r="W1534" i="11"/>
  <c r="AH1533" i="11"/>
  <c r="AB1533" i="11"/>
  <c r="W1533" i="11"/>
  <c r="AH1532" i="11"/>
  <c r="AB1532" i="11"/>
  <c r="W1532" i="11"/>
  <c r="AH1531" i="11"/>
  <c r="AB1531" i="11"/>
  <c r="W1531" i="11"/>
  <c r="AH1530" i="11"/>
  <c r="AB1530" i="11"/>
  <c r="W1530" i="11"/>
  <c r="AH1529" i="11"/>
  <c r="AB1529" i="11"/>
  <c r="W1529" i="11"/>
  <c r="AH1528" i="11"/>
  <c r="AB1528" i="11"/>
  <c r="W1528" i="11"/>
  <c r="AH1527" i="11"/>
  <c r="AB1527" i="11"/>
  <c r="W1527" i="11"/>
  <c r="AH1526" i="11"/>
  <c r="AB1526" i="11"/>
  <c r="W1526" i="11"/>
  <c r="AH1525" i="11"/>
  <c r="AB1525" i="11"/>
  <c r="W1525" i="11"/>
  <c r="AH1524" i="11"/>
  <c r="AB1524" i="11"/>
  <c r="W1524" i="11"/>
  <c r="AH1523" i="11"/>
  <c r="AB1523" i="11"/>
  <c r="W1523" i="11"/>
  <c r="AH1522" i="11"/>
  <c r="AB1522" i="11"/>
  <c r="W1522" i="11"/>
  <c r="AH1521" i="11"/>
  <c r="AB1521" i="11"/>
  <c r="W1521" i="11"/>
  <c r="AH1520" i="11"/>
  <c r="AB1520" i="11"/>
  <c r="W1520" i="11"/>
  <c r="AH1519" i="11"/>
  <c r="AB1519" i="11"/>
  <c r="W1519" i="11"/>
  <c r="AH1518" i="11"/>
  <c r="AB1518" i="11"/>
  <c r="W1518" i="11"/>
  <c r="AH1517" i="11"/>
  <c r="AB1517" i="11"/>
  <c r="W1517" i="11"/>
  <c r="AH1516" i="11"/>
  <c r="AB1516" i="11"/>
  <c r="W1516" i="11"/>
  <c r="AH1515" i="11"/>
  <c r="AB1515" i="11"/>
  <c r="W1515" i="11"/>
  <c r="AH1514" i="11"/>
  <c r="AB1514" i="11"/>
  <c r="W1514" i="11"/>
  <c r="AH1513" i="11"/>
  <c r="AB1513" i="11"/>
  <c r="W1513" i="11"/>
  <c r="AH1512" i="11"/>
  <c r="AB1512" i="11"/>
  <c r="W1512" i="11"/>
  <c r="AH1511" i="11"/>
  <c r="AB1511" i="11"/>
  <c r="W1511" i="11"/>
  <c r="AH1510" i="11"/>
  <c r="AB1510" i="11"/>
  <c r="W1510" i="11"/>
  <c r="AH1509" i="11"/>
  <c r="AB1509" i="11"/>
  <c r="W1509" i="11"/>
  <c r="AH1508" i="11"/>
  <c r="AB1508" i="11"/>
  <c r="W1508" i="11"/>
  <c r="AH1507" i="11"/>
  <c r="AB1507" i="11"/>
  <c r="W1507" i="11"/>
  <c r="AH1506" i="11"/>
  <c r="AB1506" i="11"/>
  <c r="W1506" i="11"/>
  <c r="AH1505" i="11"/>
  <c r="AB1505" i="11"/>
  <c r="W1505" i="11"/>
  <c r="AH1504" i="11"/>
  <c r="AB1504" i="11"/>
  <c r="W1504" i="11"/>
  <c r="AH1503" i="11"/>
  <c r="AB1503" i="11"/>
  <c r="W1503" i="11"/>
  <c r="AH1502" i="11"/>
  <c r="AB1502" i="11"/>
  <c r="W1502" i="11"/>
  <c r="AH1501" i="11"/>
  <c r="AB1501" i="11"/>
  <c r="W1501" i="11"/>
  <c r="AH1500" i="11"/>
  <c r="AB1500" i="11"/>
  <c r="W1500" i="11"/>
  <c r="AH1499" i="11"/>
  <c r="AB1499" i="11"/>
  <c r="W1499" i="11"/>
  <c r="AH1498" i="11"/>
  <c r="AB1498" i="11"/>
  <c r="W1498" i="11"/>
  <c r="AH1497" i="11"/>
  <c r="AB1497" i="11"/>
  <c r="W1497" i="11"/>
  <c r="AH1496" i="11"/>
  <c r="AB1496" i="11"/>
  <c r="W1496" i="11"/>
  <c r="AH1495" i="11"/>
  <c r="AB1495" i="11"/>
  <c r="W1495" i="11"/>
  <c r="AH1494" i="11"/>
  <c r="AB1494" i="11"/>
  <c r="W1494" i="11"/>
  <c r="AH1493" i="11"/>
  <c r="AB1493" i="11"/>
  <c r="W1493" i="11"/>
  <c r="AH1492" i="11"/>
  <c r="AB1492" i="11"/>
  <c r="W1492" i="11"/>
  <c r="AH1491" i="11"/>
  <c r="AB1491" i="11"/>
  <c r="W1491" i="11"/>
  <c r="AH1490" i="11"/>
  <c r="AB1490" i="11"/>
  <c r="W1490" i="11"/>
  <c r="AH1489" i="11"/>
  <c r="AB1489" i="11"/>
  <c r="W1489" i="11"/>
  <c r="AH1488" i="11"/>
  <c r="AB1488" i="11"/>
  <c r="W1488" i="11"/>
  <c r="AH1487" i="11"/>
  <c r="AB1487" i="11"/>
  <c r="W1487" i="11"/>
  <c r="AH1486" i="11"/>
  <c r="AB1486" i="11"/>
  <c r="W1486" i="11"/>
  <c r="AH1485" i="11"/>
  <c r="AB1485" i="11"/>
  <c r="W1485" i="11"/>
  <c r="AH1484" i="11"/>
  <c r="AB1484" i="11"/>
  <c r="W1484" i="11"/>
  <c r="AH1483" i="11"/>
  <c r="AB1483" i="11"/>
  <c r="W1483" i="11"/>
  <c r="AH1482" i="11"/>
  <c r="AB1482" i="11"/>
  <c r="W1482" i="11"/>
  <c r="AH1481" i="11"/>
  <c r="AB1481" i="11"/>
  <c r="W1481" i="11"/>
  <c r="AH1480" i="11"/>
  <c r="AB1480" i="11"/>
  <c r="W1480" i="11"/>
  <c r="AH1479" i="11"/>
  <c r="AB1479" i="11"/>
  <c r="W1479" i="11"/>
  <c r="AH1478" i="11"/>
  <c r="AB1478" i="11"/>
  <c r="W1478" i="11"/>
  <c r="AH1477" i="11"/>
  <c r="AB1477" i="11"/>
  <c r="W1477" i="11"/>
  <c r="AH1476" i="11"/>
  <c r="AB1476" i="11"/>
  <c r="W1476" i="11"/>
  <c r="AH1475" i="11"/>
  <c r="AB1475" i="11"/>
  <c r="W1475" i="11"/>
  <c r="AH1474" i="11"/>
  <c r="AB1474" i="11"/>
  <c r="W1474" i="11"/>
  <c r="AH1473" i="11"/>
  <c r="AB1473" i="11"/>
  <c r="W1473" i="11"/>
  <c r="AH1472" i="11"/>
  <c r="AB1472" i="11"/>
  <c r="W1472" i="11"/>
  <c r="AH1471" i="11"/>
  <c r="AB1471" i="11"/>
  <c r="W1471" i="11"/>
  <c r="AH1470" i="11"/>
  <c r="AB1470" i="11"/>
  <c r="W1470" i="11"/>
  <c r="AH1469" i="11"/>
  <c r="AB1469" i="11"/>
  <c r="W1469" i="11"/>
  <c r="AH1468" i="11"/>
  <c r="AB1468" i="11"/>
  <c r="W1468" i="11"/>
  <c r="AH1467" i="11"/>
  <c r="AB1467" i="11"/>
  <c r="W1467" i="11"/>
  <c r="AH1466" i="11"/>
  <c r="AB1466" i="11"/>
  <c r="W1466" i="11"/>
  <c r="AH1465" i="11"/>
  <c r="AB1465" i="11"/>
  <c r="W1465" i="11"/>
  <c r="AH1464" i="11"/>
  <c r="AB1464" i="11"/>
  <c r="W1464" i="11"/>
  <c r="AH1463" i="11"/>
  <c r="AB1463" i="11"/>
  <c r="W1463" i="11"/>
  <c r="AH1462" i="11"/>
  <c r="AB1462" i="11"/>
  <c r="W1462" i="11"/>
  <c r="AH1461" i="11"/>
  <c r="AB1461" i="11"/>
  <c r="W1461" i="11"/>
  <c r="AH1460" i="11"/>
  <c r="AB1460" i="11"/>
  <c r="W1460" i="11"/>
  <c r="AH1459" i="11"/>
  <c r="AB1459" i="11"/>
  <c r="W1459" i="11"/>
  <c r="AH1458" i="11"/>
  <c r="AB1458" i="11"/>
  <c r="W1458" i="11"/>
  <c r="AH1457" i="11"/>
  <c r="AB1457" i="11"/>
  <c r="W1457" i="11"/>
  <c r="AH1456" i="11"/>
  <c r="AB1456" i="11"/>
  <c r="W1456" i="11"/>
  <c r="AH1455" i="11"/>
  <c r="AB1455" i="11"/>
  <c r="W1455" i="11"/>
  <c r="AH1454" i="11"/>
  <c r="AB1454" i="11"/>
  <c r="W1454" i="11"/>
  <c r="AH1453" i="11"/>
  <c r="AB1453" i="11"/>
  <c r="W1453" i="11"/>
  <c r="AH1452" i="11"/>
  <c r="AB1452" i="11"/>
  <c r="W1452" i="11"/>
  <c r="AH1451" i="11"/>
  <c r="AB1451" i="11"/>
  <c r="W1451" i="11"/>
  <c r="AH1450" i="11"/>
  <c r="AB1450" i="11"/>
  <c r="W1450" i="11"/>
  <c r="AH1449" i="11"/>
  <c r="AB1449" i="11"/>
  <c r="W1449" i="11"/>
  <c r="AH1448" i="11"/>
  <c r="AB1448" i="11"/>
  <c r="W1448" i="11"/>
  <c r="AH1447" i="11"/>
  <c r="AB1447" i="11"/>
  <c r="W1447" i="11"/>
  <c r="AH1446" i="11"/>
  <c r="AB1446" i="11"/>
  <c r="W1446" i="11"/>
  <c r="AH1445" i="11"/>
  <c r="AB1445" i="11"/>
  <c r="W1445" i="11"/>
  <c r="AH1444" i="11"/>
  <c r="AB1444" i="11"/>
  <c r="W1444" i="11"/>
  <c r="AH1443" i="11"/>
  <c r="AB1443" i="11"/>
  <c r="W1443" i="11"/>
  <c r="AH1442" i="11"/>
  <c r="AB1442" i="11"/>
  <c r="W1442" i="11"/>
  <c r="AH1441" i="11"/>
  <c r="AB1441" i="11"/>
  <c r="W1441" i="11"/>
  <c r="AH1440" i="11"/>
  <c r="AB1440" i="11"/>
  <c r="W1440" i="11"/>
  <c r="AH1439" i="11"/>
  <c r="AB1439" i="11"/>
  <c r="W1439" i="11"/>
  <c r="AH1438" i="11"/>
  <c r="AB1438" i="11"/>
  <c r="W1438" i="11"/>
  <c r="AH1437" i="11"/>
  <c r="AB1437" i="11"/>
  <c r="W1437" i="11"/>
  <c r="AH1436" i="11"/>
  <c r="AB1436" i="11"/>
  <c r="W1436" i="11"/>
  <c r="AH1435" i="11"/>
  <c r="AB1435" i="11"/>
  <c r="W1435" i="11"/>
  <c r="AH1434" i="11"/>
  <c r="AB1434" i="11"/>
  <c r="W1434" i="11"/>
  <c r="AH1433" i="11"/>
  <c r="AB1433" i="11"/>
  <c r="W1433" i="11"/>
  <c r="AH1432" i="11"/>
  <c r="AB1432" i="11"/>
  <c r="W1432" i="11"/>
  <c r="AH1431" i="11"/>
  <c r="AB1431" i="11"/>
  <c r="W1431" i="11"/>
  <c r="AH1430" i="11"/>
  <c r="AB1430" i="11"/>
  <c r="W1430" i="11"/>
  <c r="AH1429" i="11"/>
  <c r="AB1429" i="11"/>
  <c r="W1429" i="11"/>
  <c r="AH1428" i="11"/>
  <c r="AB1428" i="11"/>
  <c r="W1428" i="11"/>
  <c r="AH1427" i="11"/>
  <c r="AB1427" i="11"/>
  <c r="W1427" i="11"/>
  <c r="AH1426" i="11"/>
  <c r="AB1426" i="11"/>
  <c r="W1426" i="11"/>
  <c r="AH1425" i="11"/>
  <c r="AB1425" i="11"/>
  <c r="W1425" i="11"/>
  <c r="AH1424" i="11"/>
  <c r="AB1424" i="11"/>
  <c r="W1424" i="11"/>
  <c r="AH1423" i="11"/>
  <c r="AB1423" i="11"/>
  <c r="W1423" i="11"/>
  <c r="AH1422" i="11"/>
  <c r="AB1422" i="11"/>
  <c r="W1422" i="11"/>
  <c r="AH1421" i="11"/>
  <c r="AB1421" i="11"/>
  <c r="W1421" i="11"/>
  <c r="AH1420" i="11"/>
  <c r="AB1420" i="11"/>
  <c r="W1420" i="11"/>
  <c r="AH1419" i="11"/>
  <c r="AB1419" i="11"/>
  <c r="W1419" i="11"/>
  <c r="AH1418" i="11"/>
  <c r="AB1418" i="11"/>
  <c r="W1418" i="11"/>
  <c r="AH1417" i="11"/>
  <c r="AB1417" i="11"/>
  <c r="W1417" i="11"/>
  <c r="AH1416" i="11"/>
  <c r="AB1416" i="11"/>
  <c r="W1416" i="11"/>
  <c r="AH1415" i="11"/>
  <c r="AB1415" i="11"/>
  <c r="W1415" i="11"/>
  <c r="AH1414" i="11"/>
  <c r="AB1414" i="11"/>
  <c r="W1414" i="11"/>
  <c r="AH1413" i="11"/>
  <c r="AB1413" i="11"/>
  <c r="W1413" i="11"/>
  <c r="AH1412" i="11"/>
  <c r="AB1412" i="11"/>
  <c r="W1412" i="11"/>
  <c r="AH1411" i="11"/>
  <c r="AB1411" i="11"/>
  <c r="W1411" i="11"/>
  <c r="AH1410" i="11"/>
  <c r="AB1410" i="11"/>
  <c r="W1410" i="11"/>
  <c r="AH1409" i="11"/>
  <c r="AB1409" i="11"/>
  <c r="W1409" i="11"/>
  <c r="AH1408" i="11"/>
  <c r="AB1408" i="11"/>
  <c r="W1408" i="11"/>
  <c r="AH1407" i="11"/>
  <c r="AB1407" i="11"/>
  <c r="W1407" i="11"/>
  <c r="AH1406" i="11"/>
  <c r="AB1406" i="11"/>
  <c r="W1406" i="11"/>
  <c r="AH1405" i="11"/>
  <c r="AB1405" i="11"/>
  <c r="W1405" i="11"/>
  <c r="AH1404" i="11"/>
  <c r="AB1404" i="11"/>
  <c r="W1404" i="11"/>
  <c r="AH1403" i="11"/>
  <c r="AB1403" i="11"/>
  <c r="W1403" i="11"/>
  <c r="AH1402" i="11"/>
  <c r="AB1402" i="11"/>
  <c r="W1402" i="11"/>
  <c r="AH1401" i="11"/>
  <c r="AB1401" i="11"/>
  <c r="W1401" i="11"/>
  <c r="AH1400" i="11"/>
  <c r="AB1400" i="11"/>
  <c r="W1400" i="11"/>
  <c r="AH1399" i="11"/>
  <c r="AB1399" i="11"/>
  <c r="W1399" i="11"/>
  <c r="AH1398" i="11"/>
  <c r="AB1398" i="11"/>
  <c r="W1398" i="11"/>
  <c r="AH1397" i="11"/>
  <c r="AB1397" i="11"/>
  <c r="W1397" i="11"/>
  <c r="AH1396" i="11"/>
  <c r="AB1396" i="11"/>
  <c r="W1396" i="11"/>
  <c r="AH1395" i="11"/>
  <c r="AB1395" i="11"/>
  <c r="W1395" i="11"/>
  <c r="AH1394" i="11"/>
  <c r="AB1394" i="11"/>
  <c r="W1394" i="11"/>
  <c r="AH1393" i="11"/>
  <c r="AB1393" i="11"/>
  <c r="W1393" i="11"/>
  <c r="AH1392" i="11"/>
  <c r="AB1392" i="11"/>
  <c r="W1392" i="11"/>
  <c r="AH1391" i="11"/>
  <c r="AB1391" i="11"/>
  <c r="W1391" i="11"/>
  <c r="AH1390" i="11"/>
  <c r="AB1390" i="11"/>
  <c r="W1390" i="11"/>
  <c r="AH1389" i="11"/>
  <c r="AB1389" i="11"/>
  <c r="W1389" i="11"/>
  <c r="AH1388" i="11"/>
  <c r="AB1388" i="11"/>
  <c r="W1388" i="11"/>
  <c r="AH1387" i="11"/>
  <c r="AB1387" i="11"/>
  <c r="W1387" i="11"/>
  <c r="AH1386" i="11"/>
  <c r="AB1386" i="11"/>
  <c r="W1386" i="11"/>
  <c r="AH1385" i="11"/>
  <c r="AB1385" i="11"/>
  <c r="W1385" i="11"/>
  <c r="AH1384" i="11"/>
  <c r="AB1384" i="11"/>
  <c r="W1384" i="11"/>
  <c r="AH1383" i="11"/>
  <c r="AB1383" i="11"/>
  <c r="W1383" i="11"/>
  <c r="AH1382" i="11"/>
  <c r="AB1382" i="11"/>
  <c r="W1382" i="11"/>
  <c r="AH1381" i="11"/>
  <c r="AB1381" i="11"/>
  <c r="W1381" i="11"/>
  <c r="AH1380" i="11"/>
  <c r="AB1380" i="11"/>
  <c r="W1380" i="11"/>
  <c r="AH1379" i="11"/>
  <c r="AB1379" i="11"/>
  <c r="W1379" i="11"/>
  <c r="AH1378" i="11"/>
  <c r="AB1378" i="11"/>
  <c r="W1378" i="11"/>
  <c r="AH1377" i="11"/>
  <c r="AB1377" i="11"/>
  <c r="W1377" i="11"/>
  <c r="AH1376" i="11"/>
  <c r="AB1376" i="11"/>
  <c r="W1376" i="11"/>
  <c r="AH1375" i="11"/>
  <c r="AB1375" i="11"/>
  <c r="W1375" i="11"/>
  <c r="AH1374" i="11"/>
  <c r="AB1374" i="11"/>
  <c r="W1374" i="11"/>
  <c r="AH1373" i="11"/>
  <c r="AB1373" i="11"/>
  <c r="W1373" i="11"/>
  <c r="AH1372" i="11"/>
  <c r="AB1372" i="11"/>
  <c r="W1372" i="11"/>
  <c r="AH1371" i="11"/>
  <c r="AB1371" i="11"/>
  <c r="W1371" i="11"/>
  <c r="AH1370" i="11"/>
  <c r="AB1370" i="11"/>
  <c r="W1370" i="11"/>
  <c r="AH1369" i="11"/>
  <c r="AB1369" i="11"/>
  <c r="W1369" i="11"/>
  <c r="AH1368" i="11"/>
  <c r="AB1368" i="11"/>
  <c r="W1368" i="11"/>
  <c r="AH1367" i="11"/>
  <c r="AB1367" i="11"/>
  <c r="W1367" i="11"/>
  <c r="AH1366" i="11"/>
  <c r="AB1366" i="11"/>
  <c r="W1366" i="11"/>
  <c r="AH1365" i="11"/>
  <c r="AB1365" i="11"/>
  <c r="W1365" i="11"/>
  <c r="AH1364" i="11"/>
  <c r="AB1364" i="11"/>
  <c r="W1364" i="11"/>
  <c r="AH1363" i="11"/>
  <c r="AB1363" i="11"/>
  <c r="W1363" i="11"/>
  <c r="AH1362" i="11"/>
  <c r="AB1362" i="11"/>
  <c r="W1362" i="11"/>
  <c r="AH1361" i="11"/>
  <c r="AB1361" i="11"/>
  <c r="W1361" i="11"/>
  <c r="AH1360" i="11"/>
  <c r="AB1360" i="11"/>
  <c r="W1360" i="11"/>
  <c r="AH1359" i="11"/>
  <c r="AB1359" i="11"/>
  <c r="W1359" i="11"/>
  <c r="AH1358" i="11"/>
  <c r="AB1358" i="11"/>
  <c r="W1358" i="11"/>
  <c r="AH1357" i="11"/>
  <c r="AB1357" i="11"/>
  <c r="W1357" i="11"/>
  <c r="AH1356" i="11"/>
  <c r="AB1356" i="11"/>
  <c r="W1356" i="11"/>
  <c r="AH1355" i="11"/>
  <c r="AB1355" i="11"/>
  <c r="W1355" i="11"/>
  <c r="AH1354" i="11"/>
  <c r="AB1354" i="11"/>
  <c r="W1354" i="11"/>
  <c r="AH1353" i="11"/>
  <c r="AB1353" i="11"/>
  <c r="W1353" i="11"/>
  <c r="AH1352" i="11"/>
  <c r="AB1352" i="11"/>
  <c r="W1352" i="11"/>
  <c r="AH1351" i="11"/>
  <c r="AB1351" i="11"/>
  <c r="W1351" i="11"/>
  <c r="AH1350" i="11"/>
  <c r="AB1350" i="11"/>
  <c r="W1350" i="11"/>
  <c r="AH1349" i="11"/>
  <c r="AB1349" i="11"/>
  <c r="W1349" i="11"/>
  <c r="AH1348" i="11"/>
  <c r="AB1348" i="11"/>
  <c r="W1348" i="11"/>
  <c r="AH1347" i="11"/>
  <c r="AB1347" i="11"/>
  <c r="W1347" i="11"/>
  <c r="AH1346" i="11"/>
  <c r="AB1346" i="11"/>
  <c r="W1346" i="11"/>
  <c r="AH1345" i="11"/>
  <c r="AB1345" i="11"/>
  <c r="W1345" i="11"/>
  <c r="AH1344" i="11"/>
  <c r="AB1344" i="11"/>
  <c r="W1344" i="11"/>
  <c r="AH1343" i="11"/>
  <c r="AB1343" i="11"/>
  <c r="W1343" i="11"/>
  <c r="AH1342" i="11"/>
  <c r="AB1342" i="11"/>
  <c r="W1342" i="11"/>
  <c r="AH1341" i="11"/>
  <c r="AB1341" i="11"/>
  <c r="W1341" i="11"/>
  <c r="AH1340" i="11"/>
  <c r="AB1340" i="11"/>
  <c r="W1340" i="11"/>
  <c r="AH1339" i="11"/>
  <c r="AB1339" i="11"/>
  <c r="W1339" i="11"/>
  <c r="AH1338" i="11"/>
  <c r="AB1338" i="11"/>
  <c r="W1338" i="11"/>
  <c r="AH1337" i="11"/>
  <c r="AB1337" i="11"/>
  <c r="W1337" i="11"/>
  <c r="AH1336" i="11"/>
  <c r="AB1336" i="11"/>
  <c r="W1336" i="11"/>
  <c r="AH1335" i="11"/>
  <c r="AB1335" i="11"/>
  <c r="W1335" i="11"/>
  <c r="AH1334" i="11"/>
  <c r="AB1334" i="11"/>
  <c r="W1334" i="11"/>
  <c r="AH1333" i="11"/>
  <c r="AB1333" i="11"/>
  <c r="W1333" i="11"/>
  <c r="AH1332" i="11"/>
  <c r="AB1332" i="11"/>
  <c r="W1332" i="11"/>
  <c r="AH1331" i="11"/>
  <c r="AB1331" i="11"/>
  <c r="W1331" i="11"/>
  <c r="AH1330" i="11"/>
  <c r="AB1330" i="11"/>
  <c r="W1330" i="11"/>
  <c r="AH1329" i="11"/>
  <c r="AB1329" i="11"/>
  <c r="W1329" i="11"/>
  <c r="AH1328" i="11"/>
  <c r="AB1328" i="11"/>
  <c r="W1328" i="11"/>
  <c r="AH1327" i="11"/>
  <c r="AB1327" i="11"/>
  <c r="W1327" i="11"/>
  <c r="AH1326" i="11"/>
  <c r="AB1326" i="11"/>
  <c r="W1326" i="11"/>
  <c r="AH1325" i="11"/>
  <c r="AB1325" i="11"/>
  <c r="W1325" i="11"/>
  <c r="AH1324" i="11"/>
  <c r="AB1324" i="11"/>
  <c r="W1324" i="11"/>
  <c r="AH1323" i="11"/>
  <c r="AB1323" i="11"/>
  <c r="W1323" i="11"/>
  <c r="AH1322" i="11"/>
  <c r="AB1322" i="11"/>
  <c r="W1322" i="11"/>
  <c r="AH1321" i="11"/>
  <c r="AB1321" i="11"/>
  <c r="W1321" i="11"/>
  <c r="AH1320" i="11"/>
  <c r="AB1320" i="11"/>
  <c r="W1320" i="11"/>
  <c r="AH1319" i="11"/>
  <c r="AB1319" i="11"/>
  <c r="W1319" i="11"/>
  <c r="AH1318" i="11"/>
  <c r="AB1318" i="11"/>
  <c r="W1318" i="11"/>
  <c r="AH1317" i="11"/>
  <c r="AB1317" i="11"/>
  <c r="W1317" i="11"/>
  <c r="AH1316" i="11"/>
  <c r="AB1316" i="11"/>
  <c r="W1316" i="11"/>
  <c r="AH1315" i="11"/>
  <c r="AB1315" i="11"/>
  <c r="W1315" i="11"/>
  <c r="AH1314" i="11"/>
  <c r="AB1314" i="11"/>
  <c r="W1314" i="11"/>
  <c r="AH1313" i="11"/>
  <c r="AB1313" i="11"/>
  <c r="W1313" i="11"/>
  <c r="AH1312" i="11"/>
  <c r="AB1312" i="11"/>
  <c r="W1312" i="11"/>
  <c r="AH1311" i="11"/>
  <c r="AB1311" i="11"/>
  <c r="W1311" i="11"/>
  <c r="AH1310" i="11"/>
  <c r="AB1310" i="11"/>
  <c r="W1310" i="11"/>
  <c r="AH1309" i="11"/>
  <c r="AB1309" i="11"/>
  <c r="W1309" i="11"/>
  <c r="AH1308" i="11"/>
  <c r="AB1308" i="11"/>
  <c r="W1308" i="11"/>
  <c r="AH1307" i="11"/>
  <c r="AB1307" i="11"/>
  <c r="W1307" i="11"/>
  <c r="AH1306" i="11"/>
  <c r="AB1306" i="11"/>
  <c r="W1306" i="11"/>
  <c r="AH1305" i="11"/>
  <c r="AB1305" i="11"/>
  <c r="W1305" i="11"/>
  <c r="AH1304" i="11"/>
  <c r="AB1304" i="11"/>
  <c r="W1304" i="11"/>
  <c r="AH1303" i="11"/>
  <c r="AB1303" i="11"/>
  <c r="W1303" i="11"/>
  <c r="AH1302" i="11"/>
  <c r="AB1302" i="11"/>
  <c r="W1302" i="11"/>
  <c r="AH1301" i="11"/>
  <c r="AB1301" i="11"/>
  <c r="W1301" i="11"/>
  <c r="AH1300" i="11"/>
  <c r="AB1300" i="11"/>
  <c r="W1300" i="11"/>
  <c r="AH1299" i="11"/>
  <c r="AB1299" i="11"/>
  <c r="W1299" i="11"/>
  <c r="AH1298" i="11"/>
  <c r="AB1298" i="11"/>
  <c r="W1298" i="11"/>
  <c r="AH1297" i="11"/>
  <c r="AB1297" i="11"/>
  <c r="W1297" i="11"/>
  <c r="AH1296" i="11"/>
  <c r="AB1296" i="11"/>
  <c r="W1296" i="11"/>
  <c r="AH1295" i="11"/>
  <c r="AB1295" i="11"/>
  <c r="W1295" i="11"/>
  <c r="AH1294" i="11"/>
  <c r="AB1294" i="11"/>
  <c r="W1294" i="11"/>
  <c r="AH1293" i="11"/>
  <c r="AB1293" i="11"/>
  <c r="W1293" i="11"/>
  <c r="AH1292" i="11"/>
  <c r="AB1292" i="11"/>
  <c r="W1292" i="11"/>
  <c r="AH1291" i="11"/>
  <c r="AB1291" i="11"/>
  <c r="W1291" i="11"/>
  <c r="AH1290" i="11"/>
  <c r="AB1290" i="11"/>
  <c r="W1290" i="11"/>
  <c r="AH1289" i="11"/>
  <c r="AB1289" i="11"/>
  <c r="W1289" i="11"/>
  <c r="AH1288" i="11"/>
  <c r="AB1288" i="11"/>
  <c r="W1288" i="11"/>
  <c r="AH1287" i="11"/>
  <c r="AB1287" i="11"/>
  <c r="W1287" i="11"/>
  <c r="AH1286" i="11"/>
  <c r="AB1286" i="11"/>
  <c r="W1286" i="11"/>
  <c r="AH1285" i="11"/>
  <c r="AB1285" i="11"/>
  <c r="W1285" i="11"/>
  <c r="AH1284" i="11"/>
  <c r="AB1284" i="11"/>
  <c r="W1284" i="11"/>
  <c r="AH1283" i="11"/>
  <c r="AB1283" i="11"/>
  <c r="W1283" i="11"/>
  <c r="AH1282" i="11"/>
  <c r="AB1282" i="11"/>
  <c r="W1282" i="11"/>
  <c r="AH1281" i="11"/>
  <c r="AB1281" i="11"/>
  <c r="W1281" i="11"/>
  <c r="AH1280" i="11"/>
  <c r="AB1280" i="11"/>
  <c r="W1280" i="11"/>
  <c r="AH1279" i="11"/>
  <c r="AB1279" i="11"/>
  <c r="W1279" i="11"/>
  <c r="AH1278" i="11"/>
  <c r="AB1278" i="11"/>
  <c r="W1278" i="11"/>
  <c r="AH1277" i="11"/>
  <c r="AB1277" i="11"/>
  <c r="W1277" i="11"/>
  <c r="AH1276" i="11"/>
  <c r="AB1276" i="11"/>
  <c r="W1276" i="11"/>
  <c r="AH1275" i="11"/>
  <c r="AB1275" i="11"/>
  <c r="W1275" i="11"/>
  <c r="AH1274" i="11"/>
  <c r="AB1274" i="11"/>
  <c r="W1274" i="11"/>
  <c r="AH1273" i="11"/>
  <c r="AB1273" i="11"/>
  <c r="W1273" i="11"/>
  <c r="AH1272" i="11"/>
  <c r="AB1272" i="11"/>
  <c r="W1272" i="11"/>
  <c r="AH1271" i="11"/>
  <c r="AB1271" i="11"/>
  <c r="W1271" i="11"/>
  <c r="AH1270" i="11"/>
  <c r="AB1270" i="11"/>
  <c r="W1270" i="11"/>
  <c r="AH1269" i="11"/>
  <c r="AB1269" i="11"/>
  <c r="W1269" i="11"/>
  <c r="AH1268" i="11"/>
  <c r="AB1268" i="11"/>
  <c r="W1268" i="11"/>
  <c r="AH1267" i="11"/>
  <c r="AB1267" i="11"/>
  <c r="W1267" i="11"/>
  <c r="AH1266" i="11"/>
  <c r="AB1266" i="11"/>
  <c r="W1266" i="11"/>
  <c r="AH1265" i="11"/>
  <c r="AB1265" i="11"/>
  <c r="W1265" i="11"/>
  <c r="AH1264" i="11"/>
  <c r="AB1264" i="11"/>
  <c r="W1264" i="11"/>
  <c r="AH1263" i="11"/>
  <c r="AB1263" i="11"/>
  <c r="W1263" i="11"/>
  <c r="AH1262" i="11"/>
  <c r="AB1262" i="11"/>
  <c r="W1262" i="11"/>
  <c r="AH1261" i="11"/>
  <c r="AB1261" i="11"/>
  <c r="W1261" i="11"/>
  <c r="AH1260" i="11"/>
  <c r="AB1260" i="11"/>
  <c r="W1260" i="11"/>
  <c r="AH1259" i="11"/>
  <c r="AB1259" i="11"/>
  <c r="W1259" i="11"/>
  <c r="AH1258" i="11"/>
  <c r="AB1258" i="11"/>
  <c r="W1258" i="11"/>
  <c r="AH1257" i="11"/>
  <c r="AB1257" i="11"/>
  <c r="W1257" i="11"/>
  <c r="AH1256" i="11"/>
  <c r="AB1256" i="11"/>
  <c r="W1256" i="11"/>
  <c r="AH1255" i="11"/>
  <c r="AB1255" i="11"/>
  <c r="W1255" i="11"/>
  <c r="AH1254" i="11"/>
  <c r="AB1254" i="11"/>
  <c r="W1254" i="11"/>
  <c r="AH1253" i="11"/>
  <c r="AB1253" i="11"/>
  <c r="W1253" i="11"/>
  <c r="AH1252" i="11"/>
  <c r="AB1252" i="11"/>
  <c r="W1252" i="11"/>
  <c r="AH1251" i="11"/>
  <c r="AB1251" i="11"/>
  <c r="W1251" i="11"/>
  <c r="AH1250" i="11"/>
  <c r="AB1250" i="11"/>
  <c r="W1250" i="11"/>
  <c r="AH1249" i="11"/>
  <c r="AB1249" i="11"/>
  <c r="W1249" i="11"/>
  <c r="AH1248" i="11"/>
  <c r="AB1248" i="11"/>
  <c r="W1248" i="11"/>
  <c r="AH1247" i="11"/>
  <c r="AB1247" i="11"/>
  <c r="W1247" i="11"/>
  <c r="AH1246" i="11"/>
  <c r="AB1246" i="11"/>
  <c r="W1246" i="11"/>
  <c r="AH1245" i="11"/>
  <c r="AB1245" i="11"/>
  <c r="W1245" i="11"/>
  <c r="AH1244" i="11"/>
  <c r="AB1244" i="11"/>
  <c r="W1244" i="11"/>
  <c r="AH1243" i="11"/>
  <c r="AB1243" i="11"/>
  <c r="W1243" i="11"/>
  <c r="AH1242" i="11"/>
  <c r="AB1242" i="11"/>
  <c r="W1242" i="11"/>
  <c r="AH1241" i="11"/>
  <c r="AB1241" i="11"/>
  <c r="W1241" i="11"/>
  <c r="AH1240" i="11"/>
  <c r="AB1240" i="11"/>
  <c r="W1240" i="11"/>
  <c r="AH1239" i="11"/>
  <c r="AB1239" i="11"/>
  <c r="W1239" i="11"/>
  <c r="AH1238" i="11"/>
  <c r="AB1238" i="11"/>
  <c r="W1238" i="11"/>
  <c r="AH1237" i="11"/>
  <c r="AB1237" i="11"/>
  <c r="W1237" i="11"/>
  <c r="AH1236" i="11"/>
  <c r="AB1236" i="11"/>
  <c r="W1236" i="11"/>
  <c r="AH1235" i="11"/>
  <c r="AB1235" i="11"/>
  <c r="W1235" i="11"/>
  <c r="AH1234" i="11"/>
  <c r="AB1234" i="11"/>
  <c r="W1234" i="11"/>
  <c r="AH1233" i="11"/>
  <c r="AB1233" i="11"/>
  <c r="W1233" i="11"/>
  <c r="AH1232" i="11"/>
  <c r="AB1232" i="11"/>
  <c r="W1232" i="11"/>
  <c r="AH1231" i="11"/>
  <c r="AB1231" i="11"/>
  <c r="W1231" i="11"/>
  <c r="AH1230" i="11"/>
  <c r="AB1230" i="11"/>
  <c r="W1230" i="11"/>
  <c r="AH1229" i="11"/>
  <c r="AB1229" i="11"/>
  <c r="W1229" i="11"/>
  <c r="AH1228" i="11"/>
  <c r="AB1228" i="11"/>
  <c r="W1228" i="11"/>
  <c r="AH1227" i="11"/>
  <c r="AB1227" i="11"/>
  <c r="W1227" i="11"/>
  <c r="AH1226" i="11"/>
  <c r="AB1226" i="11"/>
  <c r="W1226" i="11"/>
  <c r="AH1225" i="11"/>
  <c r="AB1225" i="11"/>
  <c r="W1225" i="11"/>
  <c r="AH1224" i="11"/>
  <c r="AB1224" i="11"/>
  <c r="W1224" i="11"/>
  <c r="AH1223" i="11"/>
  <c r="AB1223" i="11"/>
  <c r="W1223" i="11"/>
  <c r="AH1222" i="11"/>
  <c r="AB1222" i="11"/>
  <c r="W1222" i="11"/>
  <c r="AH1221" i="11"/>
  <c r="AB1221" i="11"/>
  <c r="W1221" i="11"/>
  <c r="AH1220" i="11"/>
  <c r="AB1220" i="11"/>
  <c r="W1220" i="11"/>
  <c r="AH1219" i="11"/>
  <c r="AB1219" i="11"/>
  <c r="W1219" i="11"/>
  <c r="AH1218" i="11"/>
  <c r="AB1218" i="11"/>
  <c r="W1218" i="11"/>
  <c r="AH1217" i="11"/>
  <c r="AB1217" i="11"/>
  <c r="W1217" i="11"/>
  <c r="AH1216" i="11"/>
  <c r="AB1216" i="11"/>
  <c r="W1216" i="11"/>
  <c r="AH1215" i="11"/>
  <c r="AB1215" i="11"/>
  <c r="W1215" i="11"/>
  <c r="AH1214" i="11"/>
  <c r="AB1214" i="11"/>
  <c r="W1214" i="11"/>
  <c r="AH1213" i="11"/>
  <c r="AB1213" i="11"/>
  <c r="W1213" i="11"/>
  <c r="AH1212" i="11"/>
  <c r="AB1212" i="11"/>
  <c r="W1212" i="11"/>
  <c r="AH1211" i="11"/>
  <c r="AB1211" i="11"/>
  <c r="W1211" i="11"/>
  <c r="AH1210" i="11"/>
  <c r="AB1210" i="11"/>
  <c r="W1210" i="11"/>
  <c r="AH1209" i="11"/>
  <c r="AB1209" i="11"/>
  <c r="W1209" i="11"/>
  <c r="AH1208" i="11"/>
  <c r="AB1208" i="11"/>
  <c r="W1208" i="11"/>
  <c r="AH1207" i="11"/>
  <c r="AB1207" i="11"/>
  <c r="W1207" i="11"/>
  <c r="AH1206" i="11"/>
  <c r="AB1206" i="11"/>
  <c r="W1206" i="11"/>
  <c r="AH1205" i="11"/>
  <c r="AB1205" i="11"/>
  <c r="W1205" i="11"/>
  <c r="AH1204" i="11"/>
  <c r="AB1204" i="11"/>
  <c r="W1204" i="11"/>
  <c r="AH1203" i="11"/>
  <c r="AB1203" i="11"/>
  <c r="W1203" i="11"/>
  <c r="AH1202" i="11"/>
  <c r="AB1202" i="11"/>
  <c r="W1202" i="11"/>
  <c r="AH1201" i="11"/>
  <c r="AB1201" i="11"/>
  <c r="W1201" i="11"/>
  <c r="AH1200" i="11"/>
  <c r="AB1200" i="11"/>
  <c r="W1200" i="11"/>
  <c r="AH1199" i="11"/>
  <c r="AB1199" i="11"/>
  <c r="W1199" i="11"/>
  <c r="AH1198" i="11"/>
  <c r="AB1198" i="11"/>
  <c r="W1198" i="11"/>
  <c r="AH1197" i="11"/>
  <c r="AB1197" i="11"/>
  <c r="W1197" i="11"/>
  <c r="AH1196" i="11"/>
  <c r="AB1196" i="11"/>
  <c r="W1196" i="11"/>
  <c r="AH1195" i="11"/>
  <c r="AB1195" i="11"/>
  <c r="W1195" i="11"/>
  <c r="AH1194" i="11"/>
  <c r="AB1194" i="11"/>
  <c r="W1194" i="11"/>
  <c r="AH1193" i="11"/>
  <c r="AB1193" i="11"/>
  <c r="W1193" i="11"/>
  <c r="AH1192" i="11"/>
  <c r="AB1192" i="11"/>
  <c r="W1192" i="11"/>
  <c r="AH1191" i="11"/>
  <c r="AB1191" i="11"/>
  <c r="W1191" i="11"/>
  <c r="AH1190" i="11"/>
  <c r="AB1190" i="11"/>
  <c r="W1190" i="11"/>
  <c r="AH1189" i="11"/>
  <c r="AB1189" i="11"/>
  <c r="W1189" i="11"/>
  <c r="AH1188" i="11"/>
  <c r="AB1188" i="11"/>
  <c r="W1188" i="11"/>
  <c r="AH1187" i="11"/>
  <c r="AB1187" i="11"/>
  <c r="W1187" i="11"/>
  <c r="AH1186" i="11"/>
  <c r="AB1186" i="11"/>
  <c r="W1186" i="11"/>
  <c r="AH1185" i="11"/>
  <c r="AB1185" i="11"/>
  <c r="W1185" i="11"/>
  <c r="AH1184" i="11"/>
  <c r="AB1184" i="11"/>
  <c r="W1184" i="11"/>
  <c r="AH1183" i="11"/>
  <c r="AB1183" i="11"/>
  <c r="W1183" i="11"/>
  <c r="AH1182" i="11"/>
  <c r="AB1182" i="11"/>
  <c r="W1182" i="11"/>
  <c r="AH1181" i="11"/>
  <c r="AB1181" i="11"/>
  <c r="W1181" i="11"/>
  <c r="AH1180" i="11"/>
  <c r="AB1180" i="11"/>
  <c r="W1180" i="11"/>
  <c r="AH1179" i="11"/>
  <c r="AB1179" i="11"/>
  <c r="W1179" i="11"/>
  <c r="AH1178" i="11"/>
  <c r="AB1178" i="11"/>
  <c r="W1178" i="11"/>
  <c r="AH1177" i="11"/>
  <c r="AB1177" i="11"/>
  <c r="W1177" i="11"/>
  <c r="AH1176" i="11"/>
  <c r="AB1176" i="11"/>
  <c r="W1176" i="11"/>
  <c r="AH1175" i="11"/>
  <c r="AB1175" i="11"/>
  <c r="W1175" i="11"/>
  <c r="AH1174" i="11"/>
  <c r="AB1174" i="11"/>
  <c r="W1174" i="11"/>
  <c r="AH1173" i="11"/>
  <c r="AB1173" i="11"/>
  <c r="W1173" i="11"/>
  <c r="AH1172" i="11"/>
  <c r="AB1172" i="11"/>
  <c r="W1172" i="11"/>
  <c r="AH1171" i="11"/>
  <c r="AB1171" i="11"/>
  <c r="W1171" i="11"/>
  <c r="AH1170" i="11"/>
  <c r="AB1170" i="11"/>
  <c r="W1170" i="11"/>
  <c r="AH1169" i="11"/>
  <c r="AB1169" i="11"/>
  <c r="W1169" i="11"/>
  <c r="AH1168" i="11"/>
  <c r="AB1168" i="11"/>
  <c r="W1168" i="11"/>
  <c r="AH1167" i="11"/>
  <c r="AB1167" i="11"/>
  <c r="W1167" i="11"/>
  <c r="AH1166" i="11"/>
  <c r="AB1166" i="11"/>
  <c r="W1166" i="11"/>
  <c r="AH1165" i="11"/>
  <c r="AB1165" i="11"/>
  <c r="W1165" i="11"/>
  <c r="AH1164" i="11"/>
  <c r="AB1164" i="11"/>
  <c r="W1164" i="11"/>
  <c r="AH1163" i="11"/>
  <c r="AB1163" i="11"/>
  <c r="W1163" i="11"/>
  <c r="AH1162" i="11"/>
  <c r="AB1162" i="11"/>
  <c r="W1162" i="11"/>
  <c r="AH1161" i="11"/>
  <c r="AB1161" i="11"/>
  <c r="W1161" i="11"/>
  <c r="AH1160" i="11"/>
  <c r="AB1160" i="11"/>
  <c r="W1160" i="11"/>
  <c r="AH1159" i="11"/>
  <c r="AB1159" i="11"/>
  <c r="W1159" i="11"/>
  <c r="AH1158" i="11"/>
  <c r="AB1158" i="11"/>
  <c r="W1158" i="11"/>
  <c r="AH1157" i="11"/>
  <c r="AB1157" i="11"/>
  <c r="W1157" i="11"/>
  <c r="AH1156" i="11"/>
  <c r="AB1156" i="11"/>
  <c r="W1156" i="11"/>
  <c r="AH1155" i="11"/>
  <c r="AB1155" i="11"/>
  <c r="W1155" i="11"/>
  <c r="AH1154" i="11"/>
  <c r="AB1154" i="11"/>
  <c r="W1154" i="11"/>
  <c r="AH1153" i="11"/>
  <c r="AB1153" i="11"/>
  <c r="W1153" i="11"/>
  <c r="AH1152" i="11"/>
  <c r="AB1152" i="11"/>
  <c r="W1152" i="11"/>
  <c r="AH1151" i="11"/>
  <c r="AB1151" i="11"/>
  <c r="W1151" i="11"/>
  <c r="AH1150" i="11"/>
  <c r="AB1150" i="11"/>
  <c r="W1150" i="11"/>
  <c r="AH1149" i="11"/>
  <c r="AB1149" i="11"/>
  <c r="W1149" i="11"/>
  <c r="AH1148" i="11"/>
  <c r="AB1148" i="11"/>
  <c r="W1148" i="11"/>
  <c r="AH1147" i="11"/>
  <c r="AB1147" i="11"/>
  <c r="W1147" i="11"/>
  <c r="AH1146" i="11"/>
  <c r="AB1146" i="11"/>
  <c r="W1146" i="11"/>
  <c r="AH1145" i="11"/>
  <c r="AB1145" i="11"/>
  <c r="W1145" i="11"/>
  <c r="AH1144" i="11"/>
  <c r="AB1144" i="11"/>
  <c r="W1144" i="11"/>
  <c r="AH1143" i="11"/>
  <c r="AB1143" i="11"/>
  <c r="W1143" i="11"/>
  <c r="AH1142" i="11"/>
  <c r="AB1142" i="11"/>
  <c r="W1142" i="11"/>
  <c r="AH1141" i="11"/>
  <c r="AB1141" i="11"/>
  <c r="W1141" i="11"/>
  <c r="AH1140" i="11"/>
  <c r="AB1140" i="11"/>
  <c r="W1140" i="11"/>
  <c r="AH1139" i="11"/>
  <c r="AB1139" i="11"/>
  <c r="W1139" i="11"/>
  <c r="AH1138" i="11"/>
  <c r="AB1138" i="11"/>
  <c r="W1138" i="11"/>
  <c r="AH1137" i="11"/>
  <c r="AB1137" i="11"/>
  <c r="W1137" i="11"/>
  <c r="AH1136" i="11"/>
  <c r="AB1136" i="11"/>
  <c r="W1136" i="11"/>
  <c r="AH1135" i="11"/>
  <c r="AB1135" i="11"/>
  <c r="W1135" i="11"/>
  <c r="AH1134" i="11"/>
  <c r="AB1134" i="11"/>
  <c r="W1134" i="11"/>
  <c r="AH1133" i="11"/>
  <c r="AB1133" i="11"/>
  <c r="W1133" i="11"/>
  <c r="AH1132" i="11"/>
  <c r="AB1132" i="11"/>
  <c r="W1132" i="11"/>
  <c r="AH1131" i="11"/>
  <c r="AB1131" i="11"/>
  <c r="W1131" i="11"/>
  <c r="AH1130" i="11"/>
  <c r="AB1130" i="11"/>
  <c r="W1130" i="11"/>
  <c r="AH1129" i="11"/>
  <c r="AB1129" i="11"/>
  <c r="W1129" i="11"/>
  <c r="AH1128" i="11"/>
  <c r="AB1128" i="11"/>
  <c r="W1128" i="11"/>
  <c r="AH1127" i="11"/>
  <c r="AB1127" i="11"/>
  <c r="W1127" i="11"/>
  <c r="AH1126" i="11"/>
  <c r="AB1126" i="11"/>
  <c r="W1126" i="11"/>
  <c r="AH1125" i="11"/>
  <c r="AB1125" i="11"/>
  <c r="W1125" i="11"/>
  <c r="AH1124" i="11"/>
  <c r="AB1124" i="11"/>
  <c r="W1124" i="11"/>
  <c r="AH1123" i="11"/>
  <c r="AB1123" i="11"/>
  <c r="W1123" i="11"/>
  <c r="AH1122" i="11"/>
  <c r="AB1122" i="11"/>
  <c r="W1122" i="11"/>
  <c r="AH1121" i="11"/>
  <c r="AB1121" i="11"/>
  <c r="W1121" i="11"/>
  <c r="AH1120" i="11"/>
  <c r="AB1120" i="11"/>
  <c r="W1120" i="11"/>
  <c r="AH1119" i="11"/>
  <c r="AB1119" i="11"/>
  <c r="W1119" i="11"/>
  <c r="AH1118" i="11"/>
  <c r="AB1118" i="11"/>
  <c r="W1118" i="11"/>
  <c r="AH1117" i="11"/>
  <c r="AB1117" i="11"/>
  <c r="W1117" i="11"/>
  <c r="AH1116" i="11"/>
  <c r="AB1116" i="11"/>
  <c r="W1116" i="11"/>
  <c r="AH1115" i="11"/>
  <c r="AB1115" i="11"/>
  <c r="W1115" i="11"/>
  <c r="AH1114" i="11"/>
  <c r="AB1114" i="11"/>
  <c r="W1114" i="11"/>
  <c r="AH1113" i="11"/>
  <c r="AB1113" i="11"/>
  <c r="W1113" i="11"/>
  <c r="AH1112" i="11"/>
  <c r="AB1112" i="11"/>
  <c r="W1112" i="11"/>
  <c r="AH1111" i="11"/>
  <c r="AB1111" i="11"/>
  <c r="W1111" i="11"/>
  <c r="AH1110" i="11"/>
  <c r="AB1110" i="11"/>
  <c r="W1110" i="11"/>
  <c r="AH1109" i="11"/>
  <c r="AB1109" i="11"/>
  <c r="W1109" i="11"/>
  <c r="AH1108" i="11"/>
  <c r="AB1108" i="11"/>
  <c r="W1108" i="11"/>
  <c r="AH1107" i="11"/>
  <c r="AB1107" i="11"/>
  <c r="W1107" i="11"/>
  <c r="AH1106" i="11"/>
  <c r="AB1106" i="11"/>
  <c r="W1106" i="11"/>
  <c r="AH1105" i="11"/>
  <c r="AB1105" i="11"/>
  <c r="W1105" i="11"/>
  <c r="AH1104" i="11"/>
  <c r="AB1104" i="11"/>
  <c r="W1104" i="11"/>
  <c r="AH1103" i="11"/>
  <c r="AB1103" i="11"/>
  <c r="W1103" i="11"/>
  <c r="AH1102" i="11"/>
  <c r="AB1102" i="11"/>
  <c r="W1102" i="11"/>
  <c r="AH1101" i="11"/>
  <c r="AB1101" i="11"/>
  <c r="W1101" i="11"/>
  <c r="AH1100" i="11"/>
  <c r="AB1100" i="11"/>
  <c r="W1100" i="11"/>
  <c r="AH1099" i="11"/>
  <c r="AB1099" i="11"/>
  <c r="W1099" i="11"/>
  <c r="AH1098" i="11"/>
  <c r="AB1098" i="11"/>
  <c r="W1098" i="11"/>
  <c r="AH1097" i="11"/>
  <c r="AB1097" i="11"/>
  <c r="W1097" i="11"/>
  <c r="AH1096" i="11"/>
  <c r="AB1096" i="11"/>
  <c r="W1096" i="11"/>
  <c r="AH1095" i="11"/>
  <c r="AB1095" i="11"/>
  <c r="W1095" i="11"/>
  <c r="AH1094" i="11"/>
  <c r="AB1094" i="11"/>
  <c r="W1094" i="11"/>
  <c r="AH1093" i="11"/>
  <c r="AB1093" i="11"/>
  <c r="W1093" i="11"/>
  <c r="AH1092" i="11"/>
  <c r="AB1092" i="11"/>
  <c r="W1092" i="11"/>
  <c r="AH1091" i="11"/>
  <c r="AB1091" i="11"/>
  <c r="W1091" i="11"/>
  <c r="AH1090" i="11"/>
  <c r="AB1090" i="11"/>
  <c r="W1090" i="11"/>
  <c r="AH1089" i="11"/>
  <c r="AB1089" i="11"/>
  <c r="W1089" i="11"/>
  <c r="AH1088" i="11"/>
  <c r="AB1088" i="11"/>
  <c r="W1088" i="11"/>
  <c r="AH1087" i="11"/>
  <c r="AB1087" i="11"/>
  <c r="W1087" i="11"/>
  <c r="AH1086" i="11"/>
  <c r="AB1086" i="11"/>
  <c r="W1086" i="11"/>
  <c r="AH1085" i="11"/>
  <c r="AB1085" i="11"/>
  <c r="W1085" i="11"/>
  <c r="AH1084" i="11"/>
  <c r="AB1084" i="11"/>
  <c r="W1084" i="11"/>
  <c r="AH1083" i="11"/>
  <c r="AB1083" i="11"/>
  <c r="W1083" i="11"/>
  <c r="AH1082" i="11"/>
  <c r="AB1082" i="11"/>
  <c r="W1082" i="11"/>
  <c r="AH1081" i="11"/>
  <c r="AB1081" i="11"/>
  <c r="W1081" i="11"/>
  <c r="AH1080" i="11"/>
  <c r="AB1080" i="11"/>
  <c r="W1080" i="11"/>
  <c r="AH1079" i="11"/>
  <c r="AB1079" i="11"/>
  <c r="W1079" i="11"/>
  <c r="AH1078" i="11"/>
  <c r="AB1078" i="11"/>
  <c r="W1078" i="11"/>
  <c r="AH1077" i="11"/>
  <c r="AB1077" i="11"/>
  <c r="W1077" i="11"/>
  <c r="AH1076" i="11"/>
  <c r="AB1076" i="11"/>
  <c r="W1076" i="11"/>
  <c r="AH1075" i="11"/>
  <c r="AB1075" i="11"/>
  <c r="W1075" i="11"/>
  <c r="AH1074" i="11"/>
  <c r="AB1074" i="11"/>
  <c r="W1074" i="11"/>
  <c r="AH1073" i="11"/>
  <c r="AB1073" i="11"/>
  <c r="W1073" i="11"/>
  <c r="AH1072" i="11"/>
  <c r="AB1072" i="11"/>
  <c r="W1072" i="11"/>
  <c r="AH1071" i="11"/>
  <c r="AB1071" i="11"/>
  <c r="W1071" i="11"/>
  <c r="AH1070" i="11"/>
  <c r="AB1070" i="11"/>
  <c r="W1070" i="11"/>
  <c r="AH1069" i="11"/>
  <c r="AB1069" i="11"/>
  <c r="W1069" i="11"/>
  <c r="AH1068" i="11"/>
  <c r="AB1068" i="11"/>
  <c r="W1068" i="11"/>
  <c r="AH1067" i="11"/>
  <c r="AB1067" i="11"/>
  <c r="W1067" i="11"/>
  <c r="AH1066" i="11"/>
  <c r="AB1066" i="11"/>
  <c r="W1066" i="11"/>
  <c r="AH1065" i="11"/>
  <c r="AB1065" i="11"/>
  <c r="W1065" i="11"/>
  <c r="AH1064" i="11"/>
  <c r="AB1064" i="11"/>
  <c r="W1064" i="11"/>
  <c r="AH1063" i="11"/>
  <c r="AB1063" i="11"/>
  <c r="W1063" i="11"/>
  <c r="AH1062" i="11"/>
  <c r="AB1062" i="11"/>
  <c r="W1062" i="11"/>
  <c r="AH1061" i="11"/>
  <c r="AB1061" i="11"/>
  <c r="W1061" i="11"/>
  <c r="AH1060" i="11"/>
  <c r="AB1060" i="11"/>
  <c r="W1060" i="11"/>
  <c r="AH1059" i="11"/>
  <c r="AB1059" i="11"/>
  <c r="W1059" i="11"/>
  <c r="AH1058" i="11"/>
  <c r="AB1058" i="11"/>
  <c r="W1058" i="11"/>
  <c r="AH1057" i="11"/>
  <c r="AB1057" i="11"/>
  <c r="W1057" i="11"/>
  <c r="AH1056" i="11"/>
  <c r="AB1056" i="11"/>
  <c r="W1056" i="11"/>
  <c r="AH1055" i="11"/>
  <c r="AB1055" i="11"/>
  <c r="W1055" i="11"/>
  <c r="AH1054" i="11"/>
  <c r="AB1054" i="11"/>
  <c r="W1054" i="11"/>
  <c r="AH1053" i="11"/>
  <c r="AB1053" i="11"/>
  <c r="W1053" i="11"/>
  <c r="AH1052" i="11"/>
  <c r="AB1052" i="11"/>
  <c r="W1052" i="11"/>
  <c r="AH1051" i="11"/>
  <c r="AB1051" i="11"/>
  <c r="W1051" i="11"/>
  <c r="AH1050" i="11"/>
  <c r="AB1050" i="11"/>
  <c r="W1050" i="11"/>
  <c r="AH1049" i="11"/>
  <c r="AB1049" i="11"/>
  <c r="W1049" i="11"/>
  <c r="AH1048" i="11"/>
  <c r="AB1048" i="11"/>
  <c r="W1048" i="11"/>
  <c r="AH1047" i="11"/>
  <c r="AB1047" i="11"/>
  <c r="W1047" i="11"/>
  <c r="AH1046" i="11"/>
  <c r="AB1046" i="11"/>
  <c r="W1046" i="11"/>
  <c r="AH1045" i="11"/>
  <c r="AB1045" i="11"/>
  <c r="W1045" i="11"/>
  <c r="AH1044" i="11"/>
  <c r="AB1044" i="11"/>
  <c r="W1044" i="11"/>
  <c r="AH1043" i="11"/>
  <c r="AB1043" i="11"/>
  <c r="W1043" i="11"/>
  <c r="AH1042" i="11"/>
  <c r="AB1042" i="11"/>
  <c r="W1042" i="11"/>
  <c r="AH1041" i="11"/>
  <c r="AB1041" i="11"/>
  <c r="W1041" i="11"/>
  <c r="AH1040" i="11"/>
  <c r="AB1040" i="11"/>
  <c r="W1040" i="11"/>
  <c r="AH1039" i="11"/>
  <c r="AB1039" i="11"/>
  <c r="W1039" i="11"/>
  <c r="AH1038" i="11"/>
  <c r="AB1038" i="11"/>
  <c r="W1038" i="11"/>
  <c r="AH1037" i="11"/>
  <c r="AB1037" i="11"/>
  <c r="W1037" i="11"/>
  <c r="AH1036" i="11"/>
  <c r="AB1036" i="11"/>
  <c r="W1036" i="11"/>
  <c r="AH1035" i="11"/>
  <c r="AB1035" i="11"/>
  <c r="W1035" i="11"/>
  <c r="AH1034" i="11"/>
  <c r="AB1034" i="11"/>
  <c r="W1034" i="11"/>
  <c r="AH1033" i="11"/>
  <c r="AB1033" i="11"/>
  <c r="W1033" i="11"/>
  <c r="AH1032" i="11"/>
  <c r="AB1032" i="11"/>
  <c r="W1032" i="11"/>
  <c r="AH1031" i="11"/>
  <c r="AB1031" i="11"/>
  <c r="W1031" i="11"/>
  <c r="AH1030" i="11"/>
  <c r="AB1030" i="11"/>
  <c r="W1030" i="11"/>
  <c r="AH1029" i="11"/>
  <c r="AB1029" i="11"/>
  <c r="W1029" i="11"/>
  <c r="AH1028" i="11"/>
  <c r="AB1028" i="11"/>
  <c r="W1028" i="11"/>
  <c r="AH1027" i="11"/>
  <c r="AB1027" i="11"/>
  <c r="W1027" i="11"/>
  <c r="AH1026" i="11"/>
  <c r="AB1026" i="11"/>
  <c r="W1026" i="11"/>
  <c r="AH1025" i="11"/>
  <c r="AB1025" i="11"/>
  <c r="W1025" i="11"/>
  <c r="AH1024" i="11"/>
  <c r="AB1024" i="11"/>
  <c r="W1024" i="11"/>
  <c r="AH1023" i="11"/>
  <c r="AB1023" i="11"/>
  <c r="W1023" i="11"/>
  <c r="AH1022" i="11"/>
  <c r="AB1022" i="11"/>
  <c r="W1022" i="11"/>
  <c r="AH1021" i="11"/>
  <c r="AB1021" i="11"/>
  <c r="W1021" i="11"/>
  <c r="AH1020" i="11"/>
  <c r="AB1020" i="11"/>
  <c r="W1020" i="11"/>
  <c r="AH1019" i="11"/>
  <c r="AB1019" i="11"/>
  <c r="W1019" i="11"/>
  <c r="AH1018" i="11"/>
  <c r="AB1018" i="11"/>
  <c r="W1018" i="11"/>
  <c r="AH1017" i="11"/>
  <c r="AB1017" i="11"/>
  <c r="W1017" i="11"/>
  <c r="AH1016" i="11"/>
  <c r="AB1016" i="11"/>
  <c r="W1016" i="11"/>
  <c r="AH1015" i="11"/>
  <c r="AB1015" i="11"/>
  <c r="W1015" i="11"/>
  <c r="AH1014" i="11"/>
  <c r="AB1014" i="11"/>
  <c r="W1014" i="11"/>
  <c r="AH1013" i="11"/>
  <c r="AB1013" i="11"/>
  <c r="W1013" i="11"/>
  <c r="AH1012" i="11"/>
  <c r="AB1012" i="11"/>
  <c r="W1012" i="11"/>
  <c r="AH1011" i="11"/>
  <c r="AB1011" i="11"/>
  <c r="W1011" i="11"/>
  <c r="AH1010" i="11"/>
  <c r="AB1010" i="11"/>
  <c r="W1010" i="11"/>
  <c r="AH1009" i="11"/>
  <c r="AB1009" i="11"/>
  <c r="W1009" i="11"/>
  <c r="AH1008" i="11"/>
  <c r="AB1008" i="11"/>
  <c r="W1008" i="11"/>
  <c r="AH1007" i="11"/>
  <c r="AB1007" i="11"/>
  <c r="W1007" i="11"/>
  <c r="AH1006" i="11"/>
  <c r="AB1006" i="11"/>
  <c r="W1006" i="11"/>
  <c r="AH1005" i="11"/>
  <c r="AB1005" i="11"/>
  <c r="W1005" i="11"/>
  <c r="AH1004" i="11"/>
  <c r="AB1004" i="11"/>
  <c r="W1004" i="11"/>
  <c r="AH1003" i="11"/>
  <c r="AB1003" i="11"/>
  <c r="W1003" i="11"/>
  <c r="AH1002" i="11"/>
  <c r="AB1002" i="11"/>
  <c r="W1002" i="11"/>
  <c r="AH1001" i="11"/>
  <c r="AB1001" i="11"/>
  <c r="W1001" i="11"/>
  <c r="AH1000" i="11"/>
  <c r="AB1000" i="11"/>
  <c r="W1000" i="11"/>
  <c r="AH999" i="11"/>
  <c r="AB999" i="11"/>
  <c r="W999" i="11"/>
  <c r="AH998" i="11"/>
  <c r="AB998" i="11"/>
  <c r="W998" i="11"/>
  <c r="AH997" i="11"/>
  <c r="AB997" i="11"/>
  <c r="W997" i="11"/>
  <c r="AH996" i="11"/>
  <c r="AB996" i="11"/>
  <c r="W996" i="11"/>
  <c r="AH995" i="11"/>
  <c r="AB995" i="11"/>
  <c r="W995" i="11"/>
  <c r="AH994" i="11"/>
  <c r="AB994" i="11"/>
  <c r="W994" i="11"/>
  <c r="AH993" i="11"/>
  <c r="AB993" i="11"/>
  <c r="W993" i="11"/>
  <c r="AH992" i="11"/>
  <c r="AB992" i="11"/>
  <c r="W992" i="11"/>
  <c r="AH991" i="11"/>
  <c r="AB991" i="11"/>
  <c r="W991" i="11"/>
  <c r="AH990" i="11"/>
  <c r="AB990" i="11"/>
  <c r="W990" i="11"/>
  <c r="AH989" i="11"/>
  <c r="AB989" i="11"/>
  <c r="W989" i="11"/>
  <c r="AH988" i="11"/>
  <c r="AB988" i="11"/>
  <c r="W988" i="11"/>
  <c r="AH987" i="11"/>
  <c r="AB987" i="11"/>
  <c r="W987" i="11"/>
  <c r="AH986" i="11"/>
  <c r="AB986" i="11"/>
  <c r="W986" i="11"/>
  <c r="AH985" i="11"/>
  <c r="AB985" i="11"/>
  <c r="W985" i="11"/>
  <c r="AH984" i="11"/>
  <c r="AB984" i="11"/>
  <c r="W984" i="11"/>
  <c r="AH983" i="11"/>
  <c r="AB983" i="11"/>
  <c r="W983" i="11"/>
  <c r="AH982" i="11"/>
  <c r="AB982" i="11"/>
  <c r="W982" i="11"/>
  <c r="AH981" i="11"/>
  <c r="AB981" i="11"/>
  <c r="W981" i="11"/>
  <c r="AH980" i="11"/>
  <c r="AB980" i="11"/>
  <c r="W980" i="11"/>
  <c r="AH979" i="11"/>
  <c r="AB979" i="11"/>
  <c r="W979" i="11"/>
  <c r="AH978" i="11"/>
  <c r="AB978" i="11"/>
  <c r="W978" i="11"/>
  <c r="AH977" i="11"/>
  <c r="AB977" i="11"/>
  <c r="W977" i="11"/>
  <c r="AH976" i="11"/>
  <c r="AB976" i="11"/>
  <c r="W976" i="11"/>
  <c r="AH975" i="11"/>
  <c r="AB975" i="11"/>
  <c r="W975" i="11"/>
  <c r="AH974" i="11"/>
  <c r="AB974" i="11"/>
  <c r="W974" i="11"/>
  <c r="AH973" i="11"/>
  <c r="AB973" i="11"/>
  <c r="W973" i="11"/>
  <c r="AH972" i="11"/>
  <c r="AB972" i="11"/>
  <c r="W972" i="11"/>
  <c r="AH971" i="11"/>
  <c r="AB971" i="11"/>
  <c r="W971" i="11"/>
  <c r="AH970" i="11"/>
  <c r="AB970" i="11"/>
  <c r="W970" i="11"/>
  <c r="AH969" i="11"/>
  <c r="AB969" i="11"/>
  <c r="W969" i="11"/>
  <c r="AH968" i="11"/>
  <c r="AB968" i="11"/>
  <c r="W968" i="11"/>
  <c r="AH967" i="11"/>
  <c r="AB967" i="11"/>
  <c r="W967" i="11"/>
  <c r="AH966" i="11"/>
  <c r="AB966" i="11"/>
  <c r="W966" i="11"/>
  <c r="AH965" i="11"/>
  <c r="AB965" i="11"/>
  <c r="W965" i="11"/>
  <c r="AH964" i="11"/>
  <c r="AB964" i="11"/>
  <c r="W964" i="11"/>
  <c r="AH963" i="11"/>
  <c r="AB963" i="11"/>
  <c r="W963" i="11"/>
  <c r="AH962" i="11"/>
  <c r="AB962" i="11"/>
  <c r="W962" i="11"/>
  <c r="AH961" i="11"/>
  <c r="AB961" i="11"/>
  <c r="W961" i="11"/>
  <c r="AH960" i="11"/>
  <c r="AB960" i="11"/>
  <c r="W960" i="11"/>
  <c r="AH959" i="11"/>
  <c r="AB959" i="11"/>
  <c r="W959" i="11"/>
  <c r="AH958" i="11"/>
  <c r="AB958" i="11"/>
  <c r="W958" i="11"/>
  <c r="AH957" i="11"/>
  <c r="AB957" i="11"/>
  <c r="W957" i="11"/>
  <c r="AH956" i="11"/>
  <c r="AB956" i="11"/>
  <c r="W956" i="11"/>
  <c r="AH955" i="11"/>
  <c r="AB955" i="11"/>
  <c r="W955" i="11"/>
  <c r="AH954" i="11"/>
  <c r="AB954" i="11"/>
  <c r="W954" i="11"/>
  <c r="AH953" i="11"/>
  <c r="AB953" i="11"/>
  <c r="W953" i="11"/>
  <c r="AH952" i="11"/>
  <c r="AB952" i="11"/>
  <c r="W952" i="11"/>
  <c r="AH951" i="11"/>
  <c r="AB951" i="11"/>
  <c r="W951" i="11"/>
  <c r="AH950" i="11"/>
  <c r="AB950" i="11"/>
  <c r="W950" i="11"/>
  <c r="AH949" i="11"/>
  <c r="AB949" i="11"/>
  <c r="W949" i="11"/>
  <c r="AH948" i="11"/>
  <c r="AB948" i="11"/>
  <c r="W948" i="11"/>
  <c r="AH947" i="11"/>
  <c r="AB947" i="11"/>
  <c r="W947" i="11"/>
  <c r="AH946" i="11"/>
  <c r="AB946" i="11"/>
  <c r="W946" i="11"/>
  <c r="AH945" i="11"/>
  <c r="AB945" i="11"/>
  <c r="W945" i="11"/>
  <c r="AH944" i="11"/>
  <c r="AB944" i="11"/>
  <c r="W944" i="11"/>
  <c r="AH943" i="11"/>
  <c r="AB943" i="11"/>
  <c r="W943" i="11"/>
  <c r="AH942" i="11"/>
  <c r="AB942" i="11"/>
  <c r="W942" i="11"/>
  <c r="AH941" i="11"/>
  <c r="AB941" i="11"/>
  <c r="W941" i="11"/>
  <c r="AH940" i="11"/>
  <c r="AB940" i="11"/>
  <c r="W940" i="11"/>
  <c r="AH939" i="11"/>
  <c r="AB939" i="11"/>
  <c r="W939" i="11"/>
  <c r="AH938" i="11"/>
  <c r="AB938" i="11"/>
  <c r="W938" i="11"/>
  <c r="AH937" i="11"/>
  <c r="AB937" i="11"/>
  <c r="W937" i="11"/>
  <c r="AH936" i="11"/>
  <c r="AB936" i="11"/>
  <c r="W936" i="11"/>
  <c r="AH935" i="11"/>
  <c r="AB935" i="11"/>
  <c r="W935" i="11"/>
  <c r="AH934" i="11"/>
  <c r="AB934" i="11"/>
  <c r="W934" i="11"/>
  <c r="AH933" i="11"/>
  <c r="AB933" i="11"/>
  <c r="W933" i="11"/>
  <c r="AH932" i="11"/>
  <c r="AB932" i="11"/>
  <c r="W932" i="11"/>
  <c r="AH931" i="11"/>
  <c r="AB931" i="11"/>
  <c r="W931" i="11"/>
  <c r="AH930" i="11"/>
  <c r="AB930" i="11"/>
  <c r="W930" i="11"/>
  <c r="AH929" i="11"/>
  <c r="AB929" i="11"/>
  <c r="W929" i="11"/>
  <c r="AH928" i="11"/>
  <c r="AB928" i="11"/>
  <c r="W928" i="11"/>
  <c r="AH927" i="11"/>
  <c r="AB927" i="11"/>
  <c r="W927" i="11"/>
  <c r="AH926" i="11"/>
  <c r="AB926" i="11"/>
  <c r="W926" i="11"/>
  <c r="AH925" i="11"/>
  <c r="AB925" i="11"/>
  <c r="W925" i="11"/>
  <c r="AH924" i="11"/>
  <c r="AB924" i="11"/>
  <c r="W924" i="11"/>
  <c r="AH923" i="11"/>
  <c r="AB923" i="11"/>
  <c r="W923" i="11"/>
  <c r="AH922" i="11"/>
  <c r="AB922" i="11"/>
  <c r="W922" i="11"/>
  <c r="AH921" i="11"/>
  <c r="AB921" i="11"/>
  <c r="W921" i="11"/>
  <c r="AH920" i="11"/>
  <c r="AB920" i="11"/>
  <c r="W920" i="11"/>
  <c r="AH919" i="11"/>
  <c r="AB919" i="11"/>
  <c r="W919" i="11"/>
  <c r="AH918" i="11"/>
  <c r="AB918" i="11"/>
  <c r="W918" i="11"/>
  <c r="AH917" i="11"/>
  <c r="AB917" i="11"/>
  <c r="W917" i="11"/>
  <c r="AH916" i="11"/>
  <c r="AB916" i="11"/>
  <c r="W916" i="11"/>
  <c r="AH915" i="11"/>
  <c r="AB915" i="11"/>
  <c r="W915" i="11"/>
  <c r="AH914" i="11"/>
  <c r="AB914" i="11"/>
  <c r="W914" i="11"/>
  <c r="AH913" i="11"/>
  <c r="AB913" i="11"/>
  <c r="W913" i="11"/>
  <c r="AH912" i="11"/>
  <c r="AB912" i="11"/>
  <c r="W912" i="11"/>
  <c r="AH911" i="11"/>
  <c r="AB911" i="11"/>
  <c r="W911" i="11"/>
  <c r="AH910" i="11"/>
  <c r="AB910" i="11"/>
  <c r="W910" i="11"/>
  <c r="AH909" i="11"/>
  <c r="AB909" i="11"/>
  <c r="W909" i="11"/>
  <c r="AH908" i="11"/>
  <c r="AB908" i="11"/>
  <c r="W908" i="11"/>
  <c r="AH907" i="11"/>
  <c r="AB907" i="11"/>
  <c r="W907" i="11"/>
  <c r="AH906" i="11"/>
  <c r="AB906" i="11"/>
  <c r="W906" i="11"/>
  <c r="AH905" i="11"/>
  <c r="AB905" i="11"/>
  <c r="W905" i="11"/>
  <c r="AH904" i="11"/>
  <c r="AB904" i="11"/>
  <c r="W904" i="11"/>
  <c r="AH903" i="11"/>
  <c r="AB903" i="11"/>
  <c r="W903" i="11"/>
  <c r="AH902" i="11"/>
  <c r="AB902" i="11"/>
  <c r="W902" i="11"/>
  <c r="AH901" i="11"/>
  <c r="AB901" i="11"/>
  <c r="W901" i="11"/>
  <c r="AH900" i="11"/>
  <c r="AB900" i="11"/>
  <c r="W900" i="11"/>
  <c r="AH899" i="11"/>
  <c r="AB899" i="11"/>
  <c r="W899" i="11"/>
  <c r="AH898" i="11"/>
  <c r="AB898" i="11"/>
  <c r="W898" i="11"/>
  <c r="AH897" i="11"/>
  <c r="AB897" i="11"/>
  <c r="W897" i="11"/>
  <c r="AH896" i="11"/>
  <c r="AB896" i="11"/>
  <c r="W896" i="11"/>
  <c r="AH895" i="11"/>
  <c r="AB895" i="11"/>
  <c r="W895" i="11"/>
  <c r="AH894" i="11"/>
  <c r="AB894" i="11"/>
  <c r="W894" i="11"/>
  <c r="AH893" i="11"/>
  <c r="AB893" i="11"/>
  <c r="W893" i="11"/>
  <c r="AH892" i="11"/>
  <c r="AB892" i="11"/>
  <c r="W892" i="11"/>
  <c r="AH891" i="11"/>
  <c r="AB891" i="11"/>
  <c r="W891" i="11"/>
  <c r="AH890" i="11"/>
  <c r="AB890" i="11"/>
  <c r="W890" i="11"/>
  <c r="AH889" i="11"/>
  <c r="AB889" i="11"/>
  <c r="W889" i="11"/>
  <c r="AH888" i="11"/>
  <c r="AB888" i="11"/>
  <c r="W888" i="11"/>
  <c r="AH887" i="11"/>
  <c r="AB887" i="11"/>
  <c r="W887" i="11"/>
  <c r="AH886" i="11"/>
  <c r="AB886" i="11"/>
  <c r="W886" i="11"/>
  <c r="AH885" i="11"/>
  <c r="AB885" i="11"/>
  <c r="W885" i="11"/>
  <c r="AH884" i="11"/>
  <c r="AB884" i="11"/>
  <c r="W884" i="11"/>
  <c r="AH883" i="11"/>
  <c r="AB883" i="11"/>
  <c r="W883" i="11"/>
  <c r="AH882" i="11"/>
  <c r="AB882" i="11"/>
  <c r="W882" i="11"/>
  <c r="AH881" i="11"/>
  <c r="AB881" i="11"/>
  <c r="W881" i="11"/>
  <c r="AH880" i="11"/>
  <c r="AB880" i="11"/>
  <c r="W880" i="11"/>
  <c r="AH879" i="11"/>
  <c r="AB879" i="11"/>
  <c r="W879" i="11"/>
  <c r="AH878" i="11"/>
  <c r="AB878" i="11"/>
  <c r="W878" i="11"/>
  <c r="AH877" i="11"/>
  <c r="AB877" i="11"/>
  <c r="W877" i="11"/>
  <c r="AH876" i="11"/>
  <c r="AB876" i="11"/>
  <c r="W876" i="11"/>
  <c r="AH875" i="11"/>
  <c r="AB875" i="11"/>
  <c r="W875" i="11"/>
  <c r="AH874" i="11"/>
  <c r="AB874" i="11"/>
  <c r="W874" i="11"/>
  <c r="AH873" i="11"/>
  <c r="AB873" i="11"/>
  <c r="W873" i="11"/>
  <c r="AH872" i="11"/>
  <c r="AB872" i="11"/>
  <c r="W872" i="11"/>
  <c r="AH871" i="11"/>
  <c r="AB871" i="11"/>
  <c r="W871" i="11"/>
  <c r="AH870" i="11"/>
  <c r="AB870" i="11"/>
  <c r="W870" i="11"/>
  <c r="AH869" i="11"/>
  <c r="AB869" i="11"/>
  <c r="W869" i="11"/>
  <c r="AH868" i="11"/>
  <c r="AB868" i="11"/>
  <c r="W868" i="11"/>
  <c r="AH867" i="11"/>
  <c r="AB867" i="11"/>
  <c r="W867" i="11"/>
  <c r="AH866" i="11"/>
  <c r="AB866" i="11"/>
  <c r="W866" i="11"/>
  <c r="AH865" i="11"/>
  <c r="AB865" i="11"/>
  <c r="W865" i="11"/>
  <c r="AH864" i="11"/>
  <c r="AB864" i="11"/>
  <c r="W864" i="11"/>
  <c r="AH863" i="11"/>
  <c r="AB863" i="11"/>
  <c r="W863" i="11"/>
  <c r="AH862" i="11"/>
  <c r="AB862" i="11"/>
  <c r="W862" i="11"/>
  <c r="AH861" i="11"/>
  <c r="AB861" i="11"/>
  <c r="W861" i="11"/>
  <c r="AH860" i="11"/>
  <c r="AB860" i="11"/>
  <c r="W860" i="11"/>
  <c r="AH859" i="11"/>
  <c r="AB859" i="11"/>
  <c r="W859" i="11"/>
  <c r="AH858" i="11"/>
  <c r="AB858" i="11"/>
  <c r="W858" i="11"/>
  <c r="AH857" i="11"/>
  <c r="AB857" i="11"/>
  <c r="W857" i="11"/>
  <c r="AH856" i="11"/>
  <c r="AB856" i="11"/>
  <c r="W856" i="11"/>
  <c r="AH855" i="11"/>
  <c r="AB855" i="11"/>
  <c r="W855" i="11"/>
  <c r="AH854" i="11"/>
  <c r="AB854" i="11"/>
  <c r="W854" i="11"/>
  <c r="AH853" i="11"/>
  <c r="AB853" i="11"/>
  <c r="W853" i="11"/>
  <c r="AH852" i="11"/>
  <c r="AB852" i="11"/>
  <c r="W852" i="11"/>
  <c r="AH851" i="11"/>
  <c r="AB851" i="11"/>
  <c r="W851" i="11"/>
  <c r="AH850" i="11"/>
  <c r="AB850" i="11"/>
  <c r="W850" i="11"/>
  <c r="AH849" i="11"/>
  <c r="AB849" i="11"/>
  <c r="W849" i="11"/>
  <c r="AH848" i="11"/>
  <c r="AB848" i="11"/>
  <c r="W848" i="11"/>
  <c r="AH847" i="11"/>
  <c r="AB847" i="11"/>
  <c r="W847" i="11"/>
  <c r="AH846" i="11"/>
  <c r="AB846" i="11"/>
  <c r="W846" i="11"/>
  <c r="AH845" i="11"/>
  <c r="AB845" i="11"/>
  <c r="W845" i="11"/>
  <c r="AH844" i="11"/>
  <c r="AB844" i="11"/>
  <c r="W844" i="11"/>
  <c r="AH843" i="11"/>
  <c r="AB843" i="11"/>
  <c r="W843" i="11"/>
  <c r="AH842" i="11"/>
  <c r="AB842" i="11"/>
  <c r="W842" i="11"/>
  <c r="AH841" i="11"/>
  <c r="AB841" i="11"/>
  <c r="W841" i="11"/>
  <c r="AH840" i="11"/>
  <c r="AB840" i="11"/>
  <c r="W840" i="11"/>
  <c r="AH839" i="11"/>
  <c r="AB839" i="11"/>
  <c r="W839" i="11"/>
  <c r="AH838" i="11"/>
  <c r="AB838" i="11"/>
  <c r="W838" i="11"/>
  <c r="AH837" i="11"/>
  <c r="AB837" i="11"/>
  <c r="W837" i="11"/>
  <c r="AH836" i="11"/>
  <c r="AB836" i="11"/>
  <c r="W836" i="11"/>
  <c r="AH835" i="11"/>
  <c r="AB835" i="11"/>
  <c r="W835" i="11"/>
  <c r="AH834" i="11"/>
  <c r="AB834" i="11"/>
  <c r="W834" i="11"/>
  <c r="AH833" i="11"/>
  <c r="AB833" i="11"/>
  <c r="W833" i="11"/>
  <c r="AH832" i="11"/>
  <c r="AB832" i="11"/>
  <c r="W832" i="11"/>
  <c r="AH831" i="11"/>
  <c r="AB831" i="11"/>
  <c r="W831" i="11"/>
  <c r="AH830" i="11"/>
  <c r="AB830" i="11"/>
  <c r="W830" i="11"/>
  <c r="AH829" i="11"/>
  <c r="AB829" i="11"/>
  <c r="W829" i="11"/>
  <c r="AH828" i="11"/>
  <c r="AB828" i="11"/>
  <c r="W828" i="11"/>
  <c r="AH827" i="11"/>
  <c r="AB827" i="11"/>
  <c r="W827" i="11"/>
  <c r="AH826" i="11"/>
  <c r="AB826" i="11"/>
  <c r="W826" i="11"/>
  <c r="AH825" i="11"/>
  <c r="AB825" i="11"/>
  <c r="W825" i="11"/>
  <c r="AH824" i="11"/>
  <c r="AB824" i="11"/>
  <c r="W824" i="11"/>
  <c r="AH823" i="11"/>
  <c r="AB823" i="11"/>
  <c r="W823" i="11"/>
  <c r="AH822" i="11"/>
  <c r="AB822" i="11"/>
  <c r="W822" i="11"/>
  <c r="AH821" i="11"/>
  <c r="AB821" i="11"/>
  <c r="W821" i="11"/>
  <c r="AH820" i="11"/>
  <c r="AB820" i="11"/>
  <c r="W820" i="11"/>
  <c r="AH819" i="11"/>
  <c r="AB819" i="11"/>
  <c r="W819" i="11"/>
  <c r="AH818" i="11"/>
  <c r="AB818" i="11"/>
  <c r="W818" i="11"/>
  <c r="AH817" i="11"/>
  <c r="AB817" i="11"/>
  <c r="W817" i="11"/>
  <c r="AH816" i="11"/>
  <c r="AB816" i="11"/>
  <c r="W816" i="11"/>
  <c r="AH815" i="11"/>
  <c r="AB815" i="11"/>
  <c r="W815" i="11"/>
  <c r="AH814" i="11"/>
  <c r="AB814" i="11"/>
  <c r="W814" i="11"/>
  <c r="AH813" i="11"/>
  <c r="AB813" i="11"/>
  <c r="W813" i="11"/>
  <c r="AH812" i="11"/>
  <c r="AB812" i="11"/>
  <c r="W812" i="11"/>
  <c r="AH811" i="11"/>
  <c r="AB811" i="11"/>
  <c r="W811" i="11"/>
  <c r="AH810" i="11"/>
  <c r="AB810" i="11"/>
  <c r="W810" i="11"/>
  <c r="AH809" i="11"/>
  <c r="AB809" i="11"/>
  <c r="W809" i="11"/>
  <c r="AH808" i="11"/>
  <c r="AB808" i="11"/>
  <c r="W808" i="11"/>
  <c r="AH807" i="11"/>
  <c r="AB807" i="11"/>
  <c r="W807" i="11"/>
  <c r="AH806" i="11"/>
  <c r="AB806" i="11"/>
  <c r="W806" i="11"/>
  <c r="AH805" i="11"/>
  <c r="AB805" i="11"/>
  <c r="W805" i="11"/>
  <c r="AH804" i="11"/>
  <c r="AB804" i="11"/>
  <c r="W804" i="11"/>
  <c r="AH803" i="11"/>
  <c r="AB803" i="11"/>
  <c r="W803" i="11"/>
  <c r="AH802" i="11"/>
  <c r="AB802" i="11"/>
  <c r="W802" i="11"/>
  <c r="AH801" i="11"/>
  <c r="AB801" i="11"/>
  <c r="W801" i="11"/>
  <c r="AH800" i="11"/>
  <c r="AB800" i="11"/>
  <c r="W800" i="11"/>
  <c r="AH799" i="11"/>
  <c r="AB799" i="11"/>
  <c r="W799" i="11"/>
  <c r="AH798" i="11"/>
  <c r="AB798" i="11"/>
  <c r="W798" i="11"/>
  <c r="AH797" i="11"/>
  <c r="AB797" i="11"/>
  <c r="W797" i="11"/>
  <c r="AH796" i="11"/>
  <c r="AB796" i="11"/>
  <c r="W796" i="11"/>
  <c r="AH795" i="11"/>
  <c r="AB795" i="11"/>
  <c r="W795" i="11"/>
  <c r="AH794" i="11"/>
  <c r="AB794" i="11"/>
  <c r="W794" i="11"/>
  <c r="AH793" i="11"/>
  <c r="AB793" i="11"/>
  <c r="W793" i="11"/>
  <c r="AH792" i="11"/>
  <c r="AB792" i="11"/>
  <c r="W792" i="11"/>
  <c r="AH791" i="11"/>
  <c r="AB791" i="11"/>
  <c r="W791" i="11"/>
  <c r="AH790" i="11"/>
  <c r="AB790" i="11"/>
  <c r="W790" i="11"/>
  <c r="AH789" i="11"/>
  <c r="AB789" i="11"/>
  <c r="W789" i="11"/>
  <c r="AH788" i="11"/>
  <c r="AB788" i="11"/>
  <c r="W788" i="11"/>
  <c r="AH787" i="11"/>
  <c r="AB787" i="11"/>
  <c r="W787" i="11"/>
  <c r="AH786" i="11"/>
  <c r="AB786" i="11"/>
  <c r="W786" i="11"/>
  <c r="AH785" i="11"/>
  <c r="AB785" i="11"/>
  <c r="W785" i="11"/>
  <c r="AH784" i="11"/>
  <c r="AB784" i="11"/>
  <c r="W784" i="11"/>
  <c r="AH783" i="11"/>
  <c r="AB783" i="11"/>
  <c r="W783" i="11"/>
  <c r="AH782" i="11"/>
  <c r="AB782" i="11"/>
  <c r="W782" i="11"/>
  <c r="AH781" i="11"/>
  <c r="AB781" i="11"/>
  <c r="W781" i="11"/>
  <c r="AH780" i="11"/>
  <c r="AB780" i="11"/>
  <c r="W780" i="11"/>
  <c r="AH779" i="11"/>
  <c r="AB779" i="11"/>
  <c r="W779" i="11"/>
  <c r="AH778" i="11"/>
  <c r="AB778" i="11"/>
  <c r="W778" i="11"/>
  <c r="AH777" i="11"/>
  <c r="AB777" i="11"/>
  <c r="W777" i="11"/>
  <c r="AH776" i="11"/>
  <c r="AB776" i="11"/>
  <c r="W776" i="11"/>
  <c r="AH775" i="11"/>
  <c r="AB775" i="11"/>
  <c r="W775" i="11"/>
  <c r="AH774" i="11"/>
  <c r="AB774" i="11"/>
  <c r="W774" i="11"/>
  <c r="AH773" i="11"/>
  <c r="AB773" i="11"/>
  <c r="W773" i="11"/>
  <c r="AH772" i="11"/>
  <c r="AB772" i="11"/>
  <c r="W772" i="11"/>
  <c r="AH771" i="11"/>
  <c r="AB771" i="11"/>
  <c r="W771" i="11"/>
  <c r="AH770" i="11"/>
  <c r="AB770" i="11"/>
  <c r="W770" i="11"/>
  <c r="AH769" i="11"/>
  <c r="AB769" i="11"/>
  <c r="W769" i="11"/>
  <c r="AH768" i="11"/>
  <c r="AB768" i="11"/>
  <c r="W768" i="11"/>
  <c r="AH767" i="11"/>
  <c r="AB767" i="11"/>
  <c r="W767" i="11"/>
  <c r="AH766" i="11"/>
  <c r="AB766" i="11"/>
  <c r="W766" i="11"/>
  <c r="AH765" i="11"/>
  <c r="AB765" i="11"/>
  <c r="W765" i="11"/>
  <c r="AH764" i="11"/>
  <c r="AB764" i="11"/>
  <c r="W764" i="11"/>
  <c r="AH763" i="11"/>
  <c r="AB763" i="11"/>
  <c r="W763" i="11"/>
  <c r="AH762" i="11"/>
  <c r="AB762" i="11"/>
  <c r="W762" i="11"/>
  <c r="AH761" i="11"/>
  <c r="AB761" i="11"/>
  <c r="W761" i="11"/>
  <c r="AH760" i="11"/>
  <c r="AB760" i="11"/>
  <c r="W760" i="11"/>
  <c r="AH759" i="11"/>
  <c r="AB759" i="11"/>
  <c r="W759" i="11"/>
  <c r="AH758" i="11"/>
  <c r="AB758" i="11"/>
  <c r="W758" i="11"/>
  <c r="AH757" i="11"/>
  <c r="AB757" i="11"/>
  <c r="W757" i="11"/>
  <c r="AH756" i="11"/>
  <c r="AB756" i="11"/>
  <c r="W756" i="11"/>
  <c r="AH755" i="11"/>
  <c r="AB755" i="11"/>
  <c r="W755" i="11"/>
  <c r="AH754" i="11"/>
  <c r="AB754" i="11"/>
  <c r="W754" i="11"/>
  <c r="AH753" i="11"/>
  <c r="AB753" i="11"/>
  <c r="W753" i="11"/>
  <c r="AH752" i="11"/>
  <c r="AB752" i="11"/>
  <c r="W752" i="11"/>
  <c r="AH751" i="11"/>
  <c r="AB751" i="11"/>
  <c r="W751" i="11"/>
  <c r="AH750" i="11"/>
  <c r="AB750" i="11"/>
  <c r="W750" i="11"/>
  <c r="AH749" i="11"/>
  <c r="AB749" i="11"/>
  <c r="W749" i="11"/>
  <c r="AH748" i="11"/>
  <c r="AB748" i="11"/>
  <c r="W748" i="11"/>
  <c r="AH747" i="11"/>
  <c r="AB747" i="11"/>
  <c r="W747" i="11"/>
  <c r="AH746" i="11"/>
  <c r="AB746" i="11"/>
  <c r="W746" i="11"/>
  <c r="AH745" i="11"/>
  <c r="AB745" i="11"/>
  <c r="W745" i="11"/>
  <c r="AH744" i="11"/>
  <c r="AB744" i="11"/>
  <c r="W744" i="11"/>
  <c r="AH743" i="11"/>
  <c r="AB743" i="11"/>
  <c r="W743" i="11"/>
  <c r="AH742" i="11"/>
  <c r="AB742" i="11"/>
  <c r="W742" i="11"/>
  <c r="AH741" i="11"/>
  <c r="AB741" i="11"/>
  <c r="W741" i="11"/>
  <c r="AH740" i="11"/>
  <c r="AB740" i="11"/>
  <c r="W740" i="11"/>
  <c r="AH739" i="11"/>
  <c r="AB739" i="11"/>
  <c r="W739" i="11"/>
  <c r="AH738" i="11"/>
  <c r="AB738" i="11"/>
  <c r="W738" i="11"/>
  <c r="AH737" i="11"/>
  <c r="AB737" i="11"/>
  <c r="W737" i="11"/>
  <c r="AH736" i="11"/>
  <c r="AB736" i="11"/>
  <c r="W736" i="11"/>
  <c r="AH735" i="11"/>
  <c r="AB735" i="11"/>
  <c r="W735" i="11"/>
  <c r="AH734" i="11"/>
  <c r="AB734" i="11"/>
  <c r="W734" i="11"/>
  <c r="AH733" i="11"/>
  <c r="AB733" i="11"/>
  <c r="W733" i="11"/>
  <c r="AH732" i="11"/>
  <c r="AB732" i="11"/>
  <c r="W732" i="11"/>
  <c r="AH731" i="11"/>
  <c r="AB731" i="11"/>
  <c r="W731" i="11"/>
  <c r="AH730" i="11"/>
  <c r="AB730" i="11"/>
  <c r="W730" i="11"/>
  <c r="AH729" i="11"/>
  <c r="AB729" i="11"/>
  <c r="W729" i="11"/>
  <c r="AH728" i="11"/>
  <c r="AB728" i="11"/>
  <c r="W728" i="11"/>
  <c r="AH727" i="11"/>
  <c r="AB727" i="11"/>
  <c r="W727" i="11"/>
  <c r="AH726" i="11"/>
  <c r="AB726" i="11"/>
  <c r="W726" i="11"/>
  <c r="AH725" i="11"/>
  <c r="AB725" i="11"/>
  <c r="W725" i="11"/>
  <c r="AH724" i="11"/>
  <c r="AB724" i="11"/>
  <c r="W724" i="11"/>
  <c r="AH723" i="11"/>
  <c r="AB723" i="11"/>
  <c r="W723" i="11"/>
  <c r="AH722" i="11"/>
  <c r="AB722" i="11"/>
  <c r="W722" i="11"/>
  <c r="AH721" i="11"/>
  <c r="AB721" i="11"/>
  <c r="W721" i="11"/>
  <c r="AH720" i="11"/>
  <c r="AB720" i="11"/>
  <c r="W720" i="11"/>
  <c r="AH719" i="11"/>
  <c r="AB719" i="11"/>
  <c r="W719" i="11"/>
  <c r="AH718" i="11"/>
  <c r="AB718" i="11"/>
  <c r="W718" i="11"/>
  <c r="AH717" i="11"/>
  <c r="AB717" i="11"/>
  <c r="W717" i="11"/>
  <c r="AH716" i="11"/>
  <c r="AB716" i="11"/>
  <c r="W716" i="11"/>
  <c r="AH715" i="11"/>
  <c r="AB715" i="11"/>
  <c r="W715" i="11"/>
  <c r="AH714" i="11"/>
  <c r="AB714" i="11"/>
  <c r="W714" i="11"/>
  <c r="AH713" i="11"/>
  <c r="AB713" i="11"/>
  <c r="W713" i="11"/>
  <c r="AH712" i="11"/>
  <c r="AB712" i="11"/>
  <c r="W712" i="11"/>
  <c r="AH711" i="11"/>
  <c r="AB711" i="11"/>
  <c r="W711" i="11"/>
  <c r="AH710" i="11"/>
  <c r="AB710" i="11"/>
  <c r="W710" i="11"/>
  <c r="AH709" i="11"/>
  <c r="AB709" i="11"/>
  <c r="W709" i="11"/>
  <c r="AH708" i="11"/>
  <c r="AB708" i="11"/>
  <c r="W708" i="11"/>
  <c r="AH707" i="11"/>
  <c r="AB707" i="11"/>
  <c r="W707" i="11"/>
  <c r="AH706" i="11"/>
  <c r="AB706" i="11"/>
  <c r="W706" i="11"/>
  <c r="AH705" i="11"/>
  <c r="AB705" i="11"/>
  <c r="W705" i="11"/>
  <c r="AH704" i="11"/>
  <c r="AB704" i="11"/>
  <c r="W704" i="11"/>
  <c r="AH703" i="11"/>
  <c r="AB703" i="11"/>
  <c r="W703" i="11"/>
  <c r="AH702" i="11"/>
  <c r="AB702" i="11"/>
  <c r="W702" i="11"/>
  <c r="AH701" i="11"/>
  <c r="AB701" i="11"/>
  <c r="W701" i="11"/>
  <c r="AH700" i="11"/>
  <c r="AB700" i="11"/>
  <c r="W700" i="11"/>
  <c r="AH699" i="11"/>
  <c r="AB699" i="11"/>
  <c r="W699" i="11"/>
  <c r="AH698" i="11"/>
  <c r="AB698" i="11"/>
  <c r="W698" i="11"/>
  <c r="AH697" i="11"/>
  <c r="AB697" i="11"/>
  <c r="W697" i="11"/>
  <c r="AH696" i="11"/>
  <c r="AB696" i="11"/>
  <c r="W696" i="11"/>
  <c r="AH695" i="11"/>
  <c r="AB695" i="11"/>
  <c r="W695" i="11"/>
  <c r="AH694" i="11"/>
  <c r="AB694" i="11"/>
  <c r="W694" i="11"/>
  <c r="AH693" i="11"/>
  <c r="AB693" i="11"/>
  <c r="W693" i="11"/>
  <c r="AH692" i="11"/>
  <c r="AB692" i="11"/>
  <c r="W692" i="11"/>
  <c r="AH691" i="11"/>
  <c r="AB691" i="11"/>
  <c r="W691" i="11"/>
  <c r="AH690" i="11"/>
  <c r="AB690" i="11"/>
  <c r="W690" i="11"/>
  <c r="AH689" i="11"/>
  <c r="AB689" i="11"/>
  <c r="W689" i="11"/>
  <c r="AH688" i="11"/>
  <c r="AB688" i="11"/>
  <c r="W688" i="11"/>
  <c r="AH687" i="11"/>
  <c r="AB687" i="11"/>
  <c r="W687" i="11"/>
  <c r="AH686" i="11"/>
  <c r="AB686" i="11"/>
  <c r="W686" i="11"/>
  <c r="AH685" i="11"/>
  <c r="AB685" i="11"/>
  <c r="W685" i="11"/>
  <c r="AH684" i="11"/>
  <c r="AB684" i="11"/>
  <c r="W684" i="11"/>
  <c r="AH683" i="11"/>
  <c r="AB683" i="11"/>
  <c r="W683" i="11"/>
  <c r="AH682" i="11"/>
  <c r="AB682" i="11"/>
  <c r="W682" i="11"/>
  <c r="AH681" i="11"/>
  <c r="AB681" i="11"/>
  <c r="W681" i="11"/>
  <c r="AH680" i="11"/>
  <c r="AB680" i="11"/>
  <c r="W680" i="11"/>
  <c r="AH679" i="11"/>
  <c r="AB679" i="11"/>
  <c r="W679" i="11"/>
  <c r="AH678" i="11"/>
  <c r="AB678" i="11"/>
  <c r="W678" i="11"/>
  <c r="AH677" i="11"/>
  <c r="AB677" i="11"/>
  <c r="W677" i="11"/>
  <c r="AH676" i="11"/>
  <c r="AB676" i="11"/>
  <c r="W676" i="11"/>
  <c r="AH675" i="11"/>
  <c r="AB675" i="11"/>
  <c r="W675" i="11"/>
  <c r="AH674" i="11"/>
  <c r="AB674" i="11"/>
  <c r="W674" i="11"/>
  <c r="AH673" i="11"/>
  <c r="AB673" i="11"/>
  <c r="W673" i="11"/>
  <c r="AH672" i="11"/>
  <c r="AB672" i="11"/>
  <c r="W672" i="11"/>
  <c r="AH671" i="11"/>
  <c r="AB671" i="11"/>
  <c r="W671" i="11"/>
  <c r="AH670" i="11"/>
  <c r="AB670" i="11"/>
  <c r="W670" i="11"/>
  <c r="AH669" i="11"/>
  <c r="AB669" i="11"/>
  <c r="W669" i="11"/>
  <c r="AH668" i="11"/>
  <c r="AB668" i="11"/>
  <c r="W668" i="11"/>
  <c r="AH667" i="11"/>
  <c r="AB667" i="11"/>
  <c r="W667" i="11"/>
  <c r="AH666" i="11"/>
  <c r="AB666" i="11"/>
  <c r="W666" i="11"/>
  <c r="AH665" i="11"/>
  <c r="AB665" i="11"/>
  <c r="W665" i="11"/>
  <c r="AH664" i="11"/>
  <c r="AB664" i="11"/>
  <c r="W664" i="11"/>
  <c r="AH663" i="11"/>
  <c r="AB663" i="11"/>
  <c r="W663" i="11"/>
  <c r="AH662" i="11"/>
  <c r="AB662" i="11"/>
  <c r="W662" i="11"/>
  <c r="AH661" i="11"/>
  <c r="AB661" i="11"/>
  <c r="W661" i="11"/>
  <c r="AH660" i="11"/>
  <c r="AB660" i="11"/>
  <c r="W660" i="11"/>
  <c r="AH659" i="11"/>
  <c r="AB659" i="11"/>
  <c r="W659" i="11"/>
  <c r="AH658" i="11"/>
  <c r="AB658" i="11"/>
  <c r="W658" i="11"/>
  <c r="AH657" i="11"/>
  <c r="AB657" i="11"/>
  <c r="W657" i="11"/>
  <c r="AH656" i="11"/>
  <c r="AB656" i="11"/>
  <c r="W656" i="11"/>
  <c r="AH655" i="11"/>
  <c r="AB655" i="11"/>
  <c r="W655" i="11"/>
  <c r="AH654" i="11"/>
  <c r="AB654" i="11"/>
  <c r="W654" i="11"/>
  <c r="AH653" i="11"/>
  <c r="AB653" i="11"/>
  <c r="W653" i="11"/>
  <c r="AH652" i="11"/>
  <c r="AB652" i="11"/>
  <c r="W652" i="11"/>
  <c r="AH651" i="11"/>
  <c r="AB651" i="11"/>
  <c r="W651" i="11"/>
  <c r="AH650" i="11"/>
  <c r="AB650" i="11"/>
  <c r="W650" i="11"/>
  <c r="AH649" i="11"/>
  <c r="AB649" i="11"/>
  <c r="W649" i="11"/>
  <c r="AH648" i="11"/>
  <c r="AB648" i="11"/>
  <c r="W648" i="11"/>
  <c r="AH647" i="11"/>
  <c r="AB647" i="11"/>
  <c r="W647" i="11"/>
  <c r="AH646" i="11"/>
  <c r="AB646" i="11"/>
  <c r="W646" i="11"/>
  <c r="AH645" i="11"/>
  <c r="AB645" i="11"/>
  <c r="W645" i="11"/>
  <c r="AH644" i="11"/>
  <c r="AB644" i="11"/>
  <c r="W644" i="11"/>
  <c r="AH643" i="11"/>
  <c r="AB643" i="11"/>
  <c r="W643" i="11"/>
  <c r="AH642" i="11"/>
  <c r="AB642" i="11"/>
  <c r="W642" i="11"/>
  <c r="AH641" i="11"/>
  <c r="AB641" i="11"/>
  <c r="W641" i="11"/>
  <c r="AH640" i="11"/>
  <c r="AB640" i="11"/>
  <c r="W640" i="11"/>
  <c r="AH639" i="11"/>
  <c r="AB639" i="11"/>
  <c r="W639" i="11"/>
  <c r="AH638" i="11"/>
  <c r="AB638" i="11"/>
  <c r="W638" i="11"/>
  <c r="AH637" i="11"/>
  <c r="AB637" i="11"/>
  <c r="W637" i="11"/>
  <c r="AH636" i="11"/>
  <c r="AB636" i="11"/>
  <c r="W636" i="11"/>
  <c r="AH635" i="11"/>
  <c r="AB635" i="11"/>
  <c r="W635" i="11"/>
  <c r="AH634" i="11"/>
  <c r="AB634" i="11"/>
  <c r="W634" i="11"/>
  <c r="AH633" i="11"/>
  <c r="AB633" i="11"/>
  <c r="W633" i="11"/>
  <c r="AH632" i="11"/>
  <c r="AB632" i="11"/>
  <c r="W632" i="11"/>
  <c r="AH631" i="11"/>
  <c r="AB631" i="11"/>
  <c r="W631" i="11"/>
  <c r="AH630" i="11"/>
  <c r="AB630" i="11"/>
  <c r="W630" i="11"/>
  <c r="AH629" i="11"/>
  <c r="AB629" i="11"/>
  <c r="W629" i="11"/>
  <c r="AH628" i="11"/>
  <c r="AB628" i="11"/>
  <c r="W628" i="11"/>
  <c r="AH627" i="11"/>
  <c r="AB627" i="11"/>
  <c r="W627" i="11"/>
  <c r="AH626" i="11"/>
  <c r="AB626" i="11"/>
  <c r="W626" i="11"/>
  <c r="AH625" i="11"/>
  <c r="AB625" i="11"/>
  <c r="W625" i="11"/>
  <c r="AH624" i="11"/>
  <c r="AB624" i="11"/>
  <c r="W624" i="11"/>
  <c r="AH623" i="11"/>
  <c r="AB623" i="11"/>
  <c r="W623" i="11"/>
  <c r="AH622" i="11"/>
  <c r="AB622" i="11"/>
  <c r="W622" i="11"/>
  <c r="AH621" i="11"/>
  <c r="AB621" i="11"/>
  <c r="W621" i="11"/>
  <c r="AH620" i="11"/>
  <c r="AB620" i="11"/>
  <c r="W620" i="11"/>
  <c r="AH619" i="11"/>
  <c r="AB619" i="11"/>
  <c r="W619" i="11"/>
  <c r="AH618" i="11"/>
  <c r="AB618" i="11"/>
  <c r="W618" i="11"/>
  <c r="AH617" i="11"/>
  <c r="AB617" i="11"/>
  <c r="W617" i="11"/>
  <c r="AH616" i="11"/>
  <c r="AB616" i="11"/>
  <c r="W616" i="11"/>
  <c r="AH615" i="11"/>
  <c r="AB615" i="11"/>
  <c r="W615" i="11"/>
  <c r="AH614" i="11"/>
  <c r="AB614" i="11"/>
  <c r="W614" i="11"/>
  <c r="AH613" i="11"/>
  <c r="AB613" i="11"/>
  <c r="W613" i="11"/>
  <c r="AH612" i="11"/>
  <c r="AB612" i="11"/>
  <c r="W612" i="11"/>
  <c r="AH611" i="11"/>
  <c r="AB611" i="11"/>
  <c r="W611" i="11"/>
  <c r="AH610" i="11"/>
  <c r="AB610" i="11"/>
  <c r="W610" i="11"/>
  <c r="AH609" i="11"/>
  <c r="AB609" i="11"/>
  <c r="W609" i="11"/>
  <c r="AH608" i="11"/>
  <c r="AB608" i="11"/>
  <c r="W608" i="11"/>
  <c r="AH607" i="11"/>
  <c r="AB607" i="11"/>
  <c r="W607" i="11"/>
  <c r="AH606" i="11"/>
  <c r="AB606" i="11"/>
  <c r="W606" i="11"/>
  <c r="AH605" i="11"/>
  <c r="AB605" i="11"/>
  <c r="W605" i="11"/>
  <c r="AH604" i="11"/>
  <c r="AB604" i="11"/>
  <c r="W604" i="11"/>
  <c r="AH603" i="11"/>
  <c r="AB603" i="11"/>
  <c r="W603" i="11"/>
  <c r="AH602" i="11"/>
  <c r="AB602" i="11"/>
  <c r="W602" i="11"/>
  <c r="AH601" i="11"/>
  <c r="AB601" i="11"/>
  <c r="W601" i="11"/>
  <c r="AH600" i="11"/>
  <c r="AB600" i="11"/>
  <c r="W600" i="11"/>
  <c r="AH599" i="11"/>
  <c r="AB599" i="11"/>
  <c r="W599" i="11"/>
  <c r="AH598" i="11"/>
  <c r="AB598" i="11"/>
  <c r="W598" i="11"/>
  <c r="AH597" i="11"/>
  <c r="AB597" i="11"/>
  <c r="W597" i="11"/>
  <c r="AH596" i="11"/>
  <c r="AB596" i="11"/>
  <c r="W596" i="11"/>
  <c r="AH595" i="11"/>
  <c r="AB595" i="11"/>
  <c r="W595" i="11"/>
  <c r="AH594" i="11"/>
  <c r="AB594" i="11"/>
  <c r="W594" i="11"/>
  <c r="AH593" i="11"/>
  <c r="AB593" i="11"/>
  <c r="W593" i="11"/>
  <c r="AH592" i="11"/>
  <c r="AB592" i="11"/>
  <c r="W592" i="11"/>
  <c r="AH591" i="11"/>
  <c r="AB591" i="11"/>
  <c r="W591" i="11"/>
  <c r="AH590" i="11"/>
  <c r="AB590" i="11"/>
  <c r="W590" i="11"/>
  <c r="AH589" i="11"/>
  <c r="AB589" i="11"/>
  <c r="W589" i="11"/>
  <c r="AH588" i="11"/>
  <c r="AB588" i="11"/>
  <c r="W588" i="11"/>
  <c r="AH587" i="11"/>
  <c r="AB587" i="11"/>
  <c r="W587" i="11"/>
  <c r="AH586" i="11"/>
  <c r="AB586" i="11"/>
  <c r="W586" i="11"/>
  <c r="AH585" i="11"/>
  <c r="AB585" i="11"/>
  <c r="W585" i="11"/>
  <c r="AH584" i="11"/>
  <c r="AB584" i="11"/>
  <c r="W584" i="11"/>
  <c r="AH583" i="11"/>
  <c r="AB583" i="11"/>
  <c r="W583" i="11"/>
  <c r="AH582" i="11"/>
  <c r="AB582" i="11"/>
  <c r="W582" i="11"/>
  <c r="AH581" i="11"/>
  <c r="AB581" i="11"/>
  <c r="W581" i="11"/>
  <c r="AH580" i="11"/>
  <c r="AB580" i="11"/>
  <c r="W580" i="11"/>
  <c r="AH579" i="11"/>
  <c r="AB579" i="11"/>
  <c r="W579" i="11"/>
  <c r="AH578" i="11"/>
  <c r="AB578" i="11"/>
  <c r="W578" i="11"/>
  <c r="AH577" i="11"/>
  <c r="AB577" i="11"/>
  <c r="W577" i="11"/>
  <c r="AH576" i="11"/>
  <c r="AB576" i="11"/>
  <c r="W576" i="11"/>
  <c r="AH575" i="11"/>
  <c r="AB575" i="11"/>
  <c r="W575" i="11"/>
  <c r="AH574" i="11"/>
  <c r="AB574" i="11"/>
  <c r="W574" i="11"/>
  <c r="AH573" i="11"/>
  <c r="AB573" i="11"/>
  <c r="W573" i="11"/>
  <c r="AH572" i="11"/>
  <c r="AB572" i="11"/>
  <c r="W572" i="11"/>
  <c r="AH571" i="11"/>
  <c r="AB571" i="11"/>
  <c r="W571" i="11"/>
  <c r="AH570" i="11"/>
  <c r="AB570" i="11"/>
  <c r="W570" i="11"/>
  <c r="AH569" i="11"/>
  <c r="AB569" i="11"/>
  <c r="W569" i="11"/>
  <c r="AH568" i="11"/>
  <c r="AB568" i="11"/>
  <c r="W568" i="11"/>
  <c r="AH567" i="11"/>
  <c r="AB567" i="11"/>
  <c r="W567" i="11"/>
  <c r="AH566" i="11"/>
  <c r="AB566" i="11"/>
  <c r="W566" i="11"/>
  <c r="AH565" i="11"/>
  <c r="AB565" i="11"/>
  <c r="W565" i="11"/>
  <c r="AH564" i="11"/>
  <c r="AB564" i="11"/>
  <c r="W564" i="11"/>
  <c r="AH563" i="11"/>
  <c r="AB563" i="11"/>
  <c r="W563" i="11"/>
  <c r="AH562" i="11"/>
  <c r="AB562" i="11"/>
  <c r="W562" i="11"/>
  <c r="AH561" i="11"/>
  <c r="AB561" i="11"/>
  <c r="W561" i="11"/>
  <c r="AH560" i="11"/>
  <c r="AB560" i="11"/>
  <c r="W560" i="11"/>
  <c r="AH559" i="11"/>
  <c r="AB559" i="11"/>
  <c r="W559" i="11"/>
  <c r="AH558" i="11"/>
  <c r="AB558" i="11"/>
  <c r="W558" i="11"/>
  <c r="AH557" i="11"/>
  <c r="AB557" i="11"/>
  <c r="W557" i="11"/>
  <c r="AH556" i="11"/>
  <c r="AB556" i="11"/>
  <c r="W556" i="11"/>
  <c r="AH555" i="11"/>
  <c r="AB555" i="11"/>
  <c r="W555" i="11"/>
  <c r="AH554" i="11"/>
  <c r="AB554" i="11"/>
  <c r="W554" i="11"/>
  <c r="AH553" i="11"/>
  <c r="AB553" i="11"/>
  <c r="W553" i="11"/>
  <c r="AH552" i="11"/>
  <c r="AB552" i="11"/>
  <c r="W552" i="11"/>
  <c r="AH551" i="11"/>
  <c r="AB551" i="11"/>
  <c r="W551" i="11"/>
  <c r="AH550" i="11"/>
  <c r="AB550" i="11"/>
  <c r="W550" i="11"/>
  <c r="AH549" i="11"/>
  <c r="AB549" i="11"/>
  <c r="W549" i="11"/>
  <c r="AH548" i="11"/>
  <c r="AB548" i="11"/>
  <c r="W548" i="11"/>
  <c r="AH547" i="11"/>
  <c r="AB547" i="11"/>
  <c r="W547" i="11"/>
  <c r="AH546" i="11"/>
  <c r="AB546" i="11"/>
  <c r="W546" i="11"/>
  <c r="AH545" i="11"/>
  <c r="AB545" i="11"/>
  <c r="W545" i="11"/>
  <c r="AH544" i="11"/>
  <c r="AB544" i="11"/>
  <c r="W544" i="11"/>
  <c r="AH543" i="11"/>
  <c r="AB543" i="11"/>
  <c r="W543" i="11"/>
  <c r="AH542" i="11"/>
  <c r="AB542" i="11"/>
  <c r="W542" i="11"/>
  <c r="AH541" i="11"/>
  <c r="AB541" i="11"/>
  <c r="W541" i="11"/>
  <c r="AH540" i="11"/>
  <c r="AB540" i="11"/>
  <c r="W540" i="11"/>
  <c r="AH539" i="11"/>
  <c r="AB539" i="11"/>
  <c r="W539" i="11"/>
  <c r="AH538" i="11"/>
  <c r="AB538" i="11"/>
  <c r="W538" i="11"/>
  <c r="AH537" i="11"/>
  <c r="AB537" i="11"/>
  <c r="W537" i="11"/>
  <c r="AH536" i="11"/>
  <c r="AB536" i="11"/>
  <c r="W536" i="11"/>
  <c r="AH535" i="11"/>
  <c r="AB535" i="11"/>
  <c r="W535" i="11"/>
  <c r="AH534" i="11"/>
  <c r="AB534" i="11"/>
  <c r="W534" i="11"/>
  <c r="AH533" i="11"/>
  <c r="AB533" i="11"/>
  <c r="W533" i="11"/>
  <c r="AH532" i="11"/>
  <c r="AB532" i="11"/>
  <c r="W532" i="11"/>
  <c r="AH531" i="11"/>
  <c r="AB531" i="11"/>
  <c r="W531" i="11"/>
  <c r="AH530" i="11"/>
  <c r="AB530" i="11"/>
  <c r="W530" i="11"/>
  <c r="AH529" i="11"/>
  <c r="AB529" i="11"/>
  <c r="W529" i="11"/>
  <c r="AH528" i="11"/>
  <c r="AB528" i="11"/>
  <c r="W528" i="11"/>
  <c r="AH527" i="11"/>
  <c r="AB527" i="11"/>
  <c r="W527" i="11"/>
  <c r="AH526" i="11"/>
  <c r="AB526" i="11"/>
  <c r="W526" i="11"/>
  <c r="AH525" i="11"/>
  <c r="AB525" i="11"/>
  <c r="W525" i="11"/>
  <c r="AH524" i="11"/>
  <c r="AB524" i="11"/>
  <c r="W524" i="11"/>
  <c r="AH523" i="11"/>
  <c r="AB523" i="11"/>
  <c r="W523" i="11"/>
  <c r="AH522" i="11"/>
  <c r="AB522" i="11"/>
  <c r="W522" i="11"/>
  <c r="AH521" i="11"/>
  <c r="AB521" i="11"/>
  <c r="W521" i="11"/>
  <c r="AH520" i="11"/>
  <c r="AB520" i="11"/>
  <c r="W520" i="11"/>
  <c r="AH519" i="11"/>
  <c r="AB519" i="11"/>
  <c r="W519" i="11"/>
  <c r="AH518" i="11"/>
  <c r="AB518" i="11"/>
  <c r="W518" i="11"/>
  <c r="AH517" i="11"/>
  <c r="AB517" i="11"/>
  <c r="W517" i="11"/>
  <c r="AH516" i="11"/>
  <c r="AB516" i="11"/>
  <c r="W516" i="11"/>
  <c r="AH515" i="11"/>
  <c r="AB515" i="11"/>
  <c r="W515" i="11"/>
  <c r="AH514" i="11"/>
  <c r="AB514" i="11"/>
  <c r="W514" i="11"/>
  <c r="AH513" i="11"/>
  <c r="AB513" i="11"/>
  <c r="W513" i="11"/>
  <c r="AH512" i="11"/>
  <c r="AB512" i="11"/>
  <c r="W512" i="11"/>
  <c r="AH511" i="11"/>
  <c r="AB511" i="11"/>
  <c r="W511" i="11"/>
  <c r="AH510" i="11"/>
  <c r="AB510" i="11"/>
  <c r="W510" i="11"/>
  <c r="AH509" i="11"/>
  <c r="AB509" i="11"/>
  <c r="W509" i="11"/>
  <c r="AH508" i="11"/>
  <c r="AB508" i="11"/>
  <c r="W508" i="11"/>
  <c r="AH507" i="11"/>
  <c r="AB507" i="11"/>
  <c r="W507" i="11"/>
  <c r="AH506" i="11"/>
  <c r="AB506" i="11"/>
  <c r="W506" i="11"/>
  <c r="AH505" i="11"/>
  <c r="AB505" i="11"/>
  <c r="W505" i="11"/>
  <c r="AH504" i="11"/>
  <c r="AB504" i="11"/>
  <c r="W504" i="11"/>
  <c r="AH503" i="11"/>
  <c r="AB503" i="11"/>
  <c r="W503" i="11"/>
  <c r="AH502" i="11"/>
  <c r="AB502" i="11"/>
  <c r="W502" i="11"/>
  <c r="AH501" i="11"/>
  <c r="AB501" i="11"/>
  <c r="W501" i="11"/>
  <c r="AH500" i="11"/>
  <c r="AB500" i="11"/>
  <c r="W500" i="11"/>
  <c r="AH499" i="11"/>
  <c r="AB499" i="11"/>
  <c r="W499" i="11"/>
  <c r="AH498" i="11"/>
  <c r="AB498" i="11"/>
  <c r="W498" i="11"/>
  <c r="AH497" i="11"/>
  <c r="AB497" i="11"/>
  <c r="W497" i="11"/>
  <c r="AH496" i="11"/>
  <c r="AB496" i="11"/>
  <c r="W496" i="11"/>
  <c r="AB495" i="11"/>
  <c r="W495" i="11"/>
  <c r="AB494" i="11"/>
  <c r="W494" i="11"/>
  <c r="AB493" i="11"/>
  <c r="W493" i="11"/>
  <c r="AB492" i="11"/>
  <c r="W492" i="11"/>
  <c r="AB491" i="11"/>
  <c r="W491" i="11"/>
  <c r="AB490" i="11"/>
  <c r="W490" i="11"/>
  <c r="AB489" i="11"/>
  <c r="W489" i="11"/>
  <c r="AB488" i="11"/>
  <c r="W488" i="11"/>
  <c r="AB487" i="11"/>
  <c r="W487" i="11"/>
  <c r="AB486" i="11"/>
  <c r="W486" i="11"/>
  <c r="AB485" i="11"/>
  <c r="W485" i="11"/>
  <c r="AB484" i="11"/>
  <c r="W484" i="11"/>
  <c r="AB483" i="11"/>
  <c r="W483" i="11"/>
  <c r="AB482" i="11"/>
  <c r="W482" i="11"/>
  <c r="AB481" i="11"/>
  <c r="W481" i="11"/>
  <c r="AB480" i="11"/>
  <c r="W480" i="11"/>
  <c r="AB479" i="11"/>
  <c r="W479" i="11"/>
  <c r="AB478" i="11"/>
  <c r="W478" i="11"/>
  <c r="AB477" i="11"/>
  <c r="W477" i="11"/>
  <c r="AB476" i="11"/>
  <c r="W476" i="11"/>
  <c r="AB475" i="11"/>
  <c r="W475" i="11"/>
  <c r="AB474" i="11"/>
  <c r="W474" i="11"/>
  <c r="AB473" i="11"/>
  <c r="W473" i="11"/>
  <c r="AB472" i="11"/>
  <c r="W472" i="11"/>
  <c r="AB471" i="11"/>
  <c r="W471" i="11"/>
  <c r="AB470" i="11"/>
  <c r="W470" i="11"/>
  <c r="AB469" i="11"/>
  <c r="W469" i="11"/>
  <c r="AB468" i="11"/>
  <c r="W468" i="11"/>
  <c r="AB467" i="11"/>
  <c r="W467" i="11"/>
  <c r="AB466" i="11"/>
  <c r="W466" i="11"/>
  <c r="AB465" i="11"/>
  <c r="W465" i="11"/>
  <c r="AB464" i="11"/>
  <c r="W464" i="11"/>
  <c r="AB463" i="11"/>
  <c r="W463" i="11"/>
  <c r="AB462" i="11"/>
  <c r="W462" i="11"/>
  <c r="AB461" i="11"/>
  <c r="W461" i="11"/>
  <c r="AB460" i="11"/>
  <c r="W460" i="11"/>
  <c r="AB459" i="11"/>
  <c r="W459" i="11"/>
  <c r="AB458" i="11"/>
  <c r="W458" i="11"/>
  <c r="AB457" i="11"/>
  <c r="W457" i="11"/>
  <c r="AB456" i="11"/>
  <c r="W456" i="11"/>
  <c r="AB455" i="11"/>
  <c r="W455" i="11"/>
  <c r="AB454" i="11"/>
  <c r="W454" i="11"/>
  <c r="AB453" i="11"/>
  <c r="W453" i="11"/>
  <c r="AB452" i="11"/>
  <c r="W452" i="11"/>
  <c r="AB451" i="11"/>
  <c r="W451" i="11"/>
  <c r="AB450" i="11"/>
  <c r="W450" i="11"/>
  <c r="AB449" i="11"/>
  <c r="W449" i="11"/>
  <c r="AB448" i="11"/>
  <c r="W448" i="11"/>
  <c r="AB447" i="11"/>
  <c r="W447" i="11"/>
  <c r="AB446" i="11"/>
  <c r="W446" i="11"/>
  <c r="AB445" i="11"/>
  <c r="W445" i="11"/>
  <c r="AB444" i="11"/>
  <c r="W444" i="11"/>
  <c r="AB443" i="11"/>
  <c r="W443" i="11"/>
  <c r="AB442" i="11"/>
  <c r="W442" i="11"/>
  <c r="AB441" i="11"/>
  <c r="W441" i="11"/>
  <c r="AB440" i="11"/>
  <c r="W440" i="11"/>
  <c r="AB439" i="11"/>
  <c r="W439" i="11"/>
  <c r="AB438" i="11"/>
  <c r="W438" i="11"/>
  <c r="AB437" i="11"/>
  <c r="W437" i="11"/>
  <c r="AB436" i="11"/>
  <c r="W436" i="11"/>
  <c r="AB435" i="11"/>
  <c r="W435" i="11"/>
  <c r="AB434" i="11"/>
  <c r="W434" i="11"/>
  <c r="AB433" i="11"/>
  <c r="W433" i="11"/>
  <c r="AB432" i="11"/>
  <c r="W432" i="11"/>
  <c r="AB431" i="11"/>
  <c r="W431" i="11"/>
  <c r="AB430" i="11"/>
  <c r="W430" i="11"/>
  <c r="AB429" i="11"/>
  <c r="W429" i="11"/>
  <c r="AB428" i="11"/>
  <c r="W428" i="11"/>
  <c r="AB427" i="11"/>
  <c r="W427" i="11"/>
  <c r="AB426" i="11"/>
  <c r="W426" i="11"/>
  <c r="AB425" i="11"/>
  <c r="W425" i="11"/>
  <c r="AB424" i="11"/>
  <c r="W424" i="11"/>
  <c r="AB423" i="11"/>
  <c r="W423" i="11"/>
  <c r="AB422" i="11"/>
  <c r="W422" i="11"/>
  <c r="AB421" i="11"/>
  <c r="W421" i="11"/>
  <c r="AB420" i="11"/>
  <c r="W420" i="11"/>
  <c r="AB419" i="11"/>
  <c r="W419" i="11"/>
  <c r="AB418" i="11"/>
  <c r="W418" i="11"/>
  <c r="AB417" i="11"/>
  <c r="W417" i="11"/>
  <c r="AB416" i="11"/>
  <c r="W416" i="11"/>
  <c r="AB415" i="11"/>
  <c r="W415" i="11"/>
  <c r="AB414" i="11"/>
  <c r="W414" i="11"/>
  <c r="AB413" i="11"/>
  <c r="W413" i="11"/>
  <c r="AB412" i="11"/>
  <c r="W412" i="11"/>
  <c r="AB411" i="11"/>
  <c r="W411" i="11"/>
  <c r="AB410" i="11"/>
  <c r="W410" i="11"/>
  <c r="AB409" i="11"/>
  <c r="W409" i="11"/>
  <c r="AB408" i="11"/>
  <c r="W408" i="11"/>
  <c r="AB407" i="11"/>
  <c r="W407" i="11"/>
  <c r="AB406" i="11"/>
  <c r="W406" i="11"/>
  <c r="AB405" i="11"/>
  <c r="W405" i="11"/>
  <c r="AB404" i="11"/>
  <c r="W404" i="11"/>
  <c r="AB403" i="11"/>
  <c r="W403" i="11"/>
  <c r="AB402" i="11"/>
  <c r="W402" i="11"/>
  <c r="AB401" i="11"/>
  <c r="W401" i="11"/>
  <c r="AB400" i="11"/>
  <c r="W400" i="11"/>
  <c r="AB399" i="11"/>
  <c r="W399" i="11"/>
  <c r="AB398" i="11"/>
  <c r="W398" i="11"/>
  <c r="AB397" i="11"/>
  <c r="W397" i="11"/>
  <c r="AB396" i="11"/>
  <c r="W396" i="11"/>
  <c r="AB395" i="11"/>
  <c r="W395" i="11"/>
  <c r="AB394" i="11"/>
  <c r="W394" i="11"/>
  <c r="AB393" i="11"/>
  <c r="W393" i="11"/>
  <c r="AB392" i="11"/>
  <c r="W392" i="11"/>
  <c r="AB391" i="11"/>
  <c r="W391" i="11"/>
  <c r="AB390" i="11"/>
  <c r="W390" i="11"/>
  <c r="AB389" i="11"/>
  <c r="W389" i="11"/>
  <c r="AB388" i="11"/>
  <c r="W388" i="11"/>
  <c r="AB387" i="11"/>
  <c r="W387" i="11"/>
  <c r="AB386" i="11"/>
  <c r="W386" i="11"/>
  <c r="AB385" i="11"/>
  <c r="W385" i="11"/>
  <c r="AB384" i="11"/>
  <c r="W384" i="11"/>
  <c r="AB383" i="11"/>
  <c r="W383" i="11"/>
  <c r="AB382" i="11"/>
  <c r="W382" i="11"/>
  <c r="AB381" i="11"/>
  <c r="W381" i="11"/>
  <c r="AB380" i="11"/>
  <c r="W380" i="11"/>
  <c r="AB379" i="11"/>
  <c r="W379" i="11"/>
  <c r="AB378" i="11"/>
  <c r="W378" i="11"/>
  <c r="AB377" i="11"/>
  <c r="W377" i="11"/>
  <c r="AB376" i="11"/>
  <c r="W376" i="11"/>
  <c r="AB375" i="11"/>
  <c r="W375" i="11"/>
  <c r="AB374" i="11"/>
  <c r="W374" i="11"/>
  <c r="AB373" i="11"/>
  <c r="W373" i="11"/>
  <c r="AB372" i="11"/>
  <c r="W372" i="11"/>
  <c r="AB371" i="11"/>
  <c r="W371" i="11"/>
  <c r="AB370" i="11"/>
  <c r="W370" i="11"/>
  <c r="AB369" i="11"/>
  <c r="W369" i="11"/>
  <c r="AB368" i="11"/>
  <c r="W368" i="11"/>
  <c r="AB367" i="11"/>
  <c r="W367" i="11"/>
  <c r="AB366" i="11"/>
  <c r="W366" i="11"/>
  <c r="AB365" i="11"/>
  <c r="W365" i="11"/>
  <c r="AB364" i="11"/>
  <c r="W364" i="11"/>
  <c r="AB363" i="11"/>
  <c r="W363" i="11"/>
  <c r="AB362" i="11"/>
  <c r="W362" i="11"/>
  <c r="AB361" i="11"/>
  <c r="W361" i="11"/>
  <c r="AB360" i="11"/>
  <c r="W360" i="11"/>
  <c r="AB359" i="11"/>
  <c r="W359" i="11"/>
  <c r="AB358" i="11"/>
  <c r="W358" i="11"/>
  <c r="AB357" i="11"/>
  <c r="W357" i="11"/>
  <c r="AB356" i="11"/>
  <c r="W356" i="11"/>
  <c r="AB355" i="11"/>
  <c r="W355" i="11"/>
  <c r="AB354" i="11"/>
  <c r="W354" i="11"/>
  <c r="AB353" i="11"/>
  <c r="W353" i="11"/>
  <c r="AB352" i="11"/>
  <c r="W352" i="11"/>
  <c r="AB351" i="11"/>
  <c r="W351" i="11"/>
  <c r="AB350" i="11"/>
  <c r="W350" i="11"/>
  <c r="AB349" i="11"/>
  <c r="W349" i="11"/>
  <c r="AB348" i="11"/>
  <c r="W348" i="11"/>
  <c r="AB347" i="11"/>
  <c r="W347" i="11"/>
  <c r="AB346" i="11"/>
  <c r="W346" i="11"/>
  <c r="AB345" i="11"/>
  <c r="W345" i="11"/>
  <c r="AB344" i="11"/>
  <c r="W344" i="11"/>
  <c r="AB343" i="11"/>
  <c r="W343" i="11"/>
  <c r="AB342" i="11"/>
  <c r="W342" i="11"/>
  <c r="AB341" i="11"/>
  <c r="W341" i="11"/>
  <c r="AB340" i="11"/>
  <c r="W340" i="11"/>
  <c r="AB339" i="11"/>
  <c r="W339" i="11"/>
  <c r="AB338" i="11"/>
  <c r="W338" i="11"/>
  <c r="AB337" i="11"/>
  <c r="W337" i="11"/>
  <c r="AB336" i="11"/>
  <c r="W336" i="11"/>
  <c r="AB335" i="11"/>
  <c r="W335" i="11"/>
  <c r="AB334" i="11"/>
  <c r="W334" i="11"/>
  <c r="AB333" i="11"/>
  <c r="W333" i="11"/>
  <c r="AB332" i="11"/>
  <c r="W332" i="11"/>
  <c r="AB331" i="11"/>
  <c r="W331" i="11"/>
  <c r="AB330" i="11"/>
  <c r="W330" i="11"/>
  <c r="AB329" i="11"/>
  <c r="W329" i="11"/>
  <c r="AB328" i="11"/>
  <c r="W328" i="11"/>
  <c r="AB327" i="11"/>
  <c r="W327" i="11"/>
  <c r="AB326" i="11"/>
  <c r="W326" i="11"/>
  <c r="AB325" i="11"/>
  <c r="W325" i="11"/>
  <c r="AB324" i="11"/>
  <c r="W324" i="11"/>
  <c r="AB323" i="11"/>
  <c r="W323" i="11"/>
  <c r="AB322" i="11"/>
  <c r="W322" i="11"/>
  <c r="AB321" i="11"/>
  <c r="W321" i="11"/>
  <c r="AB320" i="11"/>
  <c r="W320" i="11"/>
  <c r="AB319" i="11"/>
  <c r="W319" i="11"/>
  <c r="AB318" i="11"/>
  <c r="W318" i="11"/>
  <c r="AB317" i="11"/>
  <c r="W317" i="11"/>
  <c r="AB316" i="11"/>
  <c r="W316" i="11"/>
  <c r="AB315" i="11"/>
  <c r="W315" i="11"/>
  <c r="AB314" i="11"/>
  <c r="W314" i="11"/>
  <c r="AB313" i="11"/>
  <c r="W313" i="11"/>
  <c r="AB312" i="11"/>
  <c r="W312" i="11"/>
  <c r="AB311" i="11"/>
  <c r="W311" i="11"/>
  <c r="AB310" i="11"/>
  <c r="W310" i="11"/>
  <c r="AB309" i="11"/>
  <c r="W309" i="11"/>
  <c r="AB308" i="11"/>
  <c r="W308" i="11"/>
  <c r="AB307" i="11"/>
  <c r="W307" i="11"/>
  <c r="AB306" i="11"/>
  <c r="W306" i="11"/>
  <c r="AB305" i="11"/>
  <c r="W305" i="11"/>
  <c r="AB304" i="11"/>
  <c r="W304" i="11"/>
  <c r="AB303" i="11"/>
  <c r="W303" i="11"/>
  <c r="AB302" i="11"/>
  <c r="W302" i="11"/>
  <c r="AB301" i="11"/>
  <c r="W301" i="11"/>
  <c r="AB300" i="11"/>
  <c r="W300" i="11"/>
  <c r="AB299" i="11"/>
  <c r="W299" i="11"/>
  <c r="AB298" i="11"/>
  <c r="W298" i="11"/>
  <c r="AB297" i="11"/>
  <c r="W297" i="11"/>
  <c r="AB296" i="11"/>
  <c r="W296" i="11"/>
  <c r="AB295" i="11"/>
  <c r="W295" i="11"/>
  <c r="AB294" i="11"/>
  <c r="W294" i="11"/>
  <c r="AB293" i="11"/>
  <c r="W293" i="11"/>
  <c r="AB292" i="11"/>
  <c r="W292" i="11"/>
  <c r="AB291" i="11"/>
  <c r="W291" i="11"/>
  <c r="AB290" i="11"/>
  <c r="W290" i="11"/>
  <c r="AB289" i="11"/>
  <c r="W289" i="11"/>
  <c r="AB288" i="11"/>
  <c r="W288" i="11"/>
  <c r="AB287" i="11"/>
  <c r="W287" i="11"/>
  <c r="AB286" i="11"/>
  <c r="W286" i="11"/>
  <c r="AB285" i="11"/>
  <c r="W285" i="11"/>
  <c r="AB282" i="11"/>
  <c r="W282" i="11"/>
  <c r="AB242" i="11"/>
  <c r="W242" i="11"/>
  <c r="AB241" i="11"/>
  <c r="W241" i="11"/>
  <c r="AB240" i="11"/>
  <c r="W240" i="11"/>
  <c r="AB239" i="11"/>
  <c r="W239" i="11"/>
  <c r="AB238" i="11"/>
  <c r="W238" i="11"/>
  <c r="AB237" i="11"/>
  <c r="W237" i="11"/>
  <c r="AB236" i="11"/>
  <c r="W236" i="11"/>
  <c r="AB235" i="11"/>
  <c r="W235" i="11"/>
  <c r="AB234" i="11"/>
  <c r="W234" i="11"/>
  <c r="AB233" i="11"/>
  <c r="W233" i="11"/>
  <c r="AB232" i="11"/>
  <c r="W232" i="11"/>
  <c r="AB231" i="11"/>
  <c r="W231" i="11"/>
  <c r="AB230" i="11"/>
  <c r="T230" i="11"/>
  <c r="W230" i="11" s="1"/>
  <c r="AB229" i="11"/>
  <c r="W229" i="11"/>
  <c r="AB228" i="11"/>
  <c r="W228" i="11"/>
  <c r="AB227" i="11"/>
  <c r="W227" i="11"/>
  <c r="AB226" i="11"/>
  <c r="W226" i="11"/>
  <c r="AB225" i="11"/>
  <c r="W225" i="11"/>
  <c r="AB224" i="11"/>
  <c r="W224" i="11"/>
  <c r="AB223" i="11"/>
  <c r="W223" i="11"/>
  <c r="AB222" i="11"/>
  <c r="W222" i="11"/>
  <c r="AB221" i="11"/>
  <c r="W221" i="11"/>
  <c r="AB220" i="11"/>
  <c r="W220" i="11"/>
  <c r="AB219" i="11"/>
  <c r="W219" i="11"/>
  <c r="AB218" i="11"/>
  <c r="W218" i="11"/>
  <c r="AB217" i="11"/>
  <c r="W217" i="11"/>
  <c r="AB216" i="11"/>
  <c r="W216" i="11"/>
  <c r="AB215" i="11"/>
  <c r="W215" i="11"/>
  <c r="AB214" i="11"/>
  <c r="W214" i="11"/>
  <c r="W271" i="11" s="1"/>
  <c r="AB213" i="11"/>
  <c r="W213" i="11"/>
  <c r="AB212" i="11"/>
  <c r="W212" i="11"/>
  <c r="AB211" i="11"/>
  <c r="W211" i="11"/>
  <c r="AB210" i="11"/>
  <c r="W210" i="11"/>
  <c r="AB209" i="11"/>
  <c r="W209" i="11"/>
  <c r="AB208" i="11"/>
  <c r="W208" i="11"/>
  <c r="AB207" i="11"/>
  <c r="W207" i="11"/>
  <c r="AB206" i="11"/>
  <c r="W206" i="11"/>
  <c r="AB205" i="11"/>
  <c r="W205" i="11"/>
  <c r="AB204" i="11"/>
  <c r="W204" i="11"/>
  <c r="AB203" i="11"/>
  <c r="W203" i="11"/>
  <c r="AB202" i="11"/>
  <c r="W202" i="11"/>
  <c r="AB201" i="11"/>
  <c r="W201" i="11"/>
  <c r="AB200" i="11"/>
  <c r="W200" i="11"/>
  <c r="AB199" i="11"/>
  <c r="W199" i="11"/>
  <c r="AB198" i="11"/>
  <c r="W198" i="11"/>
  <c r="AB197" i="11"/>
  <c r="W197" i="11"/>
  <c r="AB196" i="11"/>
  <c r="W196" i="11"/>
  <c r="AB195" i="11"/>
  <c r="W195" i="11"/>
  <c r="AB194" i="11"/>
  <c r="W194" i="11"/>
  <c r="AB193" i="11"/>
  <c r="W193" i="11"/>
  <c r="AB192" i="11"/>
  <c r="W192" i="11"/>
  <c r="AB191" i="11"/>
  <c r="W191" i="11"/>
  <c r="AB190" i="11"/>
  <c r="W190" i="11"/>
  <c r="AB189" i="11"/>
  <c r="W189" i="11"/>
  <c r="AB188" i="11"/>
  <c r="W188" i="11"/>
  <c r="AB187" i="11"/>
  <c r="W187" i="11"/>
  <c r="AB186" i="11"/>
  <c r="W186" i="11"/>
  <c r="AB185" i="11"/>
  <c r="W185" i="11"/>
  <c r="AB184" i="11"/>
  <c r="Q184" i="11"/>
  <c r="W184" i="11" s="1"/>
  <c r="AB183" i="11"/>
  <c r="W183" i="11"/>
  <c r="AB182" i="11"/>
  <c r="W182" i="11"/>
  <c r="AB181" i="11"/>
  <c r="W181" i="11"/>
  <c r="AB180" i="11"/>
  <c r="W180" i="11"/>
  <c r="AB179" i="11"/>
  <c r="W179" i="11"/>
  <c r="AB178" i="11"/>
  <c r="W178" i="11"/>
  <c r="AB177" i="11"/>
  <c r="W177" i="11"/>
  <c r="AB176" i="11"/>
  <c r="W176" i="11"/>
  <c r="AB175" i="11"/>
  <c r="W175" i="11"/>
  <c r="AB174" i="11"/>
  <c r="W174" i="11"/>
  <c r="AB173" i="11"/>
  <c r="W173" i="11"/>
  <c r="AB172" i="11"/>
  <c r="W172" i="11"/>
  <c r="AB171" i="11"/>
  <c r="W171" i="11"/>
  <c r="AB170" i="11"/>
  <c r="W170" i="11"/>
  <c r="AB169" i="11"/>
  <c r="W169" i="11"/>
  <c r="AB168" i="11"/>
  <c r="W168" i="11"/>
  <c r="AB167" i="11"/>
  <c r="W167" i="11"/>
  <c r="AB166" i="11"/>
  <c r="W166" i="11"/>
  <c r="AB165" i="11"/>
  <c r="W165" i="11"/>
  <c r="AB164" i="11"/>
  <c r="W164" i="11"/>
  <c r="AB163" i="11"/>
  <c r="W163" i="11"/>
  <c r="AB162" i="11"/>
  <c r="W162" i="11"/>
  <c r="AB161" i="11"/>
  <c r="W161" i="11"/>
  <c r="AB160" i="11"/>
  <c r="W160" i="11"/>
  <c r="AB159" i="11"/>
  <c r="W159" i="11"/>
  <c r="AB158" i="11"/>
  <c r="W158" i="11"/>
  <c r="AB157" i="11"/>
  <c r="W157" i="11"/>
  <c r="AB156" i="11"/>
  <c r="W156" i="11"/>
  <c r="AB155" i="11"/>
  <c r="W155" i="11"/>
  <c r="AB154" i="11"/>
  <c r="W154" i="11"/>
  <c r="W4999" i="11" s="1"/>
  <c r="AB153" i="11"/>
  <c r="W153" i="11"/>
  <c r="AB152" i="11"/>
  <c r="W152" i="11"/>
  <c r="AB151" i="11"/>
  <c r="W151" i="11"/>
  <c r="AB150" i="11"/>
  <c r="W150" i="11"/>
  <c r="AB149" i="11"/>
  <c r="W149" i="11"/>
  <c r="AB148" i="11"/>
  <c r="W148" i="11"/>
  <c r="AB147" i="11"/>
  <c r="W147" i="11"/>
  <c r="AB146" i="11"/>
  <c r="W146" i="11"/>
  <c r="AB145" i="11"/>
  <c r="W145" i="11"/>
  <c r="AB144" i="11"/>
  <c r="W144" i="11"/>
  <c r="AB143" i="11"/>
  <c r="W143" i="11"/>
  <c r="AB142" i="11"/>
  <c r="W142" i="11"/>
  <c r="AB141" i="11"/>
  <c r="W141" i="11"/>
  <c r="AB140" i="11"/>
  <c r="W140" i="11"/>
  <c r="AB139" i="11"/>
  <c r="W139" i="11"/>
  <c r="AB138" i="11"/>
  <c r="W138" i="11"/>
  <c r="AB137" i="11"/>
  <c r="W137" i="11"/>
  <c r="AB136" i="11"/>
  <c r="W136" i="11"/>
  <c r="AB135" i="11"/>
  <c r="W135" i="11"/>
  <c r="AB134" i="11"/>
  <c r="W134" i="11"/>
  <c r="AB133" i="11"/>
  <c r="W133" i="11"/>
  <c r="AB132" i="11"/>
  <c r="W132" i="11"/>
  <c r="AB131" i="11"/>
  <c r="W131" i="11"/>
  <c r="AB130" i="11"/>
  <c r="W130" i="11"/>
  <c r="AB129" i="11"/>
  <c r="W129" i="11"/>
  <c r="AB128" i="11"/>
  <c r="W128" i="11"/>
  <c r="AB127" i="11"/>
  <c r="W127" i="11"/>
  <c r="AB126" i="11"/>
  <c r="W126" i="11"/>
  <c r="AB125" i="11"/>
  <c r="W125" i="11"/>
  <c r="AB124" i="11"/>
  <c r="W124" i="11"/>
  <c r="AB123" i="11"/>
  <c r="W123" i="11"/>
  <c r="W122" i="11"/>
  <c r="AB121" i="11"/>
  <c r="W121" i="11"/>
  <c r="AB120" i="11"/>
  <c r="W120" i="11"/>
  <c r="AB119" i="11"/>
  <c r="W119" i="11"/>
  <c r="AB118" i="11"/>
  <c r="W118" i="11"/>
  <c r="AB117" i="11"/>
  <c r="W117" i="11"/>
  <c r="AB116" i="11"/>
  <c r="W116" i="11"/>
  <c r="AB115" i="11"/>
  <c r="W115" i="11"/>
  <c r="AB114" i="11"/>
  <c r="W114" i="11"/>
  <c r="AB113" i="11"/>
  <c r="W113" i="11"/>
  <c r="AB112" i="11"/>
  <c r="W112" i="11"/>
  <c r="AB111" i="11"/>
  <c r="W111" i="11"/>
  <c r="AB110" i="11"/>
  <c r="W110" i="11"/>
  <c r="AB109" i="11"/>
  <c r="W109" i="11"/>
  <c r="AB108" i="11"/>
  <c r="W108" i="11"/>
  <c r="AB107" i="11"/>
  <c r="W107" i="11"/>
  <c r="AB106" i="11"/>
  <c r="W106" i="11"/>
  <c r="AB105" i="11"/>
  <c r="W105" i="11"/>
  <c r="AB104" i="11"/>
  <c r="W104" i="11"/>
  <c r="AB103" i="11"/>
  <c r="W103" i="11"/>
  <c r="AB102" i="11"/>
  <c r="W102" i="11"/>
  <c r="AB101" i="11"/>
  <c r="W101" i="11"/>
  <c r="AB100" i="11"/>
  <c r="W100" i="11"/>
  <c r="AB99" i="11"/>
  <c r="W99" i="11"/>
  <c r="AB98" i="11"/>
  <c r="W98" i="11"/>
  <c r="AB97" i="11"/>
  <c r="W97" i="11"/>
  <c r="AB96" i="11"/>
  <c r="W96" i="11"/>
  <c r="AB95" i="11"/>
  <c r="W95" i="11"/>
  <c r="AB94" i="11"/>
  <c r="W94" i="11"/>
  <c r="AB93" i="11"/>
  <c r="W93" i="11"/>
  <c r="AB92" i="11"/>
  <c r="W92" i="11"/>
  <c r="AB91" i="11"/>
  <c r="W91" i="11"/>
  <c r="AB90" i="11"/>
  <c r="W90" i="11"/>
  <c r="AB89" i="11"/>
  <c r="W89" i="11"/>
  <c r="AB88" i="11"/>
  <c r="W88" i="11"/>
  <c r="AB87" i="11"/>
  <c r="W87" i="11"/>
  <c r="AB86" i="11"/>
  <c r="W86" i="11"/>
  <c r="AB85" i="11"/>
  <c r="W85" i="11"/>
  <c r="AB84" i="11"/>
  <c r="W84" i="11"/>
  <c r="AB83" i="11"/>
  <c r="W83" i="11"/>
  <c r="AB82" i="11"/>
  <c r="W82" i="11"/>
  <c r="AB81" i="11"/>
  <c r="W81" i="11"/>
  <c r="AB80" i="11"/>
  <c r="W80" i="11"/>
  <c r="AB79" i="11"/>
  <c r="W79" i="11"/>
  <c r="AB78" i="11"/>
  <c r="W78" i="11"/>
  <c r="AB77" i="11"/>
  <c r="W77" i="11"/>
  <c r="AB76" i="11"/>
  <c r="W76" i="11"/>
  <c r="AB75" i="11"/>
  <c r="W75" i="11"/>
  <c r="AB74" i="11"/>
  <c r="AB73" i="11"/>
  <c r="W73" i="11"/>
  <c r="AB72" i="11"/>
  <c r="W72" i="11"/>
  <c r="AB71" i="11"/>
  <c r="AB70" i="11"/>
  <c r="W70" i="11"/>
  <c r="AB69" i="11"/>
  <c r="W69" i="11"/>
  <c r="AB68" i="11"/>
  <c r="W68" i="11"/>
  <c r="AB67" i="11"/>
  <c r="W67" i="11"/>
  <c r="AB66" i="11"/>
  <c r="W66" i="11"/>
  <c r="AB65" i="11"/>
  <c r="W65" i="11"/>
  <c r="AB64" i="11"/>
  <c r="W64" i="11"/>
  <c r="AB63" i="11"/>
  <c r="W63" i="11"/>
  <c r="AB62" i="11"/>
  <c r="W62" i="11"/>
  <c r="AB61" i="11"/>
  <c r="W61" i="11"/>
  <c r="AB60" i="11"/>
  <c r="W60" i="11"/>
  <c r="AB59" i="11"/>
  <c r="W59" i="11"/>
  <c r="AB58" i="11"/>
  <c r="W58" i="11"/>
  <c r="AB57" i="11"/>
  <c r="W57" i="11"/>
  <c r="AB56" i="11"/>
  <c r="W56" i="11"/>
  <c r="AB55" i="11"/>
  <c r="W55" i="11"/>
  <c r="AB54" i="11"/>
  <c r="W54" i="11"/>
  <c r="AB53" i="11"/>
  <c r="W53" i="11"/>
  <c r="AB52" i="11"/>
  <c r="W52" i="11"/>
  <c r="AB51" i="11"/>
  <c r="W51" i="11"/>
  <c r="AB50" i="11"/>
  <c r="W50" i="11"/>
  <c r="AB49" i="11"/>
  <c r="W49" i="11"/>
  <c r="AB48" i="11"/>
  <c r="W48" i="11"/>
  <c r="AB47" i="11"/>
  <c r="W47" i="11"/>
  <c r="AB46" i="11"/>
  <c r="W46" i="11"/>
  <c r="AB45" i="11"/>
  <c r="W45" i="11"/>
  <c r="AB44" i="11"/>
  <c r="AB43" i="11"/>
  <c r="W43" i="11"/>
  <c r="AB42" i="11"/>
  <c r="W42" i="11"/>
  <c r="AB41" i="11"/>
  <c r="W41" i="11"/>
  <c r="AB40" i="11"/>
  <c r="W40" i="11"/>
  <c r="AB39" i="11"/>
  <c r="W39" i="11"/>
  <c r="AB38" i="11"/>
  <c r="W38" i="11"/>
  <c r="AB37" i="11"/>
  <c r="W37" i="11"/>
  <c r="AB36" i="11"/>
  <c r="W36" i="11"/>
  <c r="AB35" i="11"/>
  <c r="W35" i="11"/>
  <c r="AB34" i="11"/>
  <c r="W34" i="11"/>
  <c r="AB33" i="11"/>
  <c r="W33" i="11"/>
  <c r="AB32" i="11"/>
  <c r="W32" i="11"/>
  <c r="AB31" i="11"/>
  <c r="W31" i="11"/>
  <c r="AB30" i="11"/>
  <c r="W30" i="11"/>
  <c r="AB29" i="11"/>
  <c r="W29" i="11"/>
  <c r="AB28" i="11"/>
  <c r="W28" i="11"/>
  <c r="AB27" i="11"/>
  <c r="W27" i="11"/>
  <c r="AB26" i="11"/>
  <c r="W26" i="11"/>
  <c r="AB25" i="11"/>
  <c r="W25" i="11"/>
  <c r="AB24" i="11"/>
  <c r="W24" i="11"/>
  <c r="AB23" i="11"/>
  <c r="W23" i="11"/>
  <c r="AB22" i="11"/>
  <c r="W22" i="11"/>
  <c r="AB21" i="11"/>
  <c r="W21" i="11"/>
  <c r="AB20" i="11"/>
  <c r="W20" i="11"/>
  <c r="AB19" i="11"/>
  <c r="W19" i="11"/>
  <c r="AB17" i="11"/>
  <c r="W17" i="11"/>
  <c r="AB16" i="11"/>
  <c r="W16" i="11"/>
  <c r="AB15" i="11"/>
  <c r="W15" i="11"/>
  <c r="AB14" i="11"/>
  <c r="W14" i="11"/>
  <c r="AB13" i="11"/>
  <c r="W13" i="11"/>
  <c r="AB12" i="11"/>
  <c r="W12" i="11"/>
  <c r="AB11" i="11"/>
  <c r="W11" i="11"/>
  <c r="AB10" i="11"/>
  <c r="W10" i="11"/>
  <c r="AB9" i="11"/>
  <c r="W9" i="11"/>
  <c r="AB8" i="11"/>
  <c r="W8" i="11"/>
  <c r="AB7" i="11"/>
  <c r="W7" i="11"/>
  <c r="AB6" i="11"/>
  <c r="W6" i="11"/>
  <c r="AB5" i="11"/>
  <c r="W5" i="11"/>
  <c r="AB4" i="11"/>
  <c r="W4" i="11"/>
  <c r="AB3" i="11"/>
  <c r="W3" i="11"/>
  <c r="AB2" i="11"/>
  <c r="W2" i="11"/>
  <c r="N32" i="4" l="1"/>
  <c r="M32" i="4"/>
  <c r="J32" i="4"/>
  <c r="Q30" i="4"/>
  <c r="J30" i="4"/>
  <c r="R29" i="4"/>
  <c r="R32" i="4" s="1"/>
  <c r="Q29" i="4"/>
  <c r="Q28" i="4"/>
  <c r="P19" i="4"/>
  <c r="P20" i="4"/>
  <c r="Z30" i="4" s="1"/>
  <c r="P21" i="4"/>
  <c r="Z31" i="4" s="1"/>
  <c r="P22" i="4"/>
  <c r="Z32" i="4" s="1"/>
  <c r="Y30" i="4"/>
  <c r="Y31" i="4"/>
  <c r="Y32" i="4"/>
  <c r="Y29" i="4"/>
  <c r="X31" i="4"/>
  <c r="X32" i="4"/>
  <c r="X30" i="4"/>
  <c r="X29" i="4"/>
  <c r="O23" i="4"/>
  <c r="N23" i="4"/>
  <c r="M23" i="4"/>
  <c r="L23" i="4"/>
  <c r="I23" i="4"/>
  <c r="H23" i="4"/>
  <c r="G23" i="4"/>
  <c r="K22" i="4"/>
  <c r="O13" i="4"/>
  <c r="N13" i="4"/>
  <c r="H13" i="4"/>
  <c r="G13" i="4"/>
  <c r="I12" i="4"/>
  <c r="K21" i="4"/>
  <c r="J21" i="4"/>
  <c r="I11" i="4"/>
  <c r="I10" i="4"/>
  <c r="L9" i="4"/>
  <c r="I9" i="4"/>
  <c r="Z29" i="4" l="1"/>
  <c r="Z34" i="4" s="1"/>
  <c r="P23" i="4"/>
  <c r="M33" i="4"/>
  <c r="Q32" i="4"/>
  <c r="G24" i="4"/>
  <c r="Y34" i="4"/>
  <c r="X34" i="4"/>
  <c r="G14" i="4"/>
  <c r="N14" i="4"/>
  <c r="P9" i="4" s="1"/>
  <c r="L24" i="4"/>
  <c r="I13" i="4"/>
  <c r="N24" i="4"/>
  <c r="J13" i="4"/>
  <c r="K13" i="4"/>
  <c r="J19" i="4"/>
  <c r="J22" i="4"/>
  <c r="R19" i="4" l="1"/>
  <c r="U23" i="4" s="1"/>
  <c r="G32" i="4"/>
  <c r="G34" i="4" s="1"/>
  <c r="L13" i="4"/>
  <c r="X35" i="4"/>
  <c r="AB29" i="4" s="1"/>
  <c r="M13" i="4"/>
  <c r="J23" i="4"/>
  <c r="K23" i="4"/>
  <c r="J14" i="4"/>
  <c r="L14" i="4" l="1"/>
  <c r="J24" i="4"/>
</calcChain>
</file>

<file path=xl/sharedStrings.xml><?xml version="1.0" encoding="utf-8"?>
<sst xmlns="http://schemas.openxmlformats.org/spreadsheetml/2006/main" count="8928" uniqueCount="3338">
  <si>
    <t>SETORES</t>
  </si>
  <si>
    <t>HELIO PELEGRINO</t>
  </si>
  <si>
    <t>FARIA LIMA</t>
  </si>
  <si>
    <t>PINHEIROS</t>
  </si>
  <si>
    <t>OLIMPÍADAS</t>
  </si>
  <si>
    <t>Total</t>
  </si>
  <si>
    <t>Residencial</t>
  </si>
  <si>
    <t>Não Residencial</t>
  </si>
  <si>
    <t>ESTOQUE MÁXIMO (m²) PREVISTO PARA OS SETORES</t>
  </si>
  <si>
    <t>QUADRO GERAL DE DISTRIBUIÇÃO DE ESTOQUES DE ACA EM M² - LEI 13.769/2004</t>
  </si>
  <si>
    <t>ESTOQUE MÁXIMO PREVISTO PARA OUCFL - LEI 13.769/04 ( R+ nR)</t>
  </si>
  <si>
    <t>SALDO DE ESTOQUE MÁXIMO PREVISTO PARA OS SETORES (Remanescente lei 13.769/04)</t>
  </si>
  <si>
    <t>SALDO DE ESTOQUE  GERAL DISPONÍVEL PARA A OPERAÇÃO URBANA</t>
  </si>
  <si>
    <t>ESTOQUE CONSUMIDO (m²) - (Lei 13.769/04)</t>
  </si>
  <si>
    <t>ESTOQUE EM ANALISE (m²) -       (a partir da Lei 18.175/24)</t>
  </si>
  <si>
    <t>SALDO DE ESTOQUE  GERAL DISPONIVEL PARA A OPERAÇÃO URBANA - lei 18.175/24</t>
  </si>
  <si>
    <t>SALDO DE ESTOQUE MÁXIMO DISPONIVEL POR SETOR (Lei 13.769/04 + lei 18.175/24)</t>
  </si>
  <si>
    <t>SALDO DE ESTOQUE  GERAL DISPONIVEL PARA A OPERAÇÃO URBANA - lei 18.175/24 + ESTOQUE DEVOLVIDO POR DESVINCULAÇÃO E MUDANÇA DE USO</t>
  </si>
  <si>
    <t>QUADRO GERAL DE DISTRIBUIÇÃO DE ESTOQUES DE ACA EM M² - (A PARTIR DA LEI 18.175/24)</t>
  </si>
  <si>
    <t>ESTOQUE MAXIMO (m²) PREVISTO PARA OS SETORES PELA LEI 18.175/24</t>
  </si>
  <si>
    <t>ESTOQUE (m²) PREVISTO PARA OS SETORES PELA LEI 18.175/24 DESCONTADAS PROPOSTAS APROVADAS</t>
  </si>
  <si>
    <t>ESTOQUE MÁXIMO  (por uso e por setor(m²) PREVISTO PARA OS SETORES ( LEI 13.769/04)</t>
  </si>
  <si>
    <t>ESTOQUE MÁXIMO PREVISTO POR SETOR PARA  OUCFL - Lei 18.175/24</t>
  </si>
  <si>
    <t>ESTOQUE EM CONSUMIDO (m²) - (a partir da Lei 18.175/24)</t>
  </si>
  <si>
    <t xml:space="preserve">LIMITE  DE ESTOQUE (m²) PARA EFEITO DE OFERTA DE CEPAC </t>
  </si>
  <si>
    <t>Estoque GERAL (aprovado pela 18.175/24)</t>
  </si>
  <si>
    <t>Estoque consumido Lei 11.732/95 (*)</t>
  </si>
  <si>
    <t>LIMITE DE ESTOQUE - Lei 18.175/25</t>
  </si>
  <si>
    <t>Estoque Consumido Lei 11.732/95 (**)</t>
  </si>
  <si>
    <t>SALDO ESTOQUE GERAL DISPONÍVEL</t>
  </si>
  <si>
    <t>(**) Estoque consumido após a Lei 13.769/04 pago com outorga</t>
  </si>
  <si>
    <t>ESTOQUE CONSUMIDO (m²) - LEI 13.769/04</t>
  </si>
  <si>
    <t>RESUMO DE CEPAC</t>
  </si>
  <si>
    <t>CEPAC CONVERTIDO</t>
  </si>
  <si>
    <t>CEPAC DESVINCULADO</t>
  </si>
  <si>
    <t>LEILOADO</t>
  </si>
  <si>
    <t xml:space="preserve">ACA </t>
  </si>
  <si>
    <t xml:space="preserve"> USO E PARÂMETROS</t>
  </si>
  <si>
    <t>ACA</t>
  </si>
  <si>
    <t>COLOCAÇÃO PRIVADA</t>
  </si>
  <si>
    <t>HÉLIO PELEGRINO</t>
  </si>
  <si>
    <t>CONVERTIDO</t>
  </si>
  <si>
    <t>EM CIRCULAÇÃO</t>
  </si>
  <si>
    <t xml:space="preserve">CEPAC - Total </t>
  </si>
  <si>
    <t>CEPAC - Saldo</t>
  </si>
  <si>
    <t>SUB-TOTAL</t>
  </si>
  <si>
    <t>TOTAL</t>
  </si>
  <si>
    <t>Obs: Verificar no site o detalhamento das desvinculações, com as respectivas datas de desvinculação, para observância do estabelecido no Decreto nº 53.094/2012, artigo 37, parágrafos § 4º e § 5º e Portaria nº 74/2012/SMDU.G</t>
  </si>
  <si>
    <r>
      <t>ESTOQUE (m²)</t>
    </r>
    <r>
      <rPr>
        <b/>
        <sz val="11"/>
        <color rgb="FFFF0000"/>
        <rFont val="Calibri"/>
        <family val="2"/>
        <scheme val="minor"/>
      </rPr>
      <t xml:space="preserve"> À RESTITUIR </t>
    </r>
    <r>
      <rPr>
        <b/>
        <sz val="11"/>
        <color theme="1"/>
        <rFont val="Calibri"/>
        <family val="2"/>
        <scheme val="minor"/>
      </rPr>
      <t>APÓS DESVINCULAÇÃO OU MODIFICAÇÃO DE USO</t>
    </r>
    <r>
      <rPr>
        <b/>
        <sz val="11"/>
        <color rgb="FFFF0000"/>
        <rFont val="Calibri"/>
        <family val="2"/>
        <scheme val="minor"/>
      </rPr>
      <t xml:space="preserve"> (90 dias)</t>
    </r>
  </si>
  <si>
    <t>(*) Estoque consumido  na lei 11.732/1998</t>
  </si>
  <si>
    <t>Estoque Consumido Lei 13.769/04 (***)</t>
  </si>
  <si>
    <t>(***) Estoque consumido na lei 13.769/04</t>
  </si>
  <si>
    <t>Estoque Restituído após desvinculação e/ou alteração de Certidão (Portaria SMDU.G 074/2012 e Decreto 60435/2021)</t>
  </si>
  <si>
    <t>OPERAÇÃO URBANA CONSORCIADA FARIA LIMA</t>
  </si>
  <si>
    <t>Lei 13.769/04, alterada pelas leis 13.871/04, 15.519/11, 16.242/15 e 18.175/24</t>
  </si>
  <si>
    <t>STATUS PA</t>
  </si>
  <si>
    <t xml:space="preserve">SETORES </t>
  </si>
  <si>
    <t>STATUS CERTIDAO</t>
  </si>
  <si>
    <t>DEFERIDO</t>
  </si>
  <si>
    <t>VALIDA</t>
  </si>
  <si>
    <t>ANALISE</t>
  </si>
  <si>
    <t>CANCELADA</t>
  </si>
  <si>
    <t>INDEFERIDO</t>
  </si>
  <si>
    <t xml:space="preserve">Variáveis </t>
  </si>
  <si>
    <t>Descrição da Variável</t>
  </si>
  <si>
    <t>Exemplo:</t>
  </si>
  <si>
    <t>CODIGO</t>
  </si>
  <si>
    <t>Número da PROPOSTA de vinculação de CEPACs. Campo alfa numérico. Iniciar o número 9 quando houver remembramento de proposta.
Iniciar com a letra X quando houver duplicidade de códigos de proposta (em casos de equivocos, para identificar que são propostas diferentes. Letra X incluída na Proposta mais recente).</t>
  </si>
  <si>
    <t>XX-0000 ou XX-9000 ou XX-X000</t>
  </si>
  <si>
    <t>PA</t>
  </si>
  <si>
    <t>Número do processo administrativo gerado quando do protocolo da solicitação inicial do interessado.</t>
  </si>
  <si>
    <t>0000.0000/0000000-0 ou 0000-0.000.000-0</t>
  </si>
  <si>
    <t>novo padrão</t>
  </si>
  <si>
    <t>DATA AUTUACAO PA</t>
  </si>
  <si>
    <t>Data de abertura, email do Interessado</t>
  </si>
  <si>
    <t>xx/xx/xxxx</t>
  </si>
  <si>
    <t>Situação atual do processo administrativo</t>
  </si>
  <si>
    <t>DEFERIDO, INDEFERIDO, ANALISE</t>
  </si>
  <si>
    <t>FIXO</t>
  </si>
  <si>
    <t>INTERESSADO</t>
  </si>
  <si>
    <t>Nome do Interessado. Escrever sem acento. TUDO MAIUSCULO</t>
  </si>
  <si>
    <t>XXXXXXXXXXXXXXXXX</t>
  </si>
  <si>
    <t>CNPJ</t>
  </si>
  <si>
    <t>Número do CNPJ do interessado</t>
  </si>
  <si>
    <t>xx.xxx.xxx/xxxx-xx</t>
  </si>
  <si>
    <t>Novo padrão</t>
  </si>
  <si>
    <t>ENDEREÇO</t>
  </si>
  <si>
    <t>Colocar nome da rua e número se houver, escrever nome COMPLETO</t>
  </si>
  <si>
    <t>xxxxxxxxxxxxxxxxx, 000</t>
  </si>
  <si>
    <t>SETOR OUC</t>
  </si>
  <si>
    <t>XXX</t>
  </si>
  <si>
    <t>CHUCRI ZAIDAN, BERRINI, BROOKLIN, JABAQUARA, MARGINAL PINHEIROS</t>
  </si>
  <si>
    <t>FAZER LISTA SUSPENSA DO SETOR POR OUC</t>
  </si>
  <si>
    <t>REQUERIMENTO</t>
  </si>
  <si>
    <t>Tipo da solicitação realizada</t>
  </si>
  <si>
    <t>VINCULACAO, ALTERACAO, DESVINCULACAO</t>
  </si>
  <si>
    <t>CONTRIBUINTE - SQ</t>
  </si>
  <si>
    <t>setor e lote dos imóveis (seja um sejam vários) separador ";"</t>
  </si>
  <si>
    <t>XXXXXX; OU XXXXXX;XXXXXX;</t>
  </si>
  <si>
    <t>ALTERADO - RODGER</t>
  </si>
  <si>
    <t>CONTRIBUINTE - L</t>
  </si>
  <si>
    <t>lote dos imóveis (seja um sejam vários) separador ";"</t>
  </si>
  <si>
    <t>xxxx-x; xxxx-x; xxxx-x; xxxx-x</t>
  </si>
  <si>
    <t>ÁREA DO TERRENO</t>
  </si>
  <si>
    <t>Quantidade de m² que o terreno possui (seja um SQL, seja união de vários) utilizar sempre o menor número (real ou escritura)</t>
  </si>
  <si>
    <t>x.xxx,xx</t>
  </si>
  <si>
    <t>QUANDO EXISTIR MAIS DE 2 CASAS DEPOIS DA VÍRGULA, ATÉ O NÚMERO 5 ARREDONDAMENTO PARA BAIXO IGUAL OU MAIOR QUE 5 ARREDONDAMENTO PARA CIMA</t>
  </si>
  <si>
    <t>USO DA ACA</t>
  </si>
  <si>
    <t>Categoria de uso definida para ACA do empreendimento</t>
  </si>
  <si>
    <t>R, NR, MISTO</t>
  </si>
  <si>
    <t>ACA-R</t>
  </si>
  <si>
    <t>área de construção adicional de uso residencial</t>
  </si>
  <si>
    <t>ACA-NR</t>
  </si>
  <si>
    <t>área de construção adicional de uso não residencial</t>
  </si>
  <si>
    <t>ACA-TOTAL</t>
  </si>
  <si>
    <t>área de construção adicional total do empreendimento</t>
  </si>
  <si>
    <t>TIPO DE CONTRAPARTIDA</t>
  </si>
  <si>
    <t>Tipo de pagamento da outorga onerosa</t>
  </si>
  <si>
    <t>OODC (dinheiro) CEPAC (título)</t>
  </si>
  <si>
    <t>VALOR R$</t>
  </si>
  <si>
    <t>Pagamento realizado em dinheiro</t>
  </si>
  <si>
    <t>xx.xxx.xxx,xx</t>
  </si>
  <si>
    <t>COLUNA SUPRIMIDA</t>
  </si>
  <si>
    <t>CEPAC ACA</t>
  </si>
  <si>
    <t>Quatidade de títulos vinculados para ACA</t>
  </si>
  <si>
    <t>X.XXX</t>
  </si>
  <si>
    <t>CEPAC PARAMETROS</t>
  </si>
  <si>
    <t>Quatidade de títulos vinculados para parâmetro urbanísticos</t>
  </si>
  <si>
    <t>TOTAL CEPAC</t>
  </si>
  <si>
    <t>Quantidade total de CEPAC vinculada</t>
  </si>
  <si>
    <t>CERTIDAO</t>
  </si>
  <si>
    <t>Código da certidão emitida</t>
  </si>
  <si>
    <t>AB-xxx/2024, AE-xxx/2024, FL-xxx/2024</t>
  </si>
  <si>
    <t>SITUACAO</t>
  </si>
  <si>
    <t>Situação da certidão</t>
  </si>
  <si>
    <t>VALIDA (quando for a ultima certidão emitida) CANCELADA (certidão anterior)</t>
  </si>
  <si>
    <t xml:space="preserve">DATA CERTIDAO </t>
  </si>
  <si>
    <t>Data de emissão da certidão</t>
  </si>
  <si>
    <t>NUVEM m² - R</t>
  </si>
  <si>
    <t>área de construção adicional de uso residencial na NUVEM</t>
  </si>
  <si>
    <t>NUVEM m² - nR</t>
  </si>
  <si>
    <t>área de construção adicional de uso não residencial na NUVEM</t>
  </si>
  <si>
    <t>NUVEM m²</t>
  </si>
  <si>
    <t>campo preenchido com de o quantidade de m² constante nas observações na certidão</t>
  </si>
  <si>
    <t>NUVEM CEPAC - R</t>
  </si>
  <si>
    <t>NUVEM CEPAC - nR</t>
  </si>
  <si>
    <t>NUVEM CEPAC</t>
  </si>
  <si>
    <t>campo preenchido com o quantidade de CEPAC constante nas observações na certidão</t>
  </si>
  <si>
    <t>XX</t>
  </si>
  <si>
    <t>OBS</t>
  </si>
  <si>
    <t>Campo livre para informações complementares. CANCELADA PELA CERTIDÃO XXX</t>
  </si>
  <si>
    <t>sem padrão</t>
  </si>
  <si>
    <t>RESP/DATA</t>
  </si>
  <si>
    <t>Nome de quem realizou o cadastro e data do cadastro</t>
  </si>
  <si>
    <t>nome/00/00/2024</t>
  </si>
  <si>
    <t>RETORNO ESTOQUE E CEPAC (DESVINCULAÇÃO)</t>
  </si>
  <si>
    <t>A DATA QUE VOLTA O CEPAC E O ESTOQUE É SEMPRE A DATA DE PUBLICAÇÃO DO DESPACHO DEFERIDO!</t>
  </si>
  <si>
    <t>CERTIDAO - 1</t>
  </si>
  <si>
    <t>CERTIDAO - 2</t>
  </si>
  <si>
    <t>CERTIDAO - 3</t>
  </si>
  <si>
    <t>CERTIDAO - 4</t>
  </si>
  <si>
    <t>CERTIDAO - 5</t>
  </si>
  <si>
    <t>CERTIDAO - 6</t>
  </si>
  <si>
    <t>CERTIDAO - 7</t>
  </si>
  <si>
    <t>CERTIDAO - 8</t>
  </si>
  <si>
    <t>FL-0001</t>
  </si>
  <si>
    <t>FL-005/1995</t>
  </si>
  <si>
    <t>FL-0002</t>
  </si>
  <si>
    <t>FL-012/1995</t>
  </si>
  <si>
    <t>FL-0003</t>
  </si>
  <si>
    <t>FL-025/1996</t>
  </si>
  <si>
    <t>FL-0004</t>
  </si>
  <si>
    <t>FL-103/1996</t>
  </si>
  <si>
    <t>FL-135/1997</t>
  </si>
  <si>
    <t>FL-0005</t>
  </si>
  <si>
    <t>FL-044/1996</t>
  </si>
  <si>
    <t>FL-0006</t>
  </si>
  <si>
    <t>FL-0007</t>
  </si>
  <si>
    <t>FL-063/1997</t>
  </si>
  <si>
    <t>FL-016/2000</t>
  </si>
  <si>
    <t>FL-0008</t>
  </si>
  <si>
    <t>FL-112/1997</t>
  </si>
  <si>
    <t>FL-0009</t>
  </si>
  <si>
    <t>FL-0010</t>
  </si>
  <si>
    <t>FL-038/1996</t>
  </si>
  <si>
    <t>FL-0011</t>
  </si>
  <si>
    <t>FL-102/1996</t>
  </si>
  <si>
    <t>FL-071/1997</t>
  </si>
  <si>
    <t>FL-0012</t>
  </si>
  <si>
    <t>FL-061/1996</t>
  </si>
  <si>
    <t>FL-074/1996</t>
  </si>
  <si>
    <t>FL-0013</t>
  </si>
  <si>
    <t>FL-0014</t>
  </si>
  <si>
    <t>FL-020/1996</t>
  </si>
  <si>
    <t>FL-0015</t>
  </si>
  <si>
    <t>FL-065/1996</t>
  </si>
  <si>
    <t>FL-0016</t>
  </si>
  <si>
    <t>FL-071/1996</t>
  </si>
  <si>
    <t>FL-0017</t>
  </si>
  <si>
    <t>FL-039/1996</t>
  </si>
  <si>
    <t>FL-0018</t>
  </si>
  <si>
    <t>FL-0019</t>
  </si>
  <si>
    <t>FL-010/1996</t>
  </si>
  <si>
    <t>FL-058/1996</t>
  </si>
  <si>
    <t>FL-014/1998</t>
  </si>
  <si>
    <t>FL-001/2000</t>
  </si>
  <si>
    <t>FL-0020</t>
  </si>
  <si>
    <t>FL-021/1996</t>
  </si>
  <si>
    <t>FL-0021</t>
  </si>
  <si>
    <t>FL-029/1996</t>
  </si>
  <si>
    <t>FL-0022</t>
  </si>
  <si>
    <t>FL-034/1996</t>
  </si>
  <si>
    <t>FL-0023</t>
  </si>
  <si>
    <t>FL-0024</t>
  </si>
  <si>
    <t>FL-0025</t>
  </si>
  <si>
    <t>FL-0026</t>
  </si>
  <si>
    <t>FL-040/1997</t>
  </si>
  <si>
    <t>FL-0027</t>
  </si>
  <si>
    <t>FL-0028</t>
  </si>
  <si>
    <t>FL-043/1997</t>
  </si>
  <si>
    <t>FL-0029</t>
  </si>
  <si>
    <t>FL-042/2000</t>
  </si>
  <si>
    <t>FL-0030</t>
  </si>
  <si>
    <t>FL-0031</t>
  </si>
  <si>
    <t>FL-024/1997</t>
  </si>
  <si>
    <t>FL-002/2004</t>
  </si>
  <si>
    <t>FL-0032</t>
  </si>
  <si>
    <t>FL-104/1996</t>
  </si>
  <si>
    <t>FL-0033</t>
  </si>
  <si>
    <t>FL-033/1997</t>
  </si>
  <si>
    <t>FL-0034</t>
  </si>
  <si>
    <t>FL-032/1997</t>
  </si>
  <si>
    <t>FL-001/1998</t>
  </si>
  <si>
    <t>FL-0035</t>
  </si>
  <si>
    <t>FL-041/1998</t>
  </si>
  <si>
    <t>FL-0036</t>
  </si>
  <si>
    <t>FL-058/1997</t>
  </si>
  <si>
    <t>FL-040/1998</t>
  </si>
  <si>
    <t>FL-0037</t>
  </si>
  <si>
    <t>FL-0038</t>
  </si>
  <si>
    <t>FL-031/1997</t>
  </si>
  <si>
    <t>FL-0039</t>
  </si>
  <si>
    <t>FL-078/1997</t>
  </si>
  <si>
    <t>FL-032/1998</t>
  </si>
  <si>
    <t>FL-0040</t>
  </si>
  <si>
    <t>FL-016/1998</t>
  </si>
  <si>
    <t>FL-0041</t>
  </si>
  <si>
    <t>FL-003/2000</t>
  </si>
  <si>
    <t>FL-0042</t>
  </si>
  <si>
    <t>FL-0043</t>
  </si>
  <si>
    <t>FL-0044</t>
  </si>
  <si>
    <t>FL-057/1997</t>
  </si>
  <si>
    <t>FL-0045</t>
  </si>
  <si>
    <t>FL-0046</t>
  </si>
  <si>
    <t>FL-067/1997</t>
  </si>
  <si>
    <t>FL-0047</t>
  </si>
  <si>
    <t>FL-0048</t>
  </si>
  <si>
    <t>FL-009/1998</t>
  </si>
  <si>
    <t>FL-0049</t>
  </si>
  <si>
    <t>FL-0050</t>
  </si>
  <si>
    <t>FL-102/1997</t>
  </si>
  <si>
    <t>FL-012/1999</t>
  </si>
  <si>
    <t>FL-036/2000</t>
  </si>
  <si>
    <t>FL-0051</t>
  </si>
  <si>
    <t>FL-016/1999</t>
  </si>
  <si>
    <t>FL-0052</t>
  </si>
  <si>
    <t>FL-081/1997</t>
  </si>
  <si>
    <t>FL-0053</t>
  </si>
  <si>
    <t>FL-099/1997</t>
  </si>
  <si>
    <t>FL-0054</t>
  </si>
  <si>
    <t>FL-039/1998</t>
  </si>
  <si>
    <t>FL-0055</t>
  </si>
  <si>
    <t>FL-0056</t>
  </si>
  <si>
    <t>FL-129/1997</t>
  </si>
  <si>
    <t>FL-0057</t>
  </si>
  <si>
    <t>FL-0058</t>
  </si>
  <si>
    <t>FL-0059</t>
  </si>
  <si>
    <t>FL-077/1997</t>
  </si>
  <si>
    <t>FL-0060</t>
  </si>
  <si>
    <t>FL-013/1998</t>
  </si>
  <si>
    <t>FL-0061</t>
  </si>
  <si>
    <t>FL-133/1997</t>
  </si>
  <si>
    <t>FL-0062</t>
  </si>
  <si>
    <t>FL-034/1998</t>
  </si>
  <si>
    <t>FL-0063</t>
  </si>
  <si>
    <t>FL-142/1997</t>
  </si>
  <si>
    <t>FL-0064</t>
  </si>
  <si>
    <t>FL-0065</t>
  </si>
  <si>
    <t>FL-035/1998</t>
  </si>
  <si>
    <t>FL-0066</t>
  </si>
  <si>
    <t>FL-031/2000</t>
  </si>
  <si>
    <t>FL-0067</t>
  </si>
  <si>
    <t>FL-042/1998</t>
  </si>
  <si>
    <t>FL-0068</t>
  </si>
  <si>
    <t>FL-0069</t>
  </si>
  <si>
    <t>FL-005/1999</t>
  </si>
  <si>
    <t>FL-0070</t>
  </si>
  <si>
    <t>FL-017/1998</t>
  </si>
  <si>
    <t>FL-0071</t>
  </si>
  <si>
    <t>FL-0072</t>
  </si>
  <si>
    <t>FL-0073</t>
  </si>
  <si>
    <t>FL-0074</t>
  </si>
  <si>
    <t>FL-0075</t>
  </si>
  <si>
    <t>FL-010/1999</t>
  </si>
  <si>
    <t>FL-0076</t>
  </si>
  <si>
    <t>FL-0077</t>
  </si>
  <si>
    <t>FL-045/1998</t>
  </si>
  <si>
    <t>FL-0078</t>
  </si>
  <si>
    <t>FL-018/1999</t>
  </si>
  <si>
    <t>FL-0079</t>
  </si>
  <si>
    <t>FL-002/1999</t>
  </si>
  <si>
    <t>FL-0080</t>
  </si>
  <si>
    <t>FL-023/1999</t>
  </si>
  <si>
    <t>FL-0081</t>
  </si>
  <si>
    <t>FL-0082</t>
  </si>
  <si>
    <t>FL-043/1998</t>
  </si>
  <si>
    <t>FL-0083</t>
  </si>
  <si>
    <t>FL-044/1998</t>
  </si>
  <si>
    <t>FL-0084</t>
  </si>
  <si>
    <t>FL-008/1999</t>
  </si>
  <si>
    <t>FL-0085</t>
  </si>
  <si>
    <t>FL-001/1999</t>
  </si>
  <si>
    <t>FL-0086</t>
  </si>
  <si>
    <t>FL-003/1999</t>
  </si>
  <si>
    <t>FL-0087</t>
  </si>
  <si>
    <t>FL-0088</t>
  </si>
  <si>
    <t>FL-0089</t>
  </si>
  <si>
    <t>FL-027/1999</t>
  </si>
  <si>
    <t>FL-014/2000</t>
  </si>
  <si>
    <t>FL-0090</t>
  </si>
  <si>
    <t>FL-005/2000</t>
  </si>
  <si>
    <t>FL-0091</t>
  </si>
  <si>
    <t>FL-006/1999</t>
  </si>
  <si>
    <t>FL-0092</t>
  </si>
  <si>
    <t>FL-017/1999</t>
  </si>
  <si>
    <t>FL-0093</t>
  </si>
  <si>
    <t>FL-0094</t>
  </si>
  <si>
    <t>FL-015/1999</t>
  </si>
  <si>
    <t>FL-0095</t>
  </si>
  <si>
    <t>FL-001/2014</t>
  </si>
  <si>
    <t>FL-0096</t>
  </si>
  <si>
    <t>FL-0097</t>
  </si>
  <si>
    <t>FL-022/1999</t>
  </si>
  <si>
    <t>FL-0098</t>
  </si>
  <si>
    <t>FL-007/2000</t>
  </si>
  <si>
    <t>FL-0099</t>
  </si>
  <si>
    <t>FL-021/1999</t>
  </si>
  <si>
    <t>FL-0100</t>
  </si>
  <si>
    <t>FL-006/2000</t>
  </si>
  <si>
    <t>FL-0101</t>
  </si>
  <si>
    <t>FL-0102</t>
  </si>
  <si>
    <t>FL-0103</t>
  </si>
  <si>
    <t>FL-0104</t>
  </si>
  <si>
    <t>FL-0105</t>
  </si>
  <si>
    <t>FL-0106</t>
  </si>
  <si>
    <t>FL-017/2000</t>
  </si>
  <si>
    <t>FL-0107</t>
  </si>
  <si>
    <t>FL-019/1999</t>
  </si>
  <si>
    <t>FL-0108</t>
  </si>
  <si>
    <t>FL-0109</t>
  </si>
  <si>
    <t>FL-020/1999</t>
  </si>
  <si>
    <t>FL-0110</t>
  </si>
  <si>
    <t>FL-0111</t>
  </si>
  <si>
    <t>FL-004/2000</t>
  </si>
  <si>
    <t>FL-0112</t>
  </si>
  <si>
    <t>FL-0113</t>
  </si>
  <si>
    <t>FL-002/2000</t>
  </si>
  <si>
    <t>FL-0114</t>
  </si>
  <si>
    <t>FL-027/2000</t>
  </si>
  <si>
    <t>FL-001/2006</t>
  </si>
  <si>
    <t>FL-006/2008</t>
  </si>
  <si>
    <t>FL-004/2021</t>
  </si>
  <si>
    <t>FL-0115</t>
  </si>
  <si>
    <t>FL-009/2000</t>
  </si>
  <si>
    <t>FL-0116</t>
  </si>
  <si>
    <t>FL-013/2000</t>
  </si>
  <si>
    <t>FL-0117</t>
  </si>
  <si>
    <t>FL-008/2000</t>
  </si>
  <si>
    <t>FL-0118</t>
  </si>
  <si>
    <t>FL-010/2000</t>
  </si>
  <si>
    <t>FL-0119</t>
  </si>
  <si>
    <t>FL-0120</t>
  </si>
  <si>
    <t>FL-029/2000</t>
  </si>
  <si>
    <t>FL-0121</t>
  </si>
  <si>
    <t>FL-009/2002</t>
  </si>
  <si>
    <t>FL-0122</t>
  </si>
  <si>
    <t>FL-019/2000</t>
  </si>
  <si>
    <t>FL-0123</t>
  </si>
  <si>
    <t>FL-015/2000</t>
  </si>
  <si>
    <t>FL-0124</t>
  </si>
  <si>
    <t>FL-0125</t>
  </si>
  <si>
    <t>FL-018/2000</t>
  </si>
  <si>
    <t>FL-035/2000</t>
  </si>
  <si>
    <t>FL-0126</t>
  </si>
  <si>
    <t>FL-001/2001</t>
  </si>
  <si>
    <t>FL-0127</t>
  </si>
  <si>
    <t>FL-022/2000</t>
  </si>
  <si>
    <t>FL-0128</t>
  </si>
  <si>
    <t>FL-040/2000</t>
  </si>
  <si>
    <t>FL-0129</t>
  </si>
  <si>
    <t>FL-020/2000</t>
  </si>
  <si>
    <t>FL-0130</t>
  </si>
  <si>
    <t>FL-021/2000</t>
  </si>
  <si>
    <t>FL-0131</t>
  </si>
  <si>
    <t>FL-039/2000</t>
  </si>
  <si>
    <t>FL-0132</t>
  </si>
  <si>
    <t>FL-023/2002</t>
  </si>
  <si>
    <t>FL-0133</t>
  </si>
  <si>
    <t>FL-0134</t>
  </si>
  <si>
    <t>FL-028/2000</t>
  </si>
  <si>
    <t>FL-0135</t>
  </si>
  <si>
    <t>FL-0136</t>
  </si>
  <si>
    <t>FL-030/2000</t>
  </si>
  <si>
    <t>FL-0137</t>
  </si>
  <si>
    <t>FL-026/2000</t>
  </si>
  <si>
    <t>FL-0138</t>
  </si>
  <si>
    <t>FL-038/2000</t>
  </si>
  <si>
    <t>FL-0139</t>
  </si>
  <si>
    <t>FL-0140</t>
  </si>
  <si>
    <t>FL-0141</t>
  </si>
  <si>
    <t>FL-032/2000</t>
  </si>
  <si>
    <t>FL-0142</t>
  </si>
  <si>
    <t>FL-033/2000</t>
  </si>
  <si>
    <t>FL-0143</t>
  </si>
  <si>
    <t>FL-043/2000</t>
  </si>
  <si>
    <t>FL-0144</t>
  </si>
  <si>
    <t>FL-037/2000</t>
  </si>
  <si>
    <t>FL-0145</t>
  </si>
  <si>
    <t>FL-041/2000</t>
  </si>
  <si>
    <t>FL-0146</t>
  </si>
  <si>
    <t>FL-0147</t>
  </si>
  <si>
    <t>FL-0148</t>
  </si>
  <si>
    <t>FL-004/2006</t>
  </si>
  <si>
    <t>FL-0149</t>
  </si>
  <si>
    <t>FL-0150</t>
  </si>
  <si>
    <t>FL-0151</t>
  </si>
  <si>
    <t>FL-0152</t>
  </si>
  <si>
    <t>FL-0153</t>
  </si>
  <si>
    <t>FL-0154</t>
  </si>
  <si>
    <t>FL-0155</t>
  </si>
  <si>
    <t>FL-0156</t>
  </si>
  <si>
    <t>FL-0157</t>
  </si>
  <si>
    <t>FL-0158</t>
  </si>
  <si>
    <t>FL-0159</t>
  </si>
  <si>
    <t>FL-0160</t>
  </si>
  <si>
    <t>FL-0161</t>
  </si>
  <si>
    <t>FL-0162</t>
  </si>
  <si>
    <t>FL-0163</t>
  </si>
  <si>
    <t>FL-0164</t>
  </si>
  <si>
    <t>FL-0165</t>
  </si>
  <si>
    <t>FL-0166</t>
  </si>
  <si>
    <t>FL-0167</t>
  </si>
  <si>
    <t>FL-0168</t>
  </si>
  <si>
    <t>FL-0169</t>
  </si>
  <si>
    <t>FL-0170</t>
  </si>
  <si>
    <t>FL-0171</t>
  </si>
  <si>
    <t>FL-0172</t>
  </si>
  <si>
    <t>FL-018/2002</t>
  </si>
  <si>
    <t>FL-0173</t>
  </si>
  <si>
    <t>FL-0174</t>
  </si>
  <si>
    <t>FL-0175</t>
  </si>
  <si>
    <t>FL-0176</t>
  </si>
  <si>
    <t>FL-0177</t>
  </si>
  <si>
    <t>FL-0178</t>
  </si>
  <si>
    <t>FL-0179</t>
  </si>
  <si>
    <t>FL-0180</t>
  </si>
  <si>
    <t>FL-0181</t>
  </si>
  <si>
    <t>FL-0182</t>
  </si>
  <si>
    <t>FL-0183</t>
  </si>
  <si>
    <t>FL-0184</t>
  </si>
  <si>
    <t>FL-0185</t>
  </si>
  <si>
    <t>FL-0186</t>
  </si>
  <si>
    <t>FL-0187</t>
  </si>
  <si>
    <t>FL-0188</t>
  </si>
  <si>
    <t>FL-0189</t>
  </si>
  <si>
    <t>FL-0190</t>
  </si>
  <si>
    <t>FL-0191</t>
  </si>
  <si>
    <t>FL-0192</t>
  </si>
  <si>
    <t>FL-0193</t>
  </si>
  <si>
    <t>FL-005/2007</t>
  </si>
  <si>
    <t>FL-0194</t>
  </si>
  <si>
    <t>FL-0195</t>
  </si>
  <si>
    <t>FL-0196</t>
  </si>
  <si>
    <t>FL-0197</t>
  </si>
  <si>
    <t>FL-0198</t>
  </si>
  <si>
    <t>FL-0199</t>
  </si>
  <si>
    <t>FL-0200</t>
  </si>
  <si>
    <t>FL-0201</t>
  </si>
  <si>
    <t>FL-0202</t>
  </si>
  <si>
    <t>FL-0203</t>
  </si>
  <si>
    <t>FL-0204</t>
  </si>
  <si>
    <t>FL-0205</t>
  </si>
  <si>
    <t>FL-0206</t>
  </si>
  <si>
    <t>FL-0207</t>
  </si>
  <si>
    <t>FL-0208</t>
  </si>
  <si>
    <t>FL-0209</t>
  </si>
  <si>
    <t>FL-0210</t>
  </si>
  <si>
    <t>FL-0211</t>
  </si>
  <si>
    <t>FL-022/2010</t>
  </si>
  <si>
    <t>FL-0212</t>
  </si>
  <si>
    <t>FL-0213</t>
  </si>
  <si>
    <t>FL-0214</t>
  </si>
  <si>
    <t>FL-0215</t>
  </si>
  <si>
    <t>FL-0216</t>
  </si>
  <si>
    <t>FL-0217</t>
  </si>
  <si>
    <t>FL-0218</t>
  </si>
  <si>
    <t>FL-0219</t>
  </si>
  <si>
    <t>FL-0220</t>
  </si>
  <si>
    <t>FL-0221</t>
  </si>
  <si>
    <t>FL-024/2004</t>
  </si>
  <si>
    <t>FL-0222</t>
  </si>
  <si>
    <t>FL-0223</t>
  </si>
  <si>
    <t>FL-0224</t>
  </si>
  <si>
    <t>FL-0225</t>
  </si>
  <si>
    <t>FL-0226</t>
  </si>
  <si>
    <t>FL-0227</t>
  </si>
  <si>
    <t>FL-0228</t>
  </si>
  <si>
    <t>FL-0229</t>
  </si>
  <si>
    <t>FL-0230</t>
  </si>
  <si>
    <t>FL-017/2004</t>
  </si>
  <si>
    <t>FL-0231</t>
  </si>
  <si>
    <t>FL-0232</t>
  </si>
  <si>
    <t>FL-0233</t>
  </si>
  <si>
    <t>FL-0234</t>
  </si>
  <si>
    <t>FL-0235</t>
  </si>
  <si>
    <t>FL-010/2009</t>
  </si>
  <si>
    <t>FL-0236</t>
  </si>
  <si>
    <t>FL-008/2009</t>
  </si>
  <si>
    <t>FL-0237</t>
  </si>
  <si>
    <t>FL-017/2008</t>
  </si>
  <si>
    <t>FL-0238</t>
  </si>
  <si>
    <t>FL-002/2008</t>
  </si>
  <si>
    <t>FL-0239</t>
  </si>
  <si>
    <t>FL-0240</t>
  </si>
  <si>
    <t>FL-0241</t>
  </si>
  <si>
    <t>FL-0242</t>
  </si>
  <si>
    <t>FL-017/2007</t>
  </si>
  <si>
    <t>FL-0243</t>
  </si>
  <si>
    <t>FL-0244</t>
  </si>
  <si>
    <t>FL-0245</t>
  </si>
  <si>
    <t>FL-002/2010</t>
  </si>
  <si>
    <t>FL-0246</t>
  </si>
  <si>
    <t>FL-0247</t>
  </si>
  <si>
    <t>FL-006/2009</t>
  </si>
  <si>
    <t>FL-0248</t>
  </si>
  <si>
    <t>FL-014/2009</t>
  </si>
  <si>
    <t>FL-0249</t>
  </si>
  <si>
    <t>FL-030/1996</t>
  </si>
  <si>
    <t>FL-0250</t>
  </si>
  <si>
    <t>FL-0251</t>
  </si>
  <si>
    <t>FL-0252</t>
  </si>
  <si>
    <t>FL-0253</t>
  </si>
  <si>
    <t>FL-001/2024</t>
  </si>
  <si>
    <t>FL-0254</t>
  </si>
  <si>
    <t>FL-0255</t>
  </si>
  <si>
    <t>FL-0256</t>
  </si>
  <si>
    <t>FL-0257</t>
  </si>
  <si>
    <t>FL-0258</t>
  </si>
  <si>
    <t>FL-0259</t>
  </si>
  <si>
    <t>FL-0260</t>
  </si>
  <si>
    <t>FL-0261</t>
  </si>
  <si>
    <t>FL-0262</t>
  </si>
  <si>
    <t>FL-0263</t>
  </si>
  <si>
    <t>FL-0264</t>
  </si>
  <si>
    <t>FL-0265</t>
  </si>
  <si>
    <t>FL-0266</t>
  </si>
  <si>
    <t>FL-0267</t>
  </si>
  <si>
    <t>FL-0268</t>
  </si>
  <si>
    <t>FL-0269</t>
  </si>
  <si>
    <t>FL-0270</t>
  </si>
  <si>
    <t>FL-0271</t>
  </si>
  <si>
    <t>FL-0272</t>
  </si>
  <si>
    <t>FL-0273</t>
  </si>
  <si>
    <t>FL-0274</t>
  </si>
  <si>
    <t>FL-0275</t>
  </si>
  <si>
    <t>FL-0276</t>
  </si>
  <si>
    <t>FL-0277</t>
  </si>
  <si>
    <t>FL-0278</t>
  </si>
  <si>
    <t>FL-0279</t>
  </si>
  <si>
    <t>FL-0280</t>
  </si>
  <si>
    <t>FL-0281</t>
  </si>
  <si>
    <t>FL-0282</t>
  </si>
  <si>
    <t>FL-0283</t>
  </si>
  <si>
    <t>FL-0284</t>
  </si>
  <si>
    <t>FL-0285</t>
  </si>
  <si>
    <t>FL-0286</t>
  </si>
  <si>
    <t>FL-0287</t>
  </si>
  <si>
    <t>FL-0288</t>
  </si>
  <si>
    <t>FL-0289</t>
  </si>
  <si>
    <t>FL-0290</t>
  </si>
  <si>
    <t>FL-0291</t>
  </si>
  <si>
    <t>FL-0292</t>
  </si>
  <si>
    <t>FL-0293</t>
  </si>
  <si>
    <t>FL-0294</t>
  </si>
  <si>
    <t>FL-0295</t>
  </si>
  <si>
    <t>FL-0296</t>
  </si>
  <si>
    <t>FL-0297</t>
  </si>
  <si>
    <t>FL-0298</t>
  </si>
  <si>
    <t>FL-0299</t>
  </si>
  <si>
    <t>FL-0300</t>
  </si>
  <si>
    <t>FL-0301</t>
  </si>
  <si>
    <t>FL-0302</t>
  </si>
  <si>
    <t>FL-002/2006</t>
  </si>
  <si>
    <t>FL-0303</t>
  </si>
  <si>
    <t>FL-006/2006</t>
  </si>
  <si>
    <t>FL-0304</t>
  </si>
  <si>
    <t>FL-003/2006</t>
  </si>
  <si>
    <t>FL-0305</t>
  </si>
  <si>
    <t>FL-005/2006</t>
  </si>
  <si>
    <t>FL-0306</t>
  </si>
  <si>
    <t>FL-008/2007</t>
  </si>
  <si>
    <t>FL-0307</t>
  </si>
  <si>
    <t>FL-0308</t>
  </si>
  <si>
    <t>FL-010/2007</t>
  </si>
  <si>
    <t>FL-014/2007</t>
  </si>
  <si>
    <t>FL-0309</t>
  </si>
  <si>
    <t>FL-007/2007</t>
  </si>
  <si>
    <t>FL-0310</t>
  </si>
  <si>
    <t>FL-009/2007</t>
  </si>
  <si>
    <t>FL-0311</t>
  </si>
  <si>
    <t>FL-011/2007</t>
  </si>
  <si>
    <t>FL-013/2007</t>
  </si>
  <si>
    <t>FL-0312</t>
  </si>
  <si>
    <t>FL-004/2008</t>
  </si>
  <si>
    <t>FL-003/2016</t>
  </si>
  <si>
    <t>FL-002/2022</t>
  </si>
  <si>
    <t>FL-0313</t>
  </si>
  <si>
    <t>FL-015/2007</t>
  </si>
  <si>
    <t>FL-0314</t>
  </si>
  <si>
    <t>FL-008/2008</t>
  </si>
  <si>
    <t>FL-008/2010</t>
  </si>
  <si>
    <t>FL-0315</t>
  </si>
  <si>
    <t>FL-011/2008</t>
  </si>
  <si>
    <t>FL-0316</t>
  </si>
  <si>
    <t>FL-016/2007</t>
  </si>
  <si>
    <t>FL-0317</t>
  </si>
  <si>
    <t>FL-009/2008</t>
  </si>
  <si>
    <t>FL-0318</t>
  </si>
  <si>
    <t>FL-001/2008</t>
  </si>
  <si>
    <t>FL-004/2009</t>
  </si>
  <si>
    <t>FL-014/2010</t>
  </si>
  <si>
    <t>FL-009/2014</t>
  </si>
  <si>
    <t>FL-008/2018</t>
  </si>
  <si>
    <t>FL-006/2021</t>
  </si>
  <si>
    <t>FL-007/2022</t>
  </si>
  <si>
    <t>FL-0319</t>
  </si>
  <si>
    <t>FL-018/2008</t>
  </si>
  <si>
    <t>FL-012/2009</t>
  </si>
  <si>
    <t>FL-016/2010</t>
  </si>
  <si>
    <t>FL-0320</t>
  </si>
  <si>
    <t>FL-003/2008</t>
  </si>
  <si>
    <t>FL-0321</t>
  </si>
  <si>
    <t>FL-005/2008</t>
  </si>
  <si>
    <t>FL-027/2010</t>
  </si>
  <si>
    <t>FL-0322</t>
  </si>
  <si>
    <t>FL-007/2008</t>
  </si>
  <si>
    <t>FL-015/2008</t>
  </si>
  <si>
    <t>FL-002/2009</t>
  </si>
  <si>
    <t>FL-0323</t>
  </si>
  <si>
    <t>FL-009/2009</t>
  </si>
  <si>
    <t>FL-0324</t>
  </si>
  <si>
    <t>FL-014/2008</t>
  </si>
  <si>
    <t>FL-0325</t>
  </si>
  <si>
    <t>FL-012/2008</t>
  </si>
  <si>
    <t>FL-001/2009</t>
  </si>
  <si>
    <t>FL-023/2010</t>
  </si>
  <si>
    <t>FL-0326</t>
  </si>
  <si>
    <t>FL-013/2008</t>
  </si>
  <si>
    <t>FL-0327</t>
  </si>
  <si>
    <t>FL-0328</t>
  </si>
  <si>
    <t>FL-010/2008</t>
  </si>
  <si>
    <t>FL-0329</t>
  </si>
  <si>
    <t>FL-016/2008</t>
  </si>
  <si>
    <t>FL-0330</t>
  </si>
  <si>
    <t>FL-0331</t>
  </si>
  <si>
    <t>FL-016/2009</t>
  </si>
  <si>
    <t>FL-0332</t>
  </si>
  <si>
    <t>FL-007/2009</t>
  </si>
  <si>
    <t>FL-004/2017</t>
  </si>
  <si>
    <t>FL-007/2017</t>
  </si>
  <si>
    <t>FL-003/2021</t>
  </si>
  <si>
    <t>FL-003/2025</t>
  </si>
  <si>
    <t>FL-0333</t>
  </si>
  <si>
    <t>FL-019/2008</t>
  </si>
  <si>
    <t>FL-017/2009</t>
  </si>
  <si>
    <t>FL-0334</t>
  </si>
  <si>
    <t>FL-020/2008</t>
  </si>
  <si>
    <t>FL-0335</t>
  </si>
  <si>
    <t>FL-001/2011</t>
  </si>
  <si>
    <t>FL-0336</t>
  </si>
  <si>
    <t>FL-003/2009</t>
  </si>
  <si>
    <t>FL-0337</t>
  </si>
  <si>
    <t>FL-005/2009</t>
  </si>
  <si>
    <t>FL-021/2009</t>
  </si>
  <si>
    <t>FL-010/2010</t>
  </si>
  <si>
    <t>FL-005/2016</t>
  </si>
  <si>
    <t>FL-006/2017</t>
  </si>
  <si>
    <t>FL-008/2019</t>
  </si>
  <si>
    <t>FL-010/2022</t>
  </si>
  <si>
    <t>FL-0338</t>
  </si>
  <si>
    <t>FL-011/2009</t>
  </si>
  <si>
    <t>FL-0339</t>
  </si>
  <si>
    <t>FL-013/2009</t>
  </si>
  <si>
    <t>FL-0340</t>
  </si>
  <si>
    <t>FL-015/2009</t>
  </si>
  <si>
    <t>FL-0341</t>
  </si>
  <si>
    <t>FL-006/2004</t>
  </si>
  <si>
    <t>FL-015/2011</t>
  </si>
  <si>
    <t>FL-0342</t>
  </si>
  <si>
    <t>FL-018/2009</t>
  </si>
  <si>
    <t>FL-018/2010</t>
  </si>
  <si>
    <t>FL-018/2011</t>
  </si>
  <si>
    <t>FL-021/2011</t>
  </si>
  <si>
    <t>FL-0343</t>
  </si>
  <si>
    <t>FL-019/2009</t>
  </si>
  <si>
    <t>FL-0344</t>
  </si>
  <si>
    <t>FL-020/2009</t>
  </si>
  <si>
    <t>FL-011/2010</t>
  </si>
  <si>
    <t>FL-0345</t>
  </si>
  <si>
    <t>FL-001/2010</t>
  </si>
  <si>
    <t>FL-021/2010</t>
  </si>
  <si>
    <t>FL-0346</t>
  </si>
  <si>
    <t>FL-007/2011</t>
  </si>
  <si>
    <t>FL-0347</t>
  </si>
  <si>
    <t>FL-022/2009</t>
  </si>
  <si>
    <t>FL-0348</t>
  </si>
  <si>
    <t>FL-009/2010</t>
  </si>
  <si>
    <t>FL-0349</t>
  </si>
  <si>
    <t>FL-007/2010</t>
  </si>
  <si>
    <t>FL-0350</t>
  </si>
  <si>
    <t>FL-003/2010</t>
  </si>
  <si>
    <t>FL-0351</t>
  </si>
  <si>
    <t>FL-004/2010</t>
  </si>
  <si>
    <t>FL-006/2010</t>
  </si>
  <si>
    <t>FL-0353</t>
  </si>
  <si>
    <t>FL-005/2010</t>
  </si>
  <si>
    <t>FL-0354</t>
  </si>
  <si>
    <t>FL-013/2010</t>
  </si>
  <si>
    <t>FL-0355</t>
  </si>
  <si>
    <t>FL-0356</t>
  </si>
  <si>
    <t>FL-009/2011</t>
  </si>
  <si>
    <t>FL-0357</t>
  </si>
  <si>
    <t>FL-012/2010</t>
  </si>
  <si>
    <t>FL-0358</t>
  </si>
  <si>
    <t>FL-0359</t>
  </si>
  <si>
    <t>FL-015/2010</t>
  </si>
  <si>
    <t>FL-0360</t>
  </si>
  <si>
    <t>FL-005/2011</t>
  </si>
  <si>
    <t>FL-013/2011</t>
  </si>
  <si>
    <t>FL-023/2011</t>
  </si>
  <si>
    <t>FL-0361</t>
  </si>
  <si>
    <t>FL-017/2010</t>
  </si>
  <si>
    <t>FL-019/2011</t>
  </si>
  <si>
    <t>FL-022/2011</t>
  </si>
  <si>
    <t>FL-0362</t>
  </si>
  <si>
    <t>FL-012/2011</t>
  </si>
  <si>
    <t>FL-024/2011</t>
  </si>
  <si>
    <t>FL-0363</t>
  </si>
  <si>
    <t>FL-008/2011</t>
  </si>
  <si>
    <t>FL-004/2013</t>
  </si>
  <si>
    <t>FL-008/2014</t>
  </si>
  <si>
    <t>FL-0364</t>
  </si>
  <si>
    <t>FL-010/2011</t>
  </si>
  <si>
    <t>FL-0365</t>
  </si>
  <si>
    <t>FL-020/2010</t>
  </si>
  <si>
    <t>FL-0366</t>
  </si>
  <si>
    <t>FL-003/2011</t>
  </si>
  <si>
    <t>FL-0367</t>
  </si>
  <si>
    <t>FL-019/2010</t>
  </si>
  <si>
    <t>FL-0368</t>
  </si>
  <si>
    <t>FL-006/2012</t>
  </si>
  <si>
    <t>FL-005/2014</t>
  </si>
  <si>
    <t>FL-002/2021</t>
  </si>
  <si>
    <t>FL-0369</t>
  </si>
  <si>
    <t>FL-025/2010</t>
  </si>
  <si>
    <t>FL-0370</t>
  </si>
  <si>
    <t>FL-026/2010</t>
  </si>
  <si>
    <t>FL-0371</t>
  </si>
  <si>
    <t>FL-029/2010</t>
  </si>
  <si>
    <t>FL-0372</t>
  </si>
  <si>
    <t>FL-024/2010</t>
  </si>
  <si>
    <t>FL-0373</t>
  </si>
  <si>
    <t>FL-031/2010</t>
  </si>
  <si>
    <t>FL-0374</t>
  </si>
  <si>
    <t>FL-030/2010</t>
  </si>
  <si>
    <t>FL-0375</t>
  </si>
  <si>
    <t>FL-002/2011</t>
  </si>
  <si>
    <t>FL-0376</t>
  </si>
  <si>
    <t>FL-028/2010</t>
  </si>
  <si>
    <t>FL-002/2012</t>
  </si>
  <si>
    <t>FL-0377</t>
  </si>
  <si>
    <t>FL-004/2011</t>
  </si>
  <si>
    <t>FL-0378</t>
  </si>
  <si>
    <t>FL-006/2011</t>
  </si>
  <si>
    <t>FL-0379</t>
  </si>
  <si>
    <t>FL-014/2011</t>
  </si>
  <si>
    <t>FL-0380</t>
  </si>
  <si>
    <t>FL-007/2013</t>
  </si>
  <si>
    <t>FL-004/2014</t>
  </si>
  <si>
    <t>FL-0381</t>
  </si>
  <si>
    <t>FL-011/2011</t>
  </si>
  <si>
    <t>FL-0382</t>
  </si>
  <si>
    <t>FL-017/2011</t>
  </si>
  <si>
    <t>FL-0383</t>
  </si>
  <si>
    <t>FL-020/2011</t>
  </si>
  <si>
    <t>FL-012/2017</t>
  </si>
  <si>
    <t>FL-007/2018</t>
  </si>
  <si>
    <t>FL-011/2020</t>
  </si>
  <si>
    <t>FL-0384</t>
  </si>
  <si>
    <t>FL-001/2012</t>
  </si>
  <si>
    <t>FL-0385</t>
  </si>
  <si>
    <t>FL-003/2012</t>
  </si>
  <si>
    <t>FL-007/2014</t>
  </si>
  <si>
    <t>FL-006/2020</t>
  </si>
  <si>
    <t>FL-0386</t>
  </si>
  <si>
    <t>FL-004/2012</t>
  </si>
  <si>
    <t>FL-0387</t>
  </si>
  <si>
    <t>FL-005/2012</t>
  </si>
  <si>
    <t>FL-0388</t>
  </si>
  <si>
    <t>FL-001/2013</t>
  </si>
  <si>
    <t>FL-0389</t>
  </si>
  <si>
    <t>FL-003/2013</t>
  </si>
  <si>
    <t>FL-010/2014</t>
  </si>
  <si>
    <t>FL-0390</t>
  </si>
  <si>
    <t>FL-002/2013</t>
  </si>
  <si>
    <t>FL-0391</t>
  </si>
  <si>
    <t>FL-006/2013</t>
  </si>
  <si>
    <t>FL-008/2017</t>
  </si>
  <si>
    <t>FL-0392</t>
  </si>
  <si>
    <t>FL-005/2013</t>
  </si>
  <si>
    <t>FL-003/2015</t>
  </si>
  <si>
    <t>FL-0393</t>
  </si>
  <si>
    <t>FL-002/2014</t>
  </si>
  <si>
    <t>FL-0394</t>
  </si>
  <si>
    <t>FL-003/2014</t>
  </si>
  <si>
    <t>FL-011/2014</t>
  </si>
  <si>
    <t>FL-0395</t>
  </si>
  <si>
    <t>FL-006/2014</t>
  </si>
  <si>
    <t>FL-0396</t>
  </si>
  <si>
    <t>FL-012/2014</t>
  </si>
  <si>
    <t>FL-005/2017</t>
  </si>
  <si>
    <t>FL-0397</t>
  </si>
  <si>
    <t>FL-002/2016</t>
  </si>
  <si>
    <t>FL-0398</t>
  </si>
  <si>
    <t>FL-002/2015</t>
  </si>
  <si>
    <t>FL-002/2018</t>
  </si>
  <si>
    <t>FL-0399</t>
  </si>
  <si>
    <t>FL-004/2015</t>
  </si>
  <si>
    <t>FL-003/2017</t>
  </si>
  <si>
    <t>FL-001/2025</t>
  </si>
  <si>
    <t>FL-0400</t>
  </si>
  <si>
    <t>FL-001/2015</t>
  </si>
  <si>
    <t>FL-0401</t>
  </si>
  <si>
    <t>FL-005/2015</t>
  </si>
  <si>
    <t>FL-0402</t>
  </si>
  <si>
    <t>FL-009/2015</t>
  </si>
  <si>
    <t>FL-006/2019</t>
  </si>
  <si>
    <t>FL-018/2020</t>
  </si>
  <si>
    <t>FL-0403</t>
  </si>
  <si>
    <t>FL-007/2015</t>
  </si>
  <si>
    <t>FL-0404</t>
  </si>
  <si>
    <t>FL-006/2015</t>
  </si>
  <si>
    <t>FL-0405</t>
  </si>
  <si>
    <t>FL-008/2015</t>
  </si>
  <si>
    <t>FL-006/2016</t>
  </si>
  <si>
    <t>FL-0406</t>
  </si>
  <si>
    <t>FL-010/2015</t>
  </si>
  <si>
    <t>FL-0407</t>
  </si>
  <si>
    <t>FL-010/2017</t>
  </si>
  <si>
    <t>FL-006/2018</t>
  </si>
  <si>
    <t>FL-0408</t>
  </si>
  <si>
    <t>FL-001/2016</t>
  </si>
  <si>
    <t>FL-0409</t>
  </si>
  <si>
    <t>FL-004/2016</t>
  </si>
  <si>
    <t>FL-005/2018</t>
  </si>
  <si>
    <t>FL-002/2019</t>
  </si>
  <si>
    <t>FL-0410</t>
  </si>
  <si>
    <t>FL-001/2017</t>
  </si>
  <si>
    <t>FL-0411</t>
  </si>
  <si>
    <t>FL-002/2017</t>
  </si>
  <si>
    <t>FL-0412</t>
  </si>
  <si>
    <t>FL-007/2019</t>
  </si>
  <si>
    <t>FL-0413</t>
  </si>
  <si>
    <t>FL-0414</t>
  </si>
  <si>
    <t>FL-011/2017</t>
  </si>
  <si>
    <t>FL-001/2019</t>
  </si>
  <si>
    <t>FL-012/2020</t>
  </si>
  <si>
    <t>FL-002/2025</t>
  </si>
  <si>
    <t>FL-0415</t>
  </si>
  <si>
    <t>FL-004/2019</t>
  </si>
  <si>
    <t>FL-009/2019</t>
  </si>
  <si>
    <t>FL-0416</t>
  </si>
  <si>
    <t>FL-004/2018</t>
  </si>
  <si>
    <t>FL-0417</t>
  </si>
  <si>
    <t>FL-009/2017</t>
  </si>
  <si>
    <t>FL-001/2018</t>
  </si>
  <si>
    <t>FL-0418</t>
  </si>
  <si>
    <t>FL-003/2018</t>
  </si>
  <si>
    <t>FL-0419</t>
  </si>
  <si>
    <t>FL-0420</t>
  </si>
  <si>
    <t>FL-003/2019</t>
  </si>
  <si>
    <t>FL-0421</t>
  </si>
  <si>
    <t>FL-005/2019</t>
  </si>
  <si>
    <t>FL-007/2020</t>
  </si>
  <si>
    <t>FL-017/2020</t>
  </si>
  <si>
    <t>FL-0422</t>
  </si>
  <si>
    <t>FL-010/2019</t>
  </si>
  <si>
    <t>FL-021/2020</t>
  </si>
  <si>
    <t>FL-0423</t>
  </si>
  <si>
    <t>FL-001/2020</t>
  </si>
  <si>
    <t>FL-019/2020</t>
  </si>
  <si>
    <t>FL-0424</t>
  </si>
  <si>
    <t>FL-008/2021</t>
  </si>
  <si>
    <t>FL-0425</t>
  </si>
  <si>
    <t>FL-008/2020</t>
  </si>
  <si>
    <t>FL-0426</t>
  </si>
  <si>
    <t>FL-002/2020</t>
  </si>
  <si>
    <t>022/2020</t>
  </si>
  <si>
    <t>FL-001/2021</t>
  </si>
  <si>
    <t>FL-0427</t>
  </si>
  <si>
    <t>FL-009/2020</t>
  </si>
  <si>
    <t>FL-0428</t>
  </si>
  <si>
    <t>FL-013/2020</t>
  </si>
  <si>
    <t>FL-010/2021</t>
  </si>
  <si>
    <t>FL-0429</t>
  </si>
  <si>
    <t>FL-024/2020</t>
  </si>
  <si>
    <t>FL-0430</t>
  </si>
  <si>
    <t>FL-005/2020</t>
  </si>
  <si>
    <t>FL-0431</t>
  </si>
  <si>
    <t>FL-023/2020</t>
  </si>
  <si>
    <t>FL-005/2022</t>
  </si>
  <si>
    <t>FL-0432</t>
  </si>
  <si>
    <t>FL-010/2020</t>
  </si>
  <si>
    <t>FL-0433</t>
  </si>
  <si>
    <t>FL-015/2020</t>
  </si>
  <si>
    <t>FL-0434</t>
  </si>
  <si>
    <t>FL-016/2020</t>
  </si>
  <si>
    <t>FL-001/2022</t>
  </si>
  <si>
    <t>FL-0435</t>
  </si>
  <si>
    <t>FL-014/2020</t>
  </si>
  <si>
    <t>FL-008/2022</t>
  </si>
  <si>
    <t>FL-0436</t>
  </si>
  <si>
    <t>FL-003/2020</t>
  </si>
  <si>
    <t>FL-0437</t>
  </si>
  <si>
    <t>FL-004/2020</t>
  </si>
  <si>
    <t>FL-020/2020</t>
  </si>
  <si>
    <t>FL-007/2021</t>
  </si>
  <si>
    <t>FL-009/2022</t>
  </si>
  <si>
    <t>FL-0438</t>
  </si>
  <si>
    <t>FL-0439</t>
  </si>
  <si>
    <t>FL-004/2022</t>
  </si>
  <si>
    <t>FL-0440</t>
  </si>
  <si>
    <t>FL-003/2022</t>
  </si>
  <si>
    <t>FL-006/2022</t>
  </si>
  <si>
    <t>FL-0441</t>
  </si>
  <si>
    <t>FL-001/2023</t>
  </si>
  <si>
    <t>FL-0442</t>
  </si>
  <si>
    <t>FL-0443</t>
  </si>
  <si>
    <t>FL-0444</t>
  </si>
  <si>
    <t>FL-0445</t>
  </si>
  <si>
    <t>FL-0446</t>
  </si>
  <si>
    <t>FL-0447</t>
  </si>
  <si>
    <t>FL-0448</t>
  </si>
  <si>
    <t>FL-0449</t>
  </si>
  <si>
    <t>FL-0450</t>
  </si>
  <si>
    <t>FL-0451</t>
  </si>
  <si>
    <t>FL-0452</t>
  </si>
  <si>
    <t>FL-0453</t>
  </si>
  <si>
    <t>FL-0454</t>
  </si>
  <si>
    <t>FL-0455</t>
  </si>
  <si>
    <t>FL-0456</t>
  </si>
  <si>
    <t>FL-0457</t>
  </si>
  <si>
    <t>FL-0458</t>
  </si>
  <si>
    <t>FL-0459</t>
  </si>
  <si>
    <t>FL-0460</t>
  </si>
  <si>
    <t>FL-0461</t>
  </si>
  <si>
    <t>FL-0462</t>
  </si>
  <si>
    <t>FL-0463</t>
  </si>
  <si>
    <t>FL-0464</t>
  </si>
  <si>
    <t>FL-0465</t>
  </si>
  <si>
    <t>FL-0466</t>
  </si>
  <si>
    <t>FL-0467</t>
  </si>
  <si>
    <t>FL-0468</t>
  </si>
  <si>
    <t>FL-0469</t>
  </si>
  <si>
    <t>FL-0470</t>
  </si>
  <si>
    <t>FL-0471</t>
  </si>
  <si>
    <t>FL-0472</t>
  </si>
  <si>
    <t>FL-0473</t>
  </si>
  <si>
    <t>FL-0474</t>
  </si>
  <si>
    <t>FL-0475</t>
  </si>
  <si>
    <t>FL-0476</t>
  </si>
  <si>
    <t>FL-0477</t>
  </si>
  <si>
    <t>FL-0478</t>
  </si>
  <si>
    <t>FL-0479</t>
  </si>
  <si>
    <t>FL-0480</t>
  </si>
  <si>
    <t>FL-0481</t>
  </si>
  <si>
    <t>FL-0482</t>
  </si>
  <si>
    <t>FL-0483</t>
  </si>
  <si>
    <t>FL-0484</t>
  </si>
  <si>
    <t>FL-0485</t>
  </si>
  <si>
    <t>FL-0486</t>
  </si>
  <si>
    <t>FL-0487</t>
  </si>
  <si>
    <t>FL-0488</t>
  </si>
  <si>
    <t>FL-0489</t>
  </si>
  <si>
    <t>FL-0490</t>
  </si>
  <si>
    <t>FL-0491</t>
  </si>
  <si>
    <t>FL-0492</t>
  </si>
  <si>
    <t>FL-0493</t>
  </si>
  <si>
    <t>FL-0494</t>
  </si>
  <si>
    <t>FL-0495</t>
  </si>
  <si>
    <t>FL-0496</t>
  </si>
  <si>
    <t>FL-0497</t>
  </si>
  <si>
    <t>FL-0498</t>
  </si>
  <si>
    <t>FL-0499</t>
  </si>
  <si>
    <t>FL-0500</t>
  </si>
  <si>
    <t>FL-0501</t>
  </si>
  <si>
    <t>FL-0502</t>
  </si>
  <si>
    <t>FL-0503</t>
  </si>
  <si>
    <t>FL-0504</t>
  </si>
  <si>
    <t>FL-0505</t>
  </si>
  <si>
    <t>FL-0506</t>
  </si>
  <si>
    <t>FL-0507</t>
  </si>
  <si>
    <t>FL-0508</t>
  </si>
  <si>
    <t>FL-0509</t>
  </si>
  <si>
    <t>FL-0510</t>
  </si>
  <si>
    <t>FL-0511</t>
  </si>
  <si>
    <t>FL-0512</t>
  </si>
  <si>
    <t>FL-0513</t>
  </si>
  <si>
    <t>FL-0514</t>
  </si>
  <si>
    <t>FL-0515</t>
  </si>
  <si>
    <t>FL-0516</t>
  </si>
  <si>
    <t>FL-0517</t>
  </si>
  <si>
    <t>FL-0518</t>
  </si>
  <si>
    <t>FL-0519</t>
  </si>
  <si>
    <t>FL-0520</t>
  </si>
  <si>
    <t>FL-0521</t>
  </si>
  <si>
    <t>FL-0522</t>
  </si>
  <si>
    <t>FL-0523</t>
  </si>
  <si>
    <t>FL-0524</t>
  </si>
  <si>
    <t>FL-0525</t>
  </si>
  <si>
    <t>FL-0526</t>
  </si>
  <si>
    <t>FL-0527</t>
  </si>
  <si>
    <t>FL-0528</t>
  </si>
  <si>
    <t>FL-0529</t>
  </si>
  <si>
    <t>FL-0530</t>
  </si>
  <si>
    <t>FL-0531</t>
  </si>
  <si>
    <t>FL-0532</t>
  </si>
  <si>
    <t>FL-0533</t>
  </si>
  <si>
    <t>FL-0534</t>
  </si>
  <si>
    <t>FL-0535</t>
  </si>
  <si>
    <t>FL-0536</t>
  </si>
  <si>
    <t>FL-0537</t>
  </si>
  <si>
    <t>FL-0538</t>
  </si>
  <si>
    <t>FL-0539</t>
  </si>
  <si>
    <t>FL-0540</t>
  </si>
  <si>
    <t>FL-0541</t>
  </si>
  <si>
    <t>FL-0542</t>
  </si>
  <si>
    <t>FL-0543</t>
  </si>
  <si>
    <t>FL-0544</t>
  </si>
  <si>
    <t>FL-0545</t>
  </si>
  <si>
    <t>FL-0546</t>
  </si>
  <si>
    <t>FL-0547</t>
  </si>
  <si>
    <t>FL-0548</t>
  </si>
  <si>
    <t>FL-0549</t>
  </si>
  <si>
    <t>FL-0550</t>
  </si>
  <si>
    <t>FL-0551</t>
  </si>
  <si>
    <t>FL-0552</t>
  </si>
  <si>
    <t>FL-0553</t>
  </si>
  <si>
    <t>FL-0554</t>
  </si>
  <si>
    <t>FL-0555</t>
  </si>
  <si>
    <t>FL-0556</t>
  </si>
  <si>
    <t>FL-0557</t>
  </si>
  <si>
    <t>FL-0558</t>
  </si>
  <si>
    <t>FL-0559</t>
  </si>
  <si>
    <t>FL-0560</t>
  </si>
  <si>
    <t>FL-0561</t>
  </si>
  <si>
    <t>FL-0562</t>
  </si>
  <si>
    <t>FL-0563</t>
  </si>
  <si>
    <t>FL-0564</t>
  </si>
  <si>
    <t>FL-0565</t>
  </si>
  <si>
    <t>FL-0566</t>
  </si>
  <si>
    <t>FL-0567</t>
  </si>
  <si>
    <t>FL-0568</t>
  </si>
  <si>
    <t>FL-0569</t>
  </si>
  <si>
    <t>FL-0570</t>
  </si>
  <si>
    <t>FL-0571</t>
  </si>
  <si>
    <t>FL-0572</t>
  </si>
  <si>
    <t>FL-0573</t>
  </si>
  <si>
    <t>FL-0574</t>
  </si>
  <si>
    <t>FL-0575</t>
  </si>
  <si>
    <t>FL-0576</t>
  </si>
  <si>
    <t>FL-0577</t>
  </si>
  <si>
    <t>FL-0578</t>
  </si>
  <si>
    <t>FL-0579</t>
  </si>
  <si>
    <t>FL-0580</t>
  </si>
  <si>
    <t>FL-0581</t>
  </si>
  <si>
    <t>FL-0582</t>
  </si>
  <si>
    <t>FL-0583</t>
  </si>
  <si>
    <t>FL-0584</t>
  </si>
  <si>
    <t>FL-0585</t>
  </si>
  <si>
    <t>FL-0586</t>
  </si>
  <si>
    <t>FL-0587</t>
  </si>
  <si>
    <t>FL-0588</t>
  </si>
  <si>
    <t>FL-0589</t>
  </si>
  <si>
    <t>FL-0590</t>
  </si>
  <si>
    <t>FL-0591</t>
  </si>
  <si>
    <t>FL-0592</t>
  </si>
  <si>
    <t>FL-0593</t>
  </si>
  <si>
    <t>FL-0594</t>
  </si>
  <si>
    <t>FL-0595</t>
  </si>
  <si>
    <t>FL-0596</t>
  </si>
  <si>
    <t>FL-0597</t>
  </si>
  <si>
    <t>FL-146/1997</t>
  </si>
  <si>
    <t>FL-0598</t>
  </si>
  <si>
    <t>FL-0599</t>
  </si>
  <si>
    <t>FL-0600</t>
  </si>
  <si>
    <t>TIPO</t>
  </si>
  <si>
    <t>PROCESSO</t>
  </si>
  <si>
    <t>DATA DA EMISSAO</t>
  </si>
  <si>
    <t xml:space="preserve">PROPOSTA </t>
  </si>
  <si>
    <t>OUC</t>
  </si>
  <si>
    <t>NUMERO</t>
  </si>
  <si>
    <t>ANO_CERTIDAO</t>
  </si>
  <si>
    <t>NUMERO DA CERTIDAO</t>
  </si>
  <si>
    <t>XX/XX/XXXX</t>
  </si>
  <si>
    <t>XX-0000</t>
  </si>
  <si>
    <t>000</t>
  </si>
  <si>
    <t>XX-000/0000</t>
  </si>
  <si>
    <t>MODELO</t>
  </si>
  <si>
    <t>VINCULAÇÃO</t>
  </si>
  <si>
    <t>7810.2024/0001277-6</t>
  </si>
  <si>
    <t>FL</t>
  </si>
  <si>
    <t>001</t>
  </si>
  <si>
    <t>7810.2024/0001318-7</t>
  </si>
  <si>
    <t>002</t>
  </si>
  <si>
    <t>7810.2024/0001498-1</t>
  </si>
  <si>
    <t>FL-9413</t>
  </si>
  <si>
    <t>003</t>
  </si>
  <si>
    <t>004</t>
  </si>
  <si>
    <t>FL-004/2025</t>
  </si>
  <si>
    <t>próxima numeração (inserir linha acima)</t>
  </si>
  <si>
    <t>DV-001/2025</t>
  </si>
  <si>
    <t>DESVINCULAÇÃO</t>
  </si>
  <si>
    <t>PA (16 digitos)</t>
  </si>
  <si>
    <t>PA (12 digitos)</t>
  </si>
  <si>
    <t>CPF</t>
  </si>
  <si>
    <t>NUVEM m² -nR</t>
  </si>
  <si>
    <t>2014-0357603-0</t>
  </si>
  <si>
    <t>FLCJ SPE EMPREENDIMENTO IMOBILIARIO LTDA</t>
  </si>
  <si>
    <t>14281580/0001-47;</t>
  </si>
  <si>
    <t>AVENIDA PROFESSOR ARTHUR RAMOS, 111, 127, 135, 143 E 149 X AVENIDA CIDADE JARDIM, 514, 614 E 63</t>
  </si>
  <si>
    <t>VINCULACAO</t>
  </si>
  <si>
    <t>083068;</t>
  </si>
  <si>
    <t>0009-5; 0010-9; 0018-4; 0019-2;</t>
  </si>
  <si>
    <t>MISTO</t>
  </si>
  <si>
    <t>CEPAC (título)</t>
  </si>
  <si>
    <t>CANCELADA PELA CERTIDÃO FL-003/2017</t>
  </si>
  <si>
    <t>GIULIA/04/06/2025</t>
  </si>
  <si>
    <t>2017-0037314-1</t>
  </si>
  <si>
    <t>AVENIDA PROFESSOR ARTHUR RAMOS, 111, 127, 135, 143 E 149 X AVENIDA CIDADE JARDIM, 514, 614 E 632 X RUA ARAÇARI X AVENIDA BRIGADEIRO FARIA LIMA</t>
  </si>
  <si>
    <t>ALTERACAO</t>
  </si>
  <si>
    <t>NR</t>
  </si>
  <si>
    <t>2016-0277653-5</t>
  </si>
  <si>
    <t>FUNCHAL 641 SPE EMPREENDIMENTOS IMOBILIÁRIOS LTDA</t>
  </si>
  <si>
    <t>18597139/0001-20;</t>
  </si>
  <si>
    <t>RUA FUNCHAL, 68, 76, 92, 102, 641, 651; AVENIDA DOUTOR CARDOSO DE MELO, 1761, S/N.</t>
  </si>
  <si>
    <t>299078;</t>
  </si>
  <si>
    <t>0034-1; 0039-0; 0040-4; 00041-2; 0043-9;</t>
  </si>
  <si>
    <t>CANCELADA E SUBSTITUÍDA PELA CERTIDÃO FL-001/2019</t>
  </si>
  <si>
    <t>LUCIANA/27/06/2025</t>
  </si>
  <si>
    <t>7810.2018/0000686-4</t>
  </si>
  <si>
    <t xml:space="preserve">RUA FUNCHAL, 68, 76, 92, 102, 641, 651; AVENIDA DOUTOR CARDOSO DE MELO, 1761, </t>
  </si>
  <si>
    <t>R</t>
  </si>
  <si>
    <t>EMPREENDIMENTO MISTO. ADQUIRIDA ACA R. CANCELA E SUBSTITUI CERTIDÃO FL011/2017. CANCELADA E SUBSTITUÍDA PELA CERTIDÃO FL-012/2020</t>
  </si>
  <si>
    <t>1010.2019/0002325-0</t>
  </si>
  <si>
    <t>7810.2024/0001324-1</t>
  </si>
  <si>
    <t>2011-0198817-2</t>
  </si>
  <si>
    <t>SPE DIOGO MOREIRA LTDA., LEOALDY OLIVEIRA CARDOZO; VERA LUCIA CARDOZO IANNONE; ALICE CARDOZO FERRACINI; MARILENE CARDOZO LIMA; MARIO SIMOES CARDOZO JUNIOR; MARIA THEREZA DE CASTILHO FREIRE; MARIO ANTONIO DE CASTILHO FREIRE; MARIA LUCILIA DE CASTILHO FREIRE; MARIA ALICE PEREIRA DE SOUSA FREIRE; MARIA SILVIA PEREIRA DE SOUSA FREIRE; FERNANDO LUIZ PEREIRA DE SOUZA FREIRE;</t>
  </si>
  <si>
    <t>12360052/0001-58;</t>
  </si>
  <si>
    <t>011146698-90; 212977228-50; 059403348-90; 302062388-00; 896438288-91; 174505318-28; 563381398-72; 586354598-49; 006546508-37; 325590318-17; 346869988-32;</t>
  </si>
  <si>
    <t>RUA DIOGO MOREIRA, 222, 226 E 250 E RUA CARIRIS, 305</t>
  </si>
  <si>
    <t>015074;</t>
  </si>
  <si>
    <t>0097-7; 0041-1; 0084-5; 0089-6;</t>
  </si>
  <si>
    <t>CANCELADA PELA CERTIDÃO FL-012/2017</t>
  </si>
  <si>
    <t>AMANDA/05/06/2025</t>
  </si>
  <si>
    <t>2017-0144330-5</t>
  </si>
  <si>
    <t>SPE DIOGO MOREIRA S.A.; ILAJA EMPREENDIMENTOS IMOBILIARIOS LTDA; FERNANDO DE TOLEDO ESPINDOLA</t>
  </si>
  <si>
    <t>12360052/0001-58; 17331161/0001-60;</t>
  </si>
  <si>
    <t>004235698-99;</t>
  </si>
  <si>
    <t>AVENIDA EUSEBIO MATOSO; RUA DIOGO MOREIRA; RUA CARDEAL ARCOVERDE; RUA DOS CARIRIS</t>
  </si>
  <si>
    <t>CANCELA E SUBSTITUI A CERTIDÃO FL-020/2011 | CANCELADA PELA CERTIDÃO FL-007-2018 | OBS: VÁRIOS SQ (NÃO CONSEGUI LANÇAR)</t>
  </si>
  <si>
    <t>CANCELA E SUBSTITUI A CERTIDÃO FL-012/2017 | CANCELADA PELA CERTIDÃO FL-011/2020</t>
  </si>
  <si>
    <t>1010.2019/0002320-0</t>
  </si>
  <si>
    <t>SPE DIOGO MOREIRA S.A.; ILAJA EMPREENDIMENTOS IMOBILIARIOS LTDA;</t>
  </si>
  <si>
    <t>RUA DOS CARIRIS, 291 A 367; RUA CARDEAL ARCOVERDE, 2977 A 3041; RUA DIOGO MOREIRA, 222 A 322</t>
  </si>
  <si>
    <t>DESVINCULACAO</t>
  </si>
  <si>
    <t>ANO CERTIDAO</t>
  </si>
  <si>
    <t>CONTRIBUINTE - SQL</t>
  </si>
  <si>
    <t xml:space="preserve">SETOR </t>
  </si>
  <si>
    <t>STATUS DO PA</t>
  </si>
  <si>
    <t xml:space="preserve">VALIDA OU CANCELADA </t>
  </si>
  <si>
    <t>0000</t>
  </si>
  <si>
    <t>XXXXXXXXXX</t>
  </si>
  <si>
    <t>000.000.0000-0</t>
  </si>
  <si>
    <t>XXXXX</t>
  </si>
  <si>
    <t xml:space="preserve">0000.0000/0000000-0 </t>
  </si>
  <si>
    <t xml:space="preserve">DEFERIDO, INDEFERIDO OU ANALISE </t>
  </si>
  <si>
    <t>OODC, CEPAC</t>
  </si>
  <si>
    <t>CAPEL</t>
  </si>
  <si>
    <t>083.206.0054-5/ 0055-3/ 0056-1</t>
  </si>
  <si>
    <t>13-000.321-95*05</t>
  </si>
  <si>
    <t xml:space="preserve">COMEPAR MALIK </t>
  </si>
  <si>
    <t>299.009.0040-3/ 0042-1/ 0043-8/ 0044-6/ 0045-4/ 0052-7/ 0054-3</t>
  </si>
  <si>
    <t>13-000.366-95*35</t>
  </si>
  <si>
    <t>SAO LOURENCO</t>
  </si>
  <si>
    <t>015.080.0222-3/0045-1</t>
  </si>
  <si>
    <t>13-000.578-95*03</t>
  </si>
  <si>
    <t>JHS</t>
  </si>
  <si>
    <t>016.154.0005-2/ 0021-4/ 0022-2/ 0034-6/ 0035-4</t>
  </si>
  <si>
    <t>13-000.586-95*31</t>
  </si>
  <si>
    <t>SERPLAN</t>
  </si>
  <si>
    <t>016.154.0005-2, 016.154.0021-4, 016.154.0035-4, 016.154.0034-6, 
016.154.0022-2, 016.154.0024-9, 016.154.0025-7</t>
  </si>
  <si>
    <t>1995-0.017.225-9</t>
  </si>
  <si>
    <t>VENDOME</t>
  </si>
  <si>
    <t>299.014.0097-8/0081-1</t>
  </si>
  <si>
    <t>1995-0.017.263-1</t>
  </si>
  <si>
    <t>PETER MURANYI</t>
  </si>
  <si>
    <t>015.073.0120-0</t>
  </si>
  <si>
    <t>1995-0.017.213-5</t>
  </si>
  <si>
    <t>SOCIEDADE CIVIL PALMARES</t>
  </si>
  <si>
    <t xml:space="preserve">083.007.0024-2/23-4/39-0/43-9/42-0 </t>
  </si>
  <si>
    <t>13-000.777-95*30</t>
  </si>
  <si>
    <t>LUAN</t>
  </si>
  <si>
    <t>299.003.0349-9</t>
  </si>
  <si>
    <t>13-000.788-95*56</t>
  </si>
  <si>
    <t>299.033.0349-9</t>
  </si>
  <si>
    <t>1995-0.017.301-8</t>
  </si>
  <si>
    <t>KAUFFMANN</t>
  </si>
  <si>
    <t>299.022.0152-9/0026-3/0036-0/0029-8/0180-4 /0165-0</t>
  </si>
  <si>
    <t>13-000.795-95*11</t>
  </si>
  <si>
    <t>299.022.0152-9/0026-3/0036-0/0029-8/0180-4/0165-0</t>
  </si>
  <si>
    <t>KLAPART</t>
  </si>
  <si>
    <t>083.103.0064 -6/0017-4</t>
  </si>
  <si>
    <t>13-000.911-95*10</t>
  </si>
  <si>
    <t>RACIONAL</t>
  </si>
  <si>
    <t>299.019.0035-0, 299019-0032-6, 299.019.0087-3, 299.019.0033-4, 299.019.0034-2</t>
  </si>
  <si>
    <t>13-000.930-95*65</t>
  </si>
  <si>
    <t>TAQUARI</t>
  </si>
  <si>
    <t>015.031.0034-0, 015.031.0035-9, 015.031.0036-7, 015.031.0037-5</t>
  </si>
  <si>
    <t>13-000.878-95*47</t>
  </si>
  <si>
    <t>MARITIMA</t>
  </si>
  <si>
    <t>299.028.0045-7</t>
  </si>
  <si>
    <t>13-000.969-95*09</t>
  </si>
  <si>
    <t>ACHE</t>
  </si>
  <si>
    <t>083.007.0035-8</t>
  </si>
  <si>
    <t>13-000.928.95*13</t>
  </si>
  <si>
    <t>RUY OHTAKE</t>
  </si>
  <si>
    <t>PERMITIDO GABARITO ACIMA DE 25m (CNLU)</t>
  </si>
  <si>
    <t>083.007.0005-6, 083.007.0027-7, 083.007.0028-5, 083.007.0035-8</t>
  </si>
  <si>
    <t>1995-0.017.346-8</t>
  </si>
  <si>
    <t>GUSTAVO HALBREICH</t>
  </si>
  <si>
    <t>015.074.0049-7/0111-6/0091-8</t>
  </si>
  <si>
    <t>13-000.004-96*25</t>
  </si>
  <si>
    <t>FANY TABACOW</t>
  </si>
  <si>
    <t>015.092.0016-9</t>
  </si>
  <si>
    <t>13-000.069-96*70</t>
  </si>
  <si>
    <t>INPAR</t>
  </si>
  <si>
    <t>299.073.0019-3/0018-5/0022-3/0020-7</t>
  </si>
  <si>
    <t>OLIMPIADAS</t>
  </si>
  <si>
    <t>13-000.111-96*35</t>
  </si>
  <si>
    <t>ANSELMO RODRIGUES</t>
  </si>
  <si>
    <t>015.100.0079-8</t>
  </si>
  <si>
    <t>13-000.204-96*41</t>
  </si>
  <si>
    <t>GASPAR E ASSOCIADOS</t>
  </si>
  <si>
    <t>083.110.0021-2</t>
  </si>
  <si>
    <t>13-000.211-96*80</t>
  </si>
  <si>
    <t>DAVILAR</t>
  </si>
  <si>
    <t>299.124.0001- 1/0002-8/0003-6/0004-4/0005-2/0006-0/0007-9</t>
  </si>
  <si>
    <t>1996-0.029.276-0</t>
  </si>
  <si>
    <t>ZABO</t>
  </si>
  <si>
    <t>041.287.0017-7/0018-5/0019-3 e 0020-7</t>
  </si>
  <si>
    <t>13-000.353-96*74</t>
  </si>
  <si>
    <t>QUEIROZ GALVAO</t>
  </si>
  <si>
    <t>041.287.0058-4 
(041.287.0017-7, 041.287.0018-5, 041.287.0019-3, 041.287.0020-7) e 041.287.0027-4</t>
  </si>
  <si>
    <t>2003-0.285.966-3</t>
  </si>
  <si>
    <t>TECNISA</t>
  </si>
  <si>
    <t>084.248.0051-6</t>
  </si>
  <si>
    <t>13-000.355-96*08</t>
  </si>
  <si>
    <t>SCHAHIN CURY</t>
  </si>
  <si>
    <t>041.061.0012-6; 041.061.0179-3</t>
  </si>
  <si>
    <t>13-000.182-96*83</t>
  </si>
  <si>
    <t>13-000.183-96*46</t>
  </si>
  <si>
    <t>1996-0.029.233-7</t>
  </si>
  <si>
    <t>SAO LUIZ</t>
  </si>
  <si>
    <t xml:space="preserve">016.162.0166-5, 016.162.0004-9, 016.162.0005-7, 016.162.0007-3, 016.162.0006-5, 016.162.0008-1, 016.162.0009-1 </t>
  </si>
  <si>
    <t>1996-0.029.323-6</t>
  </si>
  <si>
    <t>299.003.0050-3, 299.003.0051-1, 
299.003.0049-1 ,299.003.0347-2, 299.003.0045-7, 299.003.0053-8, 299.003.0046-5, 299.003.0054-6, 299.003.0052-1</t>
  </si>
  <si>
    <t>1996-0.029.325-2</t>
  </si>
  <si>
    <t>299.003.0050-3, 299.003.0051-1, 299.003.0049-1, 299.003.0347-2, 
299.003.0045-7, 299.003.0053-8, 299.003.0046-5, 299.003.0054-6, 299.003.0052-1</t>
  </si>
  <si>
    <t>299.009.0094-2/0028-8/0025-1</t>
  </si>
  <si>
    <t>13-000.454-96*81</t>
  </si>
  <si>
    <t>SAINT PATICK</t>
  </si>
  <si>
    <t>083.197.0067-1, 083.197.0068-1, 083.197.0069-8, 083.197.0065-5, 083.197.0066-3</t>
  </si>
  <si>
    <t>1996-0.029.348-1</t>
  </si>
  <si>
    <t>ETROS</t>
  </si>
  <si>
    <t>CARMEM LINDA</t>
  </si>
  <si>
    <t>083.007.0019-6</t>
  </si>
  <si>
    <t>1996-0.029.381-3</t>
  </si>
  <si>
    <t>ALBERTO FORTE</t>
  </si>
  <si>
    <t>299.023.0077-2; 299.023.0082-9</t>
  </si>
  <si>
    <t>1996-0.029.387-2</t>
  </si>
  <si>
    <t>RESULT</t>
  </si>
  <si>
    <t>041.287.0038-1</t>
  </si>
  <si>
    <t>13-000.608-96*53</t>
  </si>
  <si>
    <t>RAFIC FARKOUH</t>
  </si>
  <si>
    <t>041.036.0013-6/0019-5/0020-9</t>
  </si>
  <si>
    <t>1996-0.029.476-3</t>
  </si>
  <si>
    <t>AMERICO FERNANDO</t>
  </si>
  <si>
    <t>041.079.0067-3</t>
  </si>
  <si>
    <t>1996-0.029.505-0</t>
  </si>
  <si>
    <t>041.288.0001-5</t>
  </si>
  <si>
    <t>1996-0.029.530-1</t>
  </si>
  <si>
    <t>041.288.0001-5 (antigo) e 
041.288.0026-0 (atual)</t>
  </si>
  <si>
    <t>MARIO TEIXEIRA</t>
  </si>
  <si>
    <t>299.020.0136-8</t>
  </si>
  <si>
    <t>1996-0.029.534-4</t>
  </si>
  <si>
    <t>299.015.0252-5</t>
  </si>
  <si>
    <t>1996-0.029.543-3</t>
  </si>
  <si>
    <t>SEISA MESTER</t>
  </si>
  <si>
    <t>299.095.0002-5, 299.095.0049-1, 299.095.0050-5</t>
  </si>
  <si>
    <t>1996-0.029.553-0</t>
  </si>
  <si>
    <t>JACQUES DUVAL</t>
  </si>
  <si>
    <t>083.054.0172-3</t>
  </si>
  <si>
    <t>1996-0.029.558-1</t>
  </si>
  <si>
    <t>041.288.0002-3, 041.288.0005-8, 041.288.0006-6, 041.288.0017-1, 041.288.0008-2, 041.288.0007-4, 046.211.0001-7</t>
  </si>
  <si>
    <t>1996-0.029.626-0</t>
  </si>
  <si>
    <t>299.028.0463-0</t>
  </si>
  <si>
    <t>1997-0.019.902-9</t>
  </si>
  <si>
    <t>BRAZIL REALTY</t>
  </si>
  <si>
    <t>016.137.0039-3, 016 137.0054-7, 016.137.0055-5, 016.137.0111-1</t>
  </si>
  <si>
    <t>1997-0.019.968-1</t>
  </si>
  <si>
    <t>041.038.0027-5</t>
  </si>
  <si>
    <t>1997-0.020.005-1</t>
  </si>
  <si>
    <t>PARINCORP</t>
  </si>
  <si>
    <t>299.020.0156-2, 299.020.0123-6, 299.020.0111-2, 299.020.0112-0, 
299.020.0115-5, 299.020.0116-3, 299.020.0117-1, 299.020.0118-1, 299.020.0114-7, 299.020.0113-9, 299.020.0105-8, 299.020.0106-6, 299.020.0107-4, 299.020.0110-4, 
299.020.0119-8, 299.020.0120-1, 299.020.0121-1, 299.020.0122-8, 299.020.0124-4, 299.020.0145-7, 299.020.0064-7, 299.020.0063-3</t>
  </si>
  <si>
    <t>1997-0.104.439-8</t>
  </si>
  <si>
    <t>ZULMIRA E SERPLAN</t>
  </si>
  <si>
    <t>083 015.0008-5, 083.015.0009-3</t>
  </si>
  <si>
    <t>1997-0.106.370-8</t>
  </si>
  <si>
    <t>MIGUEL HERVINGTON</t>
  </si>
  <si>
    <t>083.178.0063-6, 083.178.0040-7,  083.178.0108-1</t>
  </si>
  <si>
    <t>1997-0.145.963-6</t>
  </si>
  <si>
    <t>041.038.0017-8, 041.038.0018-6, 041.038.0019-4, 041.038.0021-6</t>
  </si>
  <si>
    <t>1997-0.172.991-9</t>
  </si>
  <si>
    <t>1997-0.179.504-0</t>
  </si>
  <si>
    <t>JORGE YUNES</t>
  </si>
  <si>
    <t>083.067.0078-3</t>
  </si>
  <si>
    <t>1997-0.217.138-5</t>
  </si>
  <si>
    <t>JAFET TOMMASI</t>
  </si>
  <si>
    <t>041.036.0045-4</t>
  </si>
  <si>
    <t>1997-0.221.044-5</t>
  </si>
  <si>
    <t>ENGEDISA</t>
  </si>
  <si>
    <t>041.080.0013-7/ 041.080.0021-8/ 041.080.0022-
6/ 041.080.0023-4/ 041.080.0024-2</t>
  </si>
  <si>
    <t>1997-0.250.151-2</t>
  </si>
  <si>
    <t>299.015.0083-2, 299.015.0084-0, 299.015.0085-9, 299.015.0086-7, 299.015.0102-2, 299.015.0103-0, 299.015.0011-5</t>
  </si>
  <si>
    <t>1998-0.013.404-2</t>
  </si>
  <si>
    <t xml:space="preserve">COMERC. EMPREEN. BASIL </t>
  </si>
  <si>
    <t>015.093.0004-1</t>
  </si>
  <si>
    <t>1998-0.023.570-1</t>
  </si>
  <si>
    <t>ITAU</t>
  </si>
  <si>
    <t>299.099.0273-5</t>
  </si>
  <si>
    <t>1998-0.035.933-8</t>
  </si>
  <si>
    <t>299.056.0001-7</t>
  </si>
  <si>
    <t>1998-0.037.859-6</t>
  </si>
  <si>
    <t>ARLETTE CICERO</t>
  </si>
  <si>
    <t>083.015.0004-2</t>
  </si>
  <si>
    <t>1998-0.047.606-7</t>
  </si>
  <si>
    <t xml:space="preserve">JAIR MARTINS </t>
  </si>
  <si>
    <t>083.016.0008-1, 083.016.0009-8</t>
  </si>
  <si>
    <t>1998-0.068.877-3</t>
  </si>
  <si>
    <t>AURY</t>
  </si>
  <si>
    <t>083.195.0021-4/ 0022-2/ 0028-1/ 0029-1/ 0068-0/ 0069-9/ 0070-2/ 0071-0</t>
  </si>
  <si>
    <t>1998-0.069.392-0</t>
  </si>
  <si>
    <t xml:space="preserve">SANTA PAULA </t>
  </si>
  <si>
    <t xml:space="preserve">299.117.0123-7/0002-8/0057-5/ 0224-1 </t>
  </si>
  <si>
    <t>1998-0.073.783-9</t>
  </si>
  <si>
    <t>299.011.0021-4, 299.011.0045-1, 299.011.0048-6, 299.011.0178-4, 299.011.0181-4</t>
  </si>
  <si>
    <t xml:space="preserve">1998-0.074.258-1 </t>
  </si>
  <si>
    <t xml:space="preserve">DUOMO </t>
  </si>
  <si>
    <t>015.031.0034-0/0035-9/0036-7/0037-5/0045-6/0067-7/0068-5/0069-3/0070-7/ 0071-5/0072-3/ 
0073-1 // 0074-1/ 0075-8/ 0076-6/ 0077-4/ 0078-2/ 0079-0/ 0080-4/ 0081-2/ 0082-0/ 
0083-9/ 0084-7/ 0088-1</t>
  </si>
  <si>
    <t>1998-0.093.526-6</t>
  </si>
  <si>
    <t>015.031.0089-8, 015.031.0034-0,  015.031.0035-9, 015.031.0036-7, 015.031.0037-5, 015.031.0045-6, 015.031.0067-7, 015.031-0068-5, 
015.031.0069-3, 015.031.0070-7, 015.031.0071-5, 015.031.0072-3, 015.031.0073-1, 015.031.0074-1, 015.031.0075-8, 015.031.0076-6, 015.031.0077-4, 015.031.0078-2, 
015.031.0079-0, 015.031.0080-4, 015.031.0081-2, 015.031.0082-0, 015.031.0083-9, 015.031.0084-7, 015.031.0088-1</t>
  </si>
  <si>
    <t>2000-0.065.372-8</t>
  </si>
  <si>
    <t>BRADELCAR</t>
  </si>
  <si>
    <t>299.028.0046-5</t>
  </si>
  <si>
    <t>1998-0.102.416-0</t>
  </si>
  <si>
    <t xml:space="preserve">BOLSA DE IMOVEIS </t>
  </si>
  <si>
    <t>299.022.0119-7, 299.022.0096-4, 299.022.0095-6, 299.022.0135-9, 299.022.0134-0, 299.022.0118-9, 299.022.0094-8, 299.022.0038-7, 299.022.0106-5, 299.022.0107-3</t>
  </si>
  <si>
    <t>1998-0.102.421-6</t>
  </si>
  <si>
    <t>BUENO NETTO</t>
  </si>
  <si>
    <t>083.188.0029-1</t>
  </si>
  <si>
    <t>1998-0.117.558-3</t>
  </si>
  <si>
    <t>INCOSUL</t>
  </si>
  <si>
    <t>015.091.0020-2, 015.091.0044-1</t>
  </si>
  <si>
    <t>1998-0.129.942-8</t>
  </si>
  <si>
    <t>SAO JOSE</t>
  </si>
  <si>
    <t>083.207.0135-1</t>
  </si>
  <si>
    <t>2013-0.325.611-4</t>
  </si>
  <si>
    <t>083.206.0036-7/0037-5/0039-1/0040-5</t>
  </si>
  <si>
    <t>1998-0.205.923-4</t>
  </si>
  <si>
    <t>1998-0.245.049-9</t>
  </si>
  <si>
    <t>083.206.0028-6/ 0029-4/ 0030-8/ 0031-6</t>
  </si>
  <si>
    <t>1998-0.247.155-0</t>
  </si>
  <si>
    <t>041.286.0001-6</t>
  </si>
  <si>
    <t>1998-0.249.977-3</t>
  </si>
  <si>
    <t>083.007.0047-1, 083.007.0037-4, 083.007.0036-6, 083.007.0006-4</t>
  </si>
  <si>
    <t>1999-0.069.969-6</t>
  </si>
  <si>
    <t>FRAIHA</t>
  </si>
  <si>
    <t>299.117.0038-9, 299.117.0526-7</t>
  </si>
  <si>
    <t>1999-0.080.349-3</t>
  </si>
  <si>
    <t>ABACO</t>
  </si>
  <si>
    <t>015.093.0015-5, 015.093.0016-3, 015.093.0017-1</t>
  </si>
  <si>
    <t>1999-0.106.673-5</t>
  </si>
  <si>
    <t>JORGE SARMENTO</t>
  </si>
  <si>
    <t>299.099.0102-1</t>
  </si>
  <si>
    <t>1999-0.147.972-0</t>
  </si>
  <si>
    <t>083.016.0010-1</t>
  </si>
  <si>
    <t>1999-0.190.183-9</t>
  </si>
  <si>
    <t>ELETROPAULO</t>
  </si>
  <si>
    <t>299.009.0179-5</t>
  </si>
  <si>
    <t>1999-0.206.534-1</t>
  </si>
  <si>
    <t>ERGI</t>
  </si>
  <si>
    <t>2005-0.244.115-8</t>
  </si>
  <si>
    <t>WTORRE</t>
  </si>
  <si>
    <t>2007-0.384.894-8</t>
  </si>
  <si>
    <t>REAL TORRE</t>
  </si>
  <si>
    <t>299.148.0001-5</t>
  </si>
  <si>
    <t>7810.2020/0001241-8</t>
  </si>
  <si>
    <t>083.007.0027-7</t>
  </si>
  <si>
    <t>1999-0.218.640-8</t>
  </si>
  <si>
    <t>041.078.0003-2, 041.078.0004-0, 041.078.0005-9, 041.078.0006-7, 041.078.0007-5, 041.078.0008-3</t>
  </si>
  <si>
    <t>1999-0.236.791-7</t>
  </si>
  <si>
    <t>VIVENDA NOBRE</t>
  </si>
  <si>
    <t>083.131.0005-2/ 083.131.0052-4/ 083.131.0053-2</t>
  </si>
  <si>
    <t>1999-0.237.983-4</t>
  </si>
  <si>
    <t>ERNESTO ZARZUR</t>
  </si>
  <si>
    <t>041.062.0022-8, 041.062.0028-7, 
041.062.0040-6, 041.062.0041-4</t>
  </si>
  <si>
    <t>1999-0.240.093-0</t>
  </si>
  <si>
    <t>BENEFICENCIA</t>
  </si>
  <si>
    <t>016.162.0054-5, 016.162.0300-5, 016.162.0301-3, 016.162.0302-1, 016.162.0303-1, 016.162.0304-8</t>
  </si>
  <si>
    <t>1999.0.255.252-8</t>
  </si>
  <si>
    <t>YUMIKO INOSE</t>
  </si>
  <si>
    <t>299.030.0009-8, 299.030.0010-1, 299.030.0011-1, 299.030.0012-8, 299.030.0013-6, 299.030.0014-4</t>
  </si>
  <si>
    <t>1999-0.258.498-5</t>
  </si>
  <si>
    <t>SEISA</t>
  </si>
  <si>
    <t>083.205.0215-2</t>
  </si>
  <si>
    <t>1999-0.263.739-6</t>
  </si>
  <si>
    <t>299.123.0003-1, 299.123.0004-1, 299.123.0005-8, 299.123.0006-6, 
299.123.0007-4, 299.123.0008-2, 299.123.0009-0, 299.123.0010-4, 299.123.0011-2, 299.123.0001-5, 299.123.0002-3, 299.123.0008-2</t>
  </si>
  <si>
    <t>1999-0.264.565-8</t>
  </si>
  <si>
    <t>DUOMO</t>
  </si>
  <si>
    <t>015.031.0089-8, 015.031.0034-0, 015.031.0035-9, 015.031.0036-7, 015.031.0037-5, 015.031.0045-6, 015.031.0067-7, 015.031-0068-5, 
015,031.0069-3, 015.031.0070-7, 015.031.0071-5, 015.031.0072-3, 015.031.0073-1, 015.031.0074-1, 015.031.0075-8, 015.031.0076-6, 015.031.0077-4, 015.031.0078-2, 
015.031.0079-0, 015.031.0080-4, 015.031.0081-2, 015.031.0082-0, 015.031.0083-9, 015.031.0084-7, 015.031.0088-1</t>
  </si>
  <si>
    <t>TECELAGEM LADY</t>
  </si>
  <si>
    <t>299.018.0060-7</t>
  </si>
  <si>
    <t>2000-0.068.617-0</t>
  </si>
  <si>
    <t>299.018.0060-7, 299.018.0032-1</t>
  </si>
  <si>
    <t>FILOMENA CAPORALE</t>
  </si>
  <si>
    <t>041.058.0012-4, 041.058.0047-7, 041.058.0048-5</t>
  </si>
  <si>
    <t>2000-0.074.593-2</t>
  </si>
  <si>
    <t>MAPPIN</t>
  </si>
  <si>
    <t>016.137.0012-8, 016.137.0101-2, 016.137.0097-1, 016.137.0096-2</t>
  </si>
  <si>
    <t>2000-0.108.675-4</t>
  </si>
  <si>
    <t>083.067.0093-7, 0022-8, 0023-
6</t>
  </si>
  <si>
    <t>2000-0.111.838-9</t>
  </si>
  <si>
    <t>FIFTY</t>
  </si>
  <si>
    <t>299.022.0014-1, 299.022.0153-7, 299.022.0154-5, 299.022.0167-1</t>
  </si>
  <si>
    <t>2000-0.112.049-9</t>
  </si>
  <si>
    <t>ELIAS VICTOR</t>
  </si>
  <si>
    <t>299.020.0014-0, 299.020.0042-6, 299.020.0089-2, 299.020.0146-5</t>
  </si>
  <si>
    <t>2000-0.126.675-2</t>
  </si>
  <si>
    <t>MUNIR ABBUD</t>
  </si>
  <si>
    <t>299.038.0010-8, 299.038.0011-1, 299.038.0012-4, 299.038.0013-2, 299.038.0014-6, 299.038.0015-9, 299.038.0016-2, 299.038.0017-5,
299.038.0036-1</t>
  </si>
  <si>
    <t>2000-0.131.030-1</t>
  </si>
  <si>
    <t>299.012.0028-8, 299.019.0029-6, 299.019.0030-1, 299.019.0044-1, 
299.019.0046-6, 299.019.0090-3, 299.019.0091-1</t>
  </si>
  <si>
    <t>2000-0.170.796-1</t>
  </si>
  <si>
    <t>MAC</t>
  </si>
  <si>
    <t>041.058.0006-1, 041.058.0007-8, 041.058.0008-4, 041.058.0009-4, 041.058.0010-8, 041.058.0054-1</t>
  </si>
  <si>
    <t>2000-0.179.586-0</t>
  </si>
  <si>
    <t>ALBINO</t>
  </si>
  <si>
    <t>041.038.0001-1, 041.038 0011-9, 041.038.0012-7, 041.038.0013-5, 041.038.0014-3, 041.038.0015-1,  041.038.0016-1, 041.038.0039-9, 041.038.0040-2</t>
  </si>
  <si>
    <t>2000-0.204.416-8</t>
  </si>
  <si>
    <t>299.011.0048-6, 299.011.0178-4, 299.011.0181-4, 299.011.0021-4, 299.011.0045- 1</t>
  </si>
  <si>
    <t>2000-0.213.501-5</t>
  </si>
  <si>
    <t>SANDRIA</t>
  </si>
  <si>
    <t>299.050.0082-6</t>
  </si>
  <si>
    <t>2000-0.223.394-7</t>
  </si>
  <si>
    <t>299.022.0083-2, 299.022.0192-8, 299.022.0193-6, 299.022.0076-1, 299.022.0175-8, 299.022.0245-2</t>
  </si>
  <si>
    <t>2000-0.223.439-0</t>
  </si>
  <si>
    <t>MARINA AGUIAR</t>
  </si>
  <si>
    <t>299.022.0059-1/0115-4/0171-5/0172-3/0173-1/0195-2</t>
  </si>
  <si>
    <t>2000-0.223.559-1</t>
  </si>
  <si>
    <t>COMPANHIA ANTARCTICA</t>
  </si>
  <si>
    <t>083.174.0028-1, 083.174.0600-8</t>
  </si>
  <si>
    <t>2000-0.229.519-5</t>
  </si>
  <si>
    <t>041.080.0004-8/0005-6/0007-2/0011-0/0037-4/0038-2</t>
  </si>
  <si>
    <t>2000-0.232.587-6</t>
  </si>
  <si>
    <t>CONCEITO</t>
  </si>
  <si>
    <t>299.008.0075-1/0027-1/0024-7/0025-8/0023-9/0026-9/0022-0/0021-2/0019-0/0043-3/0046-8/0020-0/0013-8/0076-1/0077-8/0014-6</t>
  </si>
  <si>
    <t>2005-0.320.407-9</t>
  </si>
  <si>
    <t>041.031.0021-4, 041.031.0016-8, 
041.031.0034-6, 041.031.0035-4, 041.031.0019-2, 041.031.0017-6</t>
  </si>
  <si>
    <t>2001-0.256.333-7</t>
  </si>
  <si>
    <t>083.208.0013-7, 083.208.0012-9, 083.208.0011-0, 083.208.0010-2, 083.208.0009-9</t>
  </si>
  <si>
    <t>2003-0.317.777-9</t>
  </si>
  <si>
    <t>VR EMPREENDIMENTOS</t>
  </si>
  <si>
    <t>015.057.0009-4</t>
  </si>
  <si>
    <t>2003-0.295.416-0</t>
  </si>
  <si>
    <t>BL</t>
  </si>
  <si>
    <t>016.166.0018-7 / 0019-5 / 0020-9 / 0021-7 / 0042-1</t>
  </si>
  <si>
    <t>2003-0.324.486-7</t>
  </si>
  <si>
    <t>FL-012/2007</t>
  </si>
  <si>
    <t>BOLSA DE IMOVEIS</t>
  </si>
  <si>
    <t>299.019.0084-9 / 0085-7 / 0080-6 /0051-2 /004-0/ 0062-8</t>
  </si>
  <si>
    <t>2006-0.049.011-4</t>
  </si>
  <si>
    <t>RAUL CHEDE</t>
  </si>
  <si>
    <t>041.038.0022-4, 041.038.0028-3, 041.038.0033-1, 041.038.0036-4, 041.038.0050-1, 041.038.0051-8, 041.038.0052-6</t>
  </si>
  <si>
    <t>2003-0.327.160-0</t>
  </si>
  <si>
    <t>ATALANTA</t>
  </si>
  <si>
    <t>083.231.0049-7, 083.231.0050-0, 083.231.0051-9, 083.231.0052-7, 083.231.0053-5, 083.231.0054-3, 083.231.0055-1, 083.231.0056-1, 083.231.0057-8, 083.231.0058-6, 
083.231.0059-4, 083.231.0060-8</t>
  </si>
  <si>
    <t>2004-0.096.854-8</t>
  </si>
  <si>
    <t>PALMARES</t>
  </si>
  <si>
    <t>083.007.0040-4 / 083.007.0044-7/ 083.007.0046-3</t>
  </si>
  <si>
    <t>2004-0.294.005-5</t>
  </si>
  <si>
    <t>DESTINY</t>
  </si>
  <si>
    <t>041.282.0005-0/0006-9/0007-7/0024-7/0025-5/0032-8/0033-6/0030-1/0031-1/0004-2</t>
  </si>
  <si>
    <t>2005-0.022.151-7</t>
  </si>
  <si>
    <t>FADLO HAIDAR</t>
  </si>
  <si>
    <t>299.077.0068-1/0022-4</t>
  </si>
  <si>
    <t>2004-0.299.325-6</t>
  </si>
  <si>
    <t>NACOES UNIDAS</t>
  </si>
  <si>
    <t>299.038.0008-6, 299.038.0009-4, 299.038.0020-5, 299.038.0040-1</t>
  </si>
  <si>
    <t>2004-0.158.467-0</t>
  </si>
  <si>
    <t>083.103.0064-6 / 0017-4</t>
  </si>
  <si>
    <t>2007-0.186.164-5</t>
  </si>
  <si>
    <t>CICLAME</t>
  </si>
  <si>
    <t>015.073.0120-0, 015.073.0067-0, 015.073.0078-6, 015.073.0084-0, 015.073.0085-9</t>
  </si>
  <si>
    <t>2007-0.337.168-8</t>
  </si>
  <si>
    <t xml:space="preserve">JORGE THOMAZ </t>
  </si>
  <si>
    <t>015.092.0009-6 / 0034-7</t>
  </si>
  <si>
    <t>2008-0.090.243-9</t>
  </si>
  <si>
    <t xml:space="preserve">FVM  </t>
  </si>
  <si>
    <t>299.117.0072-9 / 0070-2 / 0036-2</t>
  </si>
  <si>
    <t>2005-0.014.951-4</t>
  </si>
  <si>
    <t>EVEN</t>
  </si>
  <si>
    <t>083.223.0004-2</t>
  </si>
  <si>
    <t>2005-0.020.668-2</t>
  </si>
  <si>
    <t>CIPESA</t>
  </si>
  <si>
    <t>016.167.0091-2 / 0090-4 / 0089-0 / 0088-2 / 0087-4 / 0131-5 / 0132-3</t>
  </si>
  <si>
    <t>2005-0.020.911-8</t>
  </si>
  <si>
    <t xml:space="preserve">QUEIROZ GALVAO </t>
  </si>
  <si>
    <t>299.014.0016-1 / 0019-1 / 0100-1 / 0099-4</t>
  </si>
  <si>
    <t>2005-0.021.493-6</t>
  </si>
  <si>
    <t>F. REIS</t>
  </si>
  <si>
    <t>299.050.0085-0</t>
  </si>
  <si>
    <t>2005-0.256.976-6</t>
  </si>
  <si>
    <t>299.020.0026-4 / 299.020.0140-6 / 299.020.0150-3</t>
  </si>
  <si>
    <t>2005-0.324.078-4</t>
  </si>
  <si>
    <t>BRALDECAR</t>
  </si>
  <si>
    <t>299.028.0478-9</t>
  </si>
  <si>
    <t>2006-0.079.215-0</t>
  </si>
  <si>
    <t>BODUM</t>
  </si>
  <si>
    <t>015.093.0041-4 / 0042-2</t>
  </si>
  <si>
    <t>2006-0.142.101-5</t>
  </si>
  <si>
    <t>IBIRAPUERA</t>
  </si>
  <si>
    <t>083.197.0467-7</t>
  </si>
  <si>
    <t>2006-0.210.854-0</t>
  </si>
  <si>
    <t>HEPB</t>
  </si>
  <si>
    <t>083.231.0035-7 / 083.231.0034-9/ 083.231.0033-0</t>
  </si>
  <si>
    <t>2006-0.274.892-1</t>
  </si>
  <si>
    <t xml:space="preserve">CANCELADA </t>
  </si>
  <si>
    <t>FLEURY</t>
  </si>
  <si>
    <t>299.029.0019-2, 299.029.0014-1, 299.029.0013-3, 299.029.0004-4, 299.029.0007-9</t>
  </si>
  <si>
    <t>299.029.0001-1 / 0002-8 / 0003-6 / 0022-2 (alterado para 299.029.0035-4)</t>
  </si>
  <si>
    <t>2015-0.328.809-5</t>
  </si>
  <si>
    <t>299.029.0001-1; 299.029.0002-8; 299.029.0003-6; 299.029.0022-2</t>
  </si>
  <si>
    <t>7810.2021/0001417-0</t>
  </si>
  <si>
    <t xml:space="preserve">ROVIC </t>
  </si>
  <si>
    <t>299.055.0045-4, 299.055.0033-0, 299.055.0034-9, 299.055.0035-7, 299.055.0036-5, 299.055.0037-3, 299.055.0038-1, 299.055.0039-1, 299.055.0040-3 e 299.055.0046-2</t>
  </si>
  <si>
    <t>2006-0.329.381-2</t>
  </si>
  <si>
    <t>KALAPALO</t>
  </si>
  <si>
    <t>041.063.0004-4 / 0005-2 / 0002-8 / 0003-6 / 0023-0</t>
  </si>
  <si>
    <t>2007-0.139.265-3</t>
  </si>
  <si>
    <t>CAPH</t>
  </si>
  <si>
    <t>299.104.0115-9/0070-5/0052-7/0051-9/0113-2/0116-7/0067-5/0066-7/0065-9/0024-1/0027-6/0025-1</t>
  </si>
  <si>
    <t>2007-0.179.306-2</t>
  </si>
  <si>
    <t>CETUS</t>
  </si>
  <si>
    <t>041.078.054-7/0025-3/0026-1/0087-3</t>
  </si>
  <si>
    <t>2007-0.235.144-6</t>
  </si>
  <si>
    <t>299.080.0079-7, 299.080.0004-5</t>
  </si>
  <si>
    <t>FLPP</t>
  </si>
  <si>
    <t>299.020.0078-7, 299.020.0163-5, 
299.020.0082-5, 299.020.0037-1, 299.020.0081-0, 299.020.0080-9, 299.020.0079-5, 299.020.0132-5, 299.020.0038-8, 299.020.0039-6, 299.020.0053-1, 299.020.0045-0, 
299.020.0060-4, 299.020.0052-3, 299.020.0168-6, 299.020.0136-8, 299.020.0135-1, 299.020.0134-1, 299.020.0003-5, 299.020.0153-8, 299.020.0006-1, 299.020.0008-6, 
299.020.0092-2, 299.020.0093-0, 299.020.0137-6, 299.020.0138-4</t>
  </si>
  <si>
    <t>2007-0.397.221-5</t>
  </si>
  <si>
    <t xml:space="preserve">299.020.0078-7, 299.020.0163-5, 299.020.0082-5, 299.020.0037-1, 299.020.0081-0, 299.020.0080-9, 299.020.0079-5, 299.020.0132-5, 
299.020.0038-8, 299.020.0039-6, 299.020.0053-1, 299.020.0045-0, 299.020.0060-4, 299.020.0052-3, 299.020.0168-6, 299.020.0136-8, 299.020.0135-1, 299.020.0134-1, 
299.020.0003-5, 299.020.0153-8, 299.020.0006-1, 299.020.0008-6, 299.020.0092-2, 299.020.0093-0, 299.020.0137-6, 299.020.0138-4, 299.020.0040-1 </t>
  </si>
  <si>
    <t>299.020.0040-1/0163-5 / 0037-1 / 0080-9 / 0079-5 / 0132-5 / 0039-6 / 0053-1 / 0045-0 / 0060-4 / 0052-3 / 0168-6 / 0136-8 / 0135-1 / 0134-1 / 0137-6 / 0138-4 / 0153-8 / 0006-1 / 0008-6 /  0078-7 / 0081-7 / 0082-5 / 0038-9 / 0003-5 / 0092-2 / 0093-0</t>
  </si>
  <si>
    <t>299.020.0037-1, 299.020.0039-6, 299.020.0053-1, 299.020.0045-0, 299.020.0060-4, 299.020.0040-1,
299.020.0038-8, 299.020.0236-4, 299.020.0170-8, 299.020.0141-4, 299.020.0164-3, 299.020.0166-1,
299.020.0036-1, 299.020.0268-2</t>
  </si>
  <si>
    <t>7810.2019/0000820-6</t>
  </si>
  <si>
    <t>299.020.0269-0</t>
  </si>
  <si>
    <t>7810.2022/000813-9</t>
  </si>
  <si>
    <t>YUNY</t>
  </si>
  <si>
    <t>299.021.0133-8, 299.021.0135-4</t>
  </si>
  <si>
    <t xml:space="preserve">299.021.0133-8, 299.021.0135-4, 
299.021.0071-4, 299.021.0072-2, 299.021.0070-6, 299.021.0068-4, 299.021.0069-2, 299.021.0067-6, 299.021.0065-1, 299.021.0066-8, 299.021.0064-1 </t>
  </si>
  <si>
    <t>299.021.0133-8 / 0135-4 / 0064-1 / 0065-1 / 0066-8 / 0067-6 / 0068-4 / 0069-2 / 0070-6 / 0071-4 / 0072-2 novos lotes: 0060-9 / 0061-7 / 0062-5 / 0063-3</t>
  </si>
  <si>
    <t>2008-0.211.055-6
2010-0.089.023-2</t>
  </si>
  <si>
    <t>PANAMBY</t>
  </si>
  <si>
    <t>299.003.0167-4 / 0386-3 / 0108-9</t>
  </si>
  <si>
    <t>2008-0.013.203-0</t>
  </si>
  <si>
    <t>GAFISA</t>
  </si>
  <si>
    <t>299.016.0003-9, 
299.016.0032-2, 299.016.0030-6, 299.016.0031-4, 299.016.0072-1, 299.016.0073-1, 
299.016.0033-0, 299.016.0010-1, 299.016.0004-7, 299.016.0005-5, 299.016.0021-7, 
299.016.0006-3, 299.016.0007-1, 299.016.0050-0, 299.016.0008-1, 299.016.0053-5, 
299.016.0051-9, 299.016.0052-7</t>
  </si>
  <si>
    <t>299.016.0003-9, 299.016.0032-2, 299.016.0030-6, 299.016.0031-4, 299.016.0072-1, 299.016.0073-1, 299.016.0033-0, 299.016.0010-1, 299.016.0004-7, 299.016.0005-5, 299.016.0021-7, 299.016.0006-3, 299.016.0007-1, 299.016.0050-0, 299.016.0008-1, 299.016.0053-5, 299.016.0051-9, 299.016.0052-7</t>
  </si>
  <si>
    <t>2008-0.077.732-4 Vinculação e
2007-0.283.479-0 Aprovação</t>
  </si>
  <si>
    <t>EDIF. CIDADE JARDIM</t>
  </si>
  <si>
    <t>299.004.0018-4, 299.004.0017-6, 299.004.0016-8 e 299.004.0112-1 / 299.004.0015-4</t>
  </si>
  <si>
    <t>2008-0.078.461-4</t>
  </si>
  <si>
    <t>299-004.0015-1</t>
  </si>
  <si>
    <t>299.004.0018-4, 299.004.0017-6, 299.004.0016-8, 299.004.0112-1, 299.004.0015-1.</t>
  </si>
  <si>
    <t xml:space="preserve">JK </t>
  </si>
  <si>
    <t>299.022.0194-4, 0089-1, 0041-7, 0150-2, 0079-4, 0176-6, 0177-4, 0156-1, 0155-3, 0168-5, 0169-3, 0128-6, 0151-0</t>
  </si>
  <si>
    <t>2008-0.078.866-0</t>
  </si>
  <si>
    <t>BNI SAFIRA</t>
  </si>
  <si>
    <t>2008-0.118.467-0</t>
  </si>
  <si>
    <t>BNI ONIX</t>
  </si>
  <si>
    <t xml:space="preserve">299.074.0022-5, 299.074.0023-6, 299.074.0024-4, 299.074.0026-0, 299.074.0028-7, 299.074.0018-1,
299.074.0091-0, 299.074.0092-9, 299.074.0075-6, 299.074.0074-0, 299.074.0095-3, 299.074.0096-1, 299.074.0032-5, 299.074.0025-2, 299.074.0027-9 </t>
  </si>
  <si>
    <t>299.074.0022-5, 299.074.0023-6, 299.074.0024-4, 299.074.0026-0, 299.074.0028-7, 299.074.0018-1,
299.074.0091-0, 299.074.0092-9, 299.074.0075-6, 299.074.0074-0, 299.074.0095-3, 299.074.0096-1, 299.074.0032-5, 299.074.0025-2, 299.074.0027-9</t>
  </si>
  <si>
    <t>299.074.0022-5, 299.074.0023-6, 299.074.0024-4, 299.074.0026-0, 299.074.0028-7, 299.074.0018-1, 
299.074.0091-0, 299.074.0092-9, 299.074.0075-6, 299.074.0074-0, 299.074.0095-3, 299.074.0096-1, 299.074.0032-5, 299.074.0025-2, 299.074.0027-9, 299.074.0021-1, 
299.074.0020-1, 299.074.0090-2, 299.074.0089-9</t>
  </si>
  <si>
    <t>2008-0.118.470-0</t>
  </si>
  <si>
    <t>BNI ESMERALDA</t>
  </si>
  <si>
    <t>299.050.0036-2</t>
  </si>
  <si>
    <t>2008-0.174.584-1</t>
  </si>
  <si>
    <t xml:space="preserve">LEOPOLDO GREEN </t>
  </si>
  <si>
    <t>299.018.0082-8 / 0056-9 / 0078-1 / 0006-2 / 0052-6 / 0043-7 / 0009-7 / 0055-0 / 0079-8 / 0054-2 / 0053-4 / 0057-7 / 0004-6 / 0003-8 / 0001-1 / 0080-1 / 0058-5 / 0002-1 / 0005-4 / 0051-8 / 0044-5 / 0056-9 / 0042-9 / 0013-5 / 00968 / 0061-7 / 084.096.0061-7 / 0062-5</t>
  </si>
  <si>
    <t>2008-0.212.890-0</t>
  </si>
  <si>
    <t>041.079.0009-6 / 0049-5 / 0050-9 / 0051-7</t>
  </si>
  <si>
    <t>2008-0.141.637-6</t>
  </si>
  <si>
    <t>VIP</t>
  </si>
  <si>
    <t>299.085.0065-1</t>
  </si>
  <si>
    <t>2005-0.257.352-6</t>
  </si>
  <si>
    <t>BES</t>
  </si>
  <si>
    <t>041.059.0121-4 / 0028-5 / 0026-9 / 0027-7</t>
  </si>
  <si>
    <t>2007-0.176.532-8</t>
  </si>
  <si>
    <t>SAL</t>
  </si>
  <si>
    <t>041.059.0120-6, 041.059.0121-4, 
041.059.0027-7, 041.059.0026-9, 041.059.0028-5, 041.059.0033-1, 041.059.0122-2, 041.059.0024-2, 
041.059.0032-3, 041.059.0025-0, 041.059.0002-1, 041.059.0068-4, 041.059.0069-2, 041.059.0070-6, 
041.059.0071-4, 041.059.0072-2, 041.059.0073-0, 041.059.0074-9, 041.059.0075-7, 041.059.0076-5, 
041.059.0077-3, 041.059.0078-1, 041.059.0079-1, 041.059.0080-3, 041.059.0081-1, 041.059.0066-8, 
041.059.0017-1</t>
  </si>
  <si>
    <t>2017-0.030.693-2</t>
  </si>
  <si>
    <t>041.059.0122-2/0120-6 / 0121-4 / 0027-7 / 0026-9 / 0028-5 / 0033-1 / 0024-2 / 0024-2 / 0032-3 / 0025-0 / 0002-1 / 0068-4 / 0069-2 / 0070-6 / 0071-4 / 0072-2 / 0073-0 / 0074-9 / 0075-7 / 0076-5 / 0077-3 / 0078-1 / 0079-1 / 0080-3 / 0081-1 / 0066-8 / 0017-1</t>
  </si>
  <si>
    <t>041.059.0066-8, 041.059.0068-4, 041.059.0069-2, 041.059.0070-6, 041.059.0071-4, 041.059.0072-2, 041.059.0073-0, 041.059.0074-9, 041.059.0075-7, 041.059.0076-5, 041.059.0077-3, 041.059.0078-1, 041.059.0079-1, 041.059.0080-3, 041.059.0081-1, 041.059.0002-1, 041.059.0025-0, 041.059.0032-3, 041.059.0024-2, 041.059.0122-2, 041.059.0121-4, 041.059.0028-5, 041.059.0123-0, 041.059.0060-9, 041.059.0061-7, 041.059.0062-5, 041.059.0063-3, 041.059.0120-6, 041.059.0033-1, 041.059.0017-1,  041.059.0036-6</t>
  </si>
  <si>
    <t>7810.2021/0000373-9</t>
  </si>
  <si>
    <t>LABRADOR</t>
  </si>
  <si>
    <t xml:space="preserve">041.076.0017-3, 041.076.0022-1, 041.076.0018-1, 041.076.0023-8, 041.076.0019-1, 041.076.0024-6, 041.076.0020-3, 041.076.0004-1, 041.076.0007-6, 041.076.0008-4, 041.076.0016-5, 041.076.0021-1,  
041.076,0029-7, 041.076.0047-5, 041.076.0050-5, 041.076.0028-9 </t>
  </si>
  <si>
    <t>2008-0.082.363-6</t>
  </si>
  <si>
    <t>JHSF</t>
  </si>
  <si>
    <t>041.283.0001-2 / 0002-0 / 0003-9 / 0004-7 / 0005-5 / 0017-9 / 0018-7 / 0027-6 / 0028-4 / 0029-2 / 0040-3 / 0041-1 / 0042-1 / 0043-8 / 0044-6 / 0045-4 / 0046-2 / 0047-0 / 0052-7 / 0053-5 / 0054-3.</t>
  </si>
  <si>
    <t>ESSER</t>
  </si>
  <si>
    <t>015.073.0025-5</t>
  </si>
  <si>
    <t>2010-0.211.141-9</t>
  </si>
  <si>
    <t>REGINA HELENA</t>
  </si>
  <si>
    <t>041.038.0024-0/0041-0</t>
  </si>
  <si>
    <t>2008-0.241.666-3</t>
  </si>
  <si>
    <t xml:space="preserve">299.124.0013-3, 299.124.0014-1, 299.124.0015-1, 299.124.0016-8, 299.124.0020-6, 299.124.0021-4, 299.124.0023-0, 299.124.0024-9, 299.124.0025-7, 299.124.0026-5, 
299.124.0027-3, 299.124.0028-1 </t>
  </si>
  <si>
    <t>299.124.0013-3, 299.124.0014-1, 299.124.0015-1, 299.124.0016-8, 
299.124.0020-6, 299.124.0021-4, 299.124.0023-0, 299.124.0024-9, 299.124.0025-7, 299.124.0026-5, 299.124.0027-3, 299.124.0028-1, 299.124.0022-2</t>
  </si>
  <si>
    <t>299.124.0013-3, 299.124.0014-1, 299.124.0015-1, 299.124.0016-8, 299.124.0020-6, 299.124.0021-4, 299.124.0023-0, 299.124.0024-9, 299.124.0025-7, 299.124.0026-5, 
299.124.0027-3, 299.124.0028-1, 299.124.0022-2, 299.124.0012-5</t>
  </si>
  <si>
    <t>299.124.0012-5/ 0016-8 / 0015-1 / 0014-1 / 0013-3 / 0020-6 / 0021-4/ 0022-2 / 0023-0/ 0024-9 / 0025-7 / 0026-5 / 0027-3 / 0028-1 / 0017-6 / 0018-4 / 0019-2</t>
  </si>
  <si>
    <t>2008-0.369.479-9</t>
  </si>
  <si>
    <t>299.124.0012-5/ 0016-8 / 0015-1 / 0014-1 / 0013-3 / 0020-6 / 0021-4/ 0022-2 / 0023-0/ 0024-9 / 0025-7 / 0026-5 / 0027-3 / 0028-1 / 0017-6 / 0018-4 / 0019-2 (contribuinte atual 299.124.0062-1)</t>
  </si>
  <si>
    <t>2016-0.211.333-1</t>
  </si>
  <si>
    <t xml:space="preserve"> 299.124.0062-1 (Cancelou os contribuintes anteriores</t>
  </si>
  <si>
    <t>7810.2019/0000377-8</t>
  </si>
  <si>
    <t>299.124.0062-1; 299.124.0063-1; 299.124.0064-8; 299.124.0058-3; 299.124.0060-5</t>
  </si>
  <si>
    <t>7810.2022/000814-7</t>
  </si>
  <si>
    <t>RPB</t>
  </si>
  <si>
    <t>016.139.0100-3, 0035-1, 0036-8, 0037-6, 0038-4, 0039-2, 0040-6</t>
  </si>
  <si>
    <t>2009-0.100.238-7</t>
  </si>
  <si>
    <t>TIGER</t>
  </si>
  <si>
    <t>083.224.0033-0/ 0002-0/ 0008-1/ 0013-6/ 0021-7/ 0023-3/ 0022-5/ 0020-9/ 0019-5/ 0018-7/ 0017-9/ 0016-0/ 0015-2/ 0014-4/ 0012-8/ 0011-1/ 0010-1/ 0009-8/ 0037-3 0036-5/ 0035-7 0034-9/ 0032-2/ 0031-4/ 0030-6/ 0029-2/ 0028-4/ 0027-6/ 0026-8/ 0025-1/ 0001-2/ 0006-3/ 0005-5/ 0007-1/ 0024-1/ 0003-9/ 0004-7</t>
  </si>
  <si>
    <t>2008-0.254.707-5</t>
  </si>
  <si>
    <t>SEMAITA</t>
  </si>
  <si>
    <t>299.094.0181-7, 0017-9, 0018-7, 0016-0, 0019-5</t>
  </si>
  <si>
    <t>2008-0.196.592-2</t>
  </si>
  <si>
    <t>YUNY APOLLO</t>
  </si>
  <si>
    <t>083.053.0098-6, 083.053.0099-4, 083.053.0158-3</t>
  </si>
  <si>
    <t>2009-0.245.317-0</t>
  </si>
  <si>
    <t>ABIATAR</t>
  </si>
  <si>
    <t>200.053.0016-7, 200.053.0045-0, 200.053.0044-2, 200.053.0017-5, 200.053.0030-2, 200.053.0027-2</t>
  </si>
  <si>
    <t>200.053.0016-7, 200.053.0045-0, 200.053.0044-2, 200.053.0017-5, 200.053.0030-2, 200.053.0027-2, 200.053.0015-9, 200.053.0014-0, 
200.053.0032-8, 200.053.0031-0, 200.053.0012-4, 200.053.0006-1, 200.053.0007-8, 200.053.0036-1, 200.053.0018-3, 200.053.0019-1</t>
  </si>
  <si>
    <t>200.053.0016-7, 200.053.0045-0, 200.053.0044-2, 200.053.0017-5, 200.053.0030-2, 200.053.0027-2, 200.053.0015-9, 200.053.0014-0, 
200.053.0032-8, 200.053.0031-0, 200.053.0012-4, 200.053.0006-1, 200.053.0007-8, 200.053.0036-1, 200.053.0018-3, 200.053.0019-1, 200.053.0041-8, 200.053.0042-6, 
200.053.0043-4, 200.053.0037-1, 200.053.0040-1, 200.053.0039-6, 200.053.0038-8</t>
  </si>
  <si>
    <t>MPH</t>
  </si>
  <si>
    <t>299.050.0083-4, 0065-6, 0039-7</t>
  </si>
  <si>
    <t>2008-0.247.707-7</t>
  </si>
  <si>
    <t>VITACON</t>
  </si>
  <si>
    <t>299.101.0093-0</t>
  </si>
  <si>
    <t>2009-0.075.811-9</t>
  </si>
  <si>
    <t>ZAMORA</t>
  </si>
  <si>
    <t>083.100.0080-4, 083.100.077-4, 083.100.0076-6, 083.100.0025-1, 083.100.0027-8, 083.100.0028-6, 083.100.0029-4, 083.100.0075-8, 083.100.0018-9</t>
  </si>
  <si>
    <t>2009-0.316.661-1</t>
  </si>
  <si>
    <t>083.100.0080-4, 083.100.0077-4, 083.100.0076-6, 083.100.0025-1' 083.100.0027-8, 083.100.0028-6, 083.100.0029-4, 083.100.0075-8, 083.100.0018-9</t>
  </si>
  <si>
    <t xml:space="preserve">MAX CASA </t>
  </si>
  <si>
    <t>299.066.0058-4/0116-5</t>
  </si>
  <si>
    <t>2009-0.214.443-6</t>
  </si>
  <si>
    <t xml:space="preserve">IUNI </t>
  </si>
  <si>
    <t xml:space="preserve">015.055.0005-2, 015.055.0006-0, 015.055.0007-9, 015.055.0008-7, 015.055.0040-0, 015.055.0041-9, 015.055.0042-7, 015.055.0043-5, 015.055.0044-3 </t>
  </si>
  <si>
    <t>2009-0.296.830-7</t>
  </si>
  <si>
    <t>LAPIN</t>
  </si>
  <si>
    <t>016.167.0039-4, 016.167.0065-3, 016.167.0066-1, 016.167.0067-1, 016.167.0068-8, 016.167.0092-0</t>
  </si>
  <si>
    <t>2009-0.208.614-2 (Aprov)
2009-0.370.098-7 (Contr. Social, Matricula)</t>
  </si>
  <si>
    <t>016.146.0059-7, 0039-2, 0065-1</t>
  </si>
  <si>
    <t>2009-0.327.976-9</t>
  </si>
  <si>
    <t>LEGACY</t>
  </si>
  <si>
    <t>083.212.0115-6</t>
  </si>
  <si>
    <t>2009-0.353.717-2</t>
  </si>
  <si>
    <t>JOAO SALLES</t>
  </si>
  <si>
    <t>299.039.0068-4</t>
  </si>
  <si>
    <t>2009-0.354.976-6</t>
  </si>
  <si>
    <t>FL-0352</t>
  </si>
  <si>
    <t>BERNE</t>
  </si>
  <si>
    <t xml:space="preserve">016.134.0001-2 / 0032-2 / 0002-0 / 0030-6 / 0031-4 / 0017-9 / 0029-2 / </t>
  </si>
  <si>
    <t>2009-0.370.036-7</t>
  </si>
  <si>
    <t>GREEN</t>
  </si>
  <si>
    <t>299.082.0007-9/ 0074-5/ 0075-3</t>
  </si>
  <si>
    <t>2008-0.320.243-8</t>
  </si>
  <si>
    <t>EUGENIO DE MEDEIROS</t>
  </si>
  <si>
    <t xml:space="preserve">083.103.0009-3, 083.103.0010-7, 083.103.0011-5, 083.103.0012-3, 083.103.0049-2, 083.103.0091-3 </t>
  </si>
  <si>
    <t>2010-0.025.284-8</t>
  </si>
  <si>
    <t>299.022.0073-8, 299.022.0072-1, 299.022.0071-1, 299.022.0070-3, 299.022.0089-4, 299.022.0017-7, 299.022.0016-9</t>
  </si>
  <si>
    <t>2009-0.286.284-3 (PA Vinculação - 2011-0.058.911-9)</t>
  </si>
  <si>
    <t>EXTO</t>
  </si>
  <si>
    <t>299.177.0051-6, 299.177.0590-9</t>
  </si>
  <si>
    <t>2009.0.226.480-6</t>
  </si>
  <si>
    <t>TS 4</t>
  </si>
  <si>
    <t xml:space="preserve">299.011.0024-9, 299.011.0028-1, 299.011.0029-1, 299.011.0030-3, 299.011.0031-1, 299.011.0033-8, 299.011.0034-6, 299.011.0037-0, 299.011.0038-9, 299.011.0039-7, 299.011.0040-0, 299.011.0041-9, 299.011.0076-1, 299.011.0077-1, 299.011.0082-6, 299.011.0083-4, 299.011.0085-0, 299.011.0099-0, 299.011.0100-8, 299.011.0101-6, 299.011.0102-6, 299.011.0103-2, 299.011.0122-9, 299.011.0127-1, 299.011.0185-7, 299.011.0188-1, 299.011.0189-1, 299.011.0223-3, 299.011.0224-1, 299.011.0225-1, 299.011.0226-8 </t>
  </si>
  <si>
    <t>2010-0.140.132-4</t>
  </si>
  <si>
    <t>YUNY HALLEY</t>
  </si>
  <si>
    <t>083.035.0050-3, 083.035.0012-0</t>
  </si>
  <si>
    <t>2010-0.157.728-7</t>
  </si>
  <si>
    <t>083.035.0050-3, 083.035.0023-6, 083.035.0012-0, 083.035.0013-9, 083.035.0053-8, 083.035.0054-6, 
083.035.0055-4, 083.035.0056-2, 083.035.0057-0, 083.035.0058-9, 083.035.0059-7, 083.035.0060-0</t>
  </si>
  <si>
    <t>TEOEMP</t>
  </si>
  <si>
    <t>015.073.0102-2, 015.073.0106-5, 015.073.0107-3, 015.073.0108-1, 015.073.0112-1, 015.073.0002-6, 015.073.0003-4, 015.073.0104-9, 015.073.0105-7, 015.073.0075-1, 015.073.0074-3</t>
  </si>
  <si>
    <t>2010-0.150.597-9</t>
  </si>
  <si>
    <t>015.073.0102-2, 015.073.0106-5, 015.073.0107-3, 015.073.0108-1,  015.073.0112-1, 015.073.0002-6, 
015.073.0003-4, 015.073.0104-9, 015.073.0105-7, 015.073.0075-1, 015.073.007 4-3, 015.073.0073-5</t>
  </si>
  <si>
    <t>015.073.0102-2, 015.073.0106-5, 015.073.0107-3, 015.073.0108-1, 015.073.0112-1, 015.073.0002-6, 
015.073.0003-4, 015.073.0104-9, 015.073.0105-7, 015.073.0075-1, 015.073.0074-3, 015.073.0073-5</t>
  </si>
  <si>
    <t>COMPANHIA BRASILEIRA</t>
  </si>
  <si>
    <t>083.220.0173-8</t>
  </si>
  <si>
    <t>2010-0.171.731-3</t>
  </si>
  <si>
    <t xml:space="preserve">ROBERTO ELIAS </t>
  </si>
  <si>
    <t>299.012.0125-8</t>
  </si>
  <si>
    <t>2010-0.142.055-8</t>
  </si>
  <si>
    <t>2012-0.307413-8</t>
  </si>
  <si>
    <t>2014-0.162.712-5</t>
  </si>
  <si>
    <t>FERREIRA DE ARAUJO</t>
  </si>
  <si>
    <t>083.177.0012-7; 083.177.0013-5</t>
  </si>
  <si>
    <t>2008-0.188.232-6</t>
  </si>
  <si>
    <t>AVEIRO</t>
  </si>
  <si>
    <t>016.167.0027-0, 016.167.0028-9, 016.167.0030-0, 016.167.0031-9, 016.167.0032-7, 016.167.0062-9, 016.167.0063-7</t>
  </si>
  <si>
    <t>2007-0.396.563-4</t>
  </si>
  <si>
    <t>SAB VM</t>
  </si>
  <si>
    <t xml:space="preserve">041.035.0023-9, 041.035.0024-7, 041.035.0025-5, 041.035.0026-3, 041.035.0048-4, 041.035.0049-2 </t>
  </si>
  <si>
    <t>2008-0.373.940-7</t>
  </si>
  <si>
    <t>LUYMAK</t>
  </si>
  <si>
    <t>299.014.0020-1 / 0096-1 / 0095-1 / 0094-3 / 0051-1</t>
  </si>
  <si>
    <t>2010-0.191.930-7</t>
  </si>
  <si>
    <t>JK 18</t>
  </si>
  <si>
    <t>016.139.0043-0 / 0044-9 / 0045-7 / 0051-1 / 0054-6 / 0080-5 / 0082-1 / 0084-8 / 0172-0 / 0219-0 / 0220-4</t>
  </si>
  <si>
    <t>2010-0.202.586-5</t>
  </si>
  <si>
    <t>016.139.0043-0, 016.139.0044-9, 016.139.0045-7, 016.139.0051-1, 016.139.0054-6, 016.139.0055-4, 016.139.0056-2, 016.139.0057-0, 
016.139.0080-5, 016.139.0081-3, 016.139.0082-1, 016.139.0083-1, 016.139.0084-8, 016.139.0113-5, 016.139.0172-0, 016.139.0174-7, 016.139.0219-0, 016.139.0220-4</t>
  </si>
  <si>
    <t>2014-0.079.293-9</t>
  </si>
  <si>
    <t>016.139.0273-5, 016.139.0274-3,016.139.0275-1,  016.139.0276-1, 016.139.0277-8, 016.139.0279-4, 016.139.0280-8, 016.139.0281-6, 016.139.0282-4, 016.139.0283-2, 016.139.0284-0, 016.139.0285-9, 016.139.0286-7, 016.139.0287-5, 016.139.0288-3, 016.139.0289-1, 016.139.0290-5, 016.139.0291-3, 016.139.0292-1, 016.139.0293-1, 016.139.0294-8, 016.139.0295-6, 016.139.0296-4, 016.139.0297-2, 016.139.0298-0, 016.139.0299-9, 016.139.0300-6, 016.139.0301-4, 016.139.0302-2, 016.139.0303-2, 016.139.0304-9, 016.139.0305-7, 016.139.0306-5. (CANCELADOS - 016.139.0043-0 / 0044-9 / 0045-7 / 0051-1 / 0054-6 / 0080-5 / 0082-1 / 0084-8 / 0172-0 / 0219-0 / 0220-4.)</t>
  </si>
  <si>
    <t>7810.2019/0001027-8</t>
  </si>
  <si>
    <t>HORIZON 38</t>
  </si>
  <si>
    <t>083.178.0264-7</t>
  </si>
  <si>
    <t>2010-0.241.078-5</t>
  </si>
  <si>
    <t>TS 8</t>
  </si>
  <si>
    <t>041.055.0029-5/041.055.0030-9 / 041.055.0022-8 / 041.055.0023-6 / 041.055.0024-4 / 041.055.0028-7 / 041.055.0019-8 / 041.055.0018-1 / 041.055.0017-1 / 041.055.0016-3 / 041.055.0015-5 / 041.055.0014-7 / 041.055.0013-9 / 041.055.0012-0 / 041.055.0011-2 / 041.055.0026-0</t>
  </si>
  <si>
    <t>2010-0.249.541-1</t>
  </si>
  <si>
    <t xml:space="preserve">LUBA 2 </t>
  </si>
  <si>
    <t>299.075.0069-9 / 299.075.0070-2 / 299.075.0071-0 / 299.075.0072-9 / 299.075.0073-7 / 299.075.0074-5 / 299.075.0075-3 / 299.075.0076-1 / 299.075.0077-1 / 299.075.0078-8 / 299.075.0790-1</t>
  </si>
  <si>
    <t>2010-0.174.977-0</t>
  </si>
  <si>
    <t>APOENA</t>
  </si>
  <si>
    <t>299.094.0118-3</t>
  </si>
  <si>
    <t>2010-0.276.720-9</t>
  </si>
  <si>
    <t>WERNER</t>
  </si>
  <si>
    <t>299.045.0015-9</t>
  </si>
  <si>
    <t>2010-0.266.517-1</t>
  </si>
  <si>
    <t>299.004.0022-2 / 299.004.0023-0 / 299.004.0024-9</t>
  </si>
  <si>
    <t>2010-0.266.228-8</t>
  </si>
  <si>
    <t>SARDENHA</t>
  </si>
  <si>
    <t>299.021.0023-4</t>
  </si>
  <si>
    <t>2009-0.371.896-7</t>
  </si>
  <si>
    <t>299.013.0033-7</t>
  </si>
  <si>
    <t>2010-0.220.214-7</t>
  </si>
  <si>
    <t xml:space="preserve">MODENA </t>
  </si>
  <si>
    <t>083.203.0040-1</t>
  </si>
  <si>
    <t>2010-0.352.075-4</t>
  </si>
  <si>
    <t>AGATA</t>
  </si>
  <si>
    <t>083.032.0306-1/ 083.032.0495-5/ 083.032.0093-3/ 083.032.0307-1/ 083.032.0496-3</t>
  </si>
  <si>
    <t>2010-0.059.829-9
2010-0.345.248-1 (VINC)</t>
  </si>
  <si>
    <t>299.024.0001-7/0064-5/0152-8</t>
  </si>
  <si>
    <t>2010-0.304.687-4</t>
  </si>
  <si>
    <t>KAPOK</t>
  </si>
  <si>
    <t>200.056.0019-5, 200.056.0022-5, 200.056.0023-3, 200.056.0024-1, 200.056.0025-1, 200.056.0026-8, 200.056.0027-6, 200.056.0029-2; 200.056.0031-4, 200.056.0035-7, 200.056.0037-3, 200.056.0040-3, 
200.056.0041-1, 200.056.0042-1, 200.056.0043-8, 200.056.0044-6</t>
  </si>
  <si>
    <t xml:space="preserve"> 2011-0.151.123- 7</t>
  </si>
  <si>
    <t xml:space="preserve">200.056.0022-5 / 200.056.0023-3 / 200.056. 0024-1 / 200.056. 0025-1 / 200.056. 0019-5 / 200.056. 0026-8 / 200.056. 0027-6 / 200.056.0040-3 / 200.056. 0031-4 / 200.056. 0037-3 / 200.056.0035-7 / 200.056.0041-1 / 200.056.0039-1 / 200.056.0029-2 / 200.056.0043-8 / 200.056.0044-6 </t>
  </si>
  <si>
    <t>2014-0.068.489-3</t>
  </si>
  <si>
    <t>TRIPLE A</t>
  </si>
  <si>
    <t>299.028.0099-6 / 299.028.0437-7 / 299.028.0058-9</t>
  </si>
  <si>
    <t>2011-0.117.818-0</t>
  </si>
  <si>
    <t>TRENTINO</t>
  </si>
  <si>
    <t>016.167.009-2/016.167.0010-6/016.167.0023-8/016.167.0124-2/016.167.0125-0/016.167.0128-5/016.167.0129-3/016.167.0130-7/016.167.0038-6</t>
  </si>
  <si>
    <t>2010.0272.290-3</t>
  </si>
  <si>
    <t>DIOGO MOREIRA</t>
  </si>
  <si>
    <t>015.074.0041-1 / 015.074.0089-6 / 015.074.0084-5 / 015.074.0097-7</t>
  </si>
  <si>
    <t>2011-0.196.817-2</t>
  </si>
  <si>
    <t>015.090.0001-1, 015.090.0002-1, 
015.090.0003-8, 015.090.0004-6, 015.090.0006-2, 015.090.0013-5, 015.090.0024-0, 015.090.0025-9, 015.090.0026-7, 015.090.0027-5, 015.090.0028-3, 015.090.0029-1, 
015.090.0038-0, 015.090.0056-9, 015.090.0057-7, 015.090.0058-5, 015.074.0033-0, 015.074.0034-9, 015.074.0039-1, 015.074.0040-3, 015.074.0041-1, 015.074.0084-5, 
015.074.0089-6, 015.074.0092-6, 015.074.0093-4, 015.074.0097-7, 015.074.0098-5, 015.074.0105-1, 015.074.0106-1, 015.074.0107-8, 015.074.0108-6, 015.074.0109-4, 
015.074.0112-4, 015.074.0114-0, 015.074.0115-9, 015.074.0117-5, 015.074.0118-3, 015.074.0119-1, 015.074.0120-5, 015.074.0121-3, 015.074.0122-1, 015.074.0123-1</t>
  </si>
  <si>
    <t>2017-0.144.330-5</t>
  </si>
  <si>
    <t>015.090.0001-1, 015.090.0002-1, 015.090.0003-8, 015.090.0004-6, 015.090.0006-2, 015.090.0013-5, 015.090.0024-0, 015.090.0025-9, 015.090.0026-7, 015.090.0027-5, 015.090.0028-3, 015.090.0029-1, 015.090.0038-0, 015.090.0056-9, 015.090.0057-7, 015.090.0058-5, 015.074.0033-0, 015.074.0034-9, 015.074.0039-1, 015.074.0040-3, 015.074.0041-1, 015.074.0084-5, 015.074.0089-6, 015.074.0092-6, 015.074.0093-4, 015.074.0097-7, 015.074.0098-5, 015.074.0105-1, 015.074.0106-1, 015.074.0107-8, 015.074.0109-4, 015.074.0112-4, 015.074.0114-0, 015.074.0115-9, 015.074.0117-5, 015.074.0118-3, 015.074.0119-1, 015.074.0120-5, 015.074.0121-3, 015.074.0122-1, 015.074.0123-1</t>
  </si>
  <si>
    <t>015.090.0001-1; 015.090.0002-1; 015.090.0003-8; 015.090.0004-6; 015.090.0006-2; 015.090.0013-5; 015.090.0024-0; 015.090.0025-9; 015.090.0026-7; 015.090.0027-5; 015.090.0028-3; 015.090.0029-1; 015.090.0038-0; 015.090.0056-9; 015.090.0057-7; 015.090.0058-5; 015.074.0033-0; 015.074.0034-9; 015.074.0039-1; 015.074.0040-3; 015.074.0041-1; 015.074.0084-5; 015.074.0089-6; 015.074.0092-6; 015.074.0093-4; 015.074.0097-7; 015.074.0098-5; 015.074.0105-1; 015.074.0106-1; 015.074.0107-8; 015.074.0108-6; 015.074.0109-4; 015.074.0112-4; 015.074.0114-0; 015.074.0115-9; 015.074.0117-5; 015.074.0118-3; 015.074.0119-1; 015.074.0120-5; 015.074.0121-3; 015.074.0122-1; 015.074.0123-1; 015.074.0687-8</t>
  </si>
  <si>
    <t>CANOPUS</t>
  </si>
  <si>
    <t>299.054.0306-8</t>
  </si>
  <si>
    <t>2011.0.232.457-0</t>
  </si>
  <si>
    <t xml:space="preserve">RED SEAS </t>
  </si>
  <si>
    <t>299.127.0023-4 / 0013-7 / 0014-5 / 0015-3 / 0016-1/0017-1 / 0018-8 / 0019-6 / 0020-1 / 0021-8 / 0022-6 / 0011-0 / 0001-3 / 0002-1</t>
  </si>
  <si>
    <t>2011-0.267.100-9</t>
  </si>
  <si>
    <t>2014-0.162.912-8</t>
  </si>
  <si>
    <t>299.127.0001-3, 299.127.0003-1, 299.127.0004-8, 299.127.0008-0, 299.127.0009-9 ,299.127.0010-2, 299.127.0011-0,299.127.0012-9, 299.127.0023-4, 299.127.0026-9, 299.127.0002-1</t>
  </si>
  <si>
    <t>1010.2019/0002317-0</t>
  </si>
  <si>
    <t>083.174.0761-6 / 0037-9 / 0802-7 / 0030-1</t>
  </si>
  <si>
    <t>2011-0.354.707-7</t>
  </si>
  <si>
    <t>TF 40</t>
  </si>
  <si>
    <t>299.035.1339-7</t>
  </si>
  <si>
    <t>2012-0.121.517-5</t>
  </si>
  <si>
    <t>RENATO PAES</t>
  </si>
  <si>
    <t>016.140.0008-5 / 0004-2 / 0003-4 / 0002-6 / 0005-0 / 0001-8 / 0006-9 / 0007-7</t>
  </si>
  <si>
    <t>2012-0.300.966-2</t>
  </si>
  <si>
    <t>299.074.0073-2 / 0061-9 / 0006-6 / 0007-4</t>
  </si>
  <si>
    <t>2012-0.310.813-0</t>
  </si>
  <si>
    <t>2014-0.024.811-2</t>
  </si>
  <si>
    <t>299.082.0030-3 / 0025-7</t>
  </si>
  <si>
    <t>2012-0.329.501-0</t>
  </si>
  <si>
    <t>016.162.0062-6 / 0063-4 / 0064-2 / 0065-0 / 0066-9 / 0067-7 / 0014-6 / 0015-4 / 0016-2</t>
  </si>
  <si>
    <t>2012-0.356.401-1</t>
  </si>
  <si>
    <t>2017-0.115.952-6</t>
  </si>
  <si>
    <t>FREDERICO HERMAN</t>
  </si>
  <si>
    <t>083.028.0006-6 / 0001-5</t>
  </si>
  <si>
    <t>2013-0.069.763-2</t>
  </si>
  <si>
    <t>083.028.0001-5/083.028.0006-6</t>
  </si>
  <si>
    <t>2015-0.038.616-9</t>
  </si>
  <si>
    <t>RELT</t>
  </si>
  <si>
    <t xml:space="preserve">015.093.0038-4, 015.093.37-6, 015.093.24-4, 015.093.22-8 </t>
  </si>
  <si>
    <t>2014-0.016.991-3</t>
  </si>
  <si>
    <t>HESA 71</t>
  </si>
  <si>
    <t>016.147.0002-8, 016.147.0022-2, 016.147.0003-6, 016.147.0004-4, 016.147.0024-9</t>
  </si>
  <si>
    <t xml:space="preserve">2014-0.086.055-1 </t>
  </si>
  <si>
    <t>016.147.0002-8/0022-2/0003-6/0004-4/0024-9</t>
  </si>
  <si>
    <t>2014-0.086.055-1</t>
  </si>
  <si>
    <t>HBR 15</t>
  </si>
  <si>
    <t>299.035.0057-0</t>
  </si>
  <si>
    <t>2014-0086.038-1</t>
  </si>
  <si>
    <t>TRISUL</t>
  </si>
  <si>
    <t>083.097.0045-8</t>
  </si>
  <si>
    <t>2014-0.293.158-8</t>
  </si>
  <si>
    <t>2017-0.059.226-9</t>
  </si>
  <si>
    <t>INSPER</t>
  </si>
  <si>
    <t>299.095.0024-6/0025-4/0026-2/0027-0/0028-9/0144-7/0143-9/0032-7/0031-9/0033-5/0051-3/0052-1/0053-1/0054-8</t>
  </si>
  <si>
    <t>2014-0.301.041-9</t>
  </si>
  <si>
    <t>083.220.0331-5, 083.220.0020-0, 083.220.0021-9, 083.220.0333-1</t>
  </si>
  <si>
    <t>2015-0.011.622-6</t>
  </si>
  <si>
    <t>083.220.0020-0, 083.220.0021-9, 083.220.0331-5, 083.220.0333-1</t>
  </si>
  <si>
    <t>2017-0.114.164-3</t>
  </si>
  <si>
    <t>FLCJ</t>
  </si>
  <si>
    <t>083.068.0009-5; 083068.0010-9; 083.068.0018-4; 083.068.0019-2</t>
  </si>
  <si>
    <t>2014-0.357.603-0</t>
  </si>
  <si>
    <t>083.068.0009-5; 083068.0010-9; 083.068.0018-4;  083.068.0019-2</t>
  </si>
  <si>
    <t>2017-0.037.314-1</t>
  </si>
  <si>
    <t>BODRUM</t>
  </si>
  <si>
    <t>299.014.0009-9/299.014.0010-2 e 299.0140092-7</t>
  </si>
  <si>
    <t>2015-0.036.226-0</t>
  </si>
  <si>
    <t>GT 11</t>
  </si>
  <si>
    <t>299.077.0097-3/299.077.0030-2 e 299.077.0033-7</t>
  </si>
  <si>
    <t>2015-0181.472-5</t>
  </si>
  <si>
    <t>POLLUX</t>
  </si>
  <si>
    <t>083.015.0012-3/083.015.0015-8</t>
  </si>
  <si>
    <t>2015-0.287.563-9</t>
  </si>
  <si>
    <t>NATIN</t>
  </si>
  <si>
    <t>083.015.0011-5, 083.015.0012-3, 083.015.0015-8</t>
  </si>
  <si>
    <t>7810.2019/0000286-0</t>
  </si>
  <si>
    <t>7810.2020/0000770-8</t>
  </si>
  <si>
    <t>VITACON 18</t>
  </si>
  <si>
    <t>299.074.0042-2/ 0041-4/, 0040-6/0039-2/0037-6/0036-8</t>
  </si>
  <si>
    <t>2015-0.214.227-5</t>
  </si>
  <si>
    <t>299.077.0092-2/ 0091-4/, 0265-8/0018-30019-1/ 0093-0</t>
  </si>
  <si>
    <t>2015-0.218.743-0</t>
  </si>
  <si>
    <t>MULTIALLIANCE</t>
  </si>
  <si>
    <t>299.038.0044-2</t>
  </si>
  <si>
    <t>2015-0.267.859-0</t>
  </si>
  <si>
    <t>2016-0.042.225-6</t>
  </si>
  <si>
    <t xml:space="preserve">SAO JOSE </t>
  </si>
  <si>
    <t>083.207.0048-5</t>
  </si>
  <si>
    <t>2015-0.290.656-9</t>
  </si>
  <si>
    <t xml:space="preserve">BI </t>
  </si>
  <si>
    <t>016.134.0020-9 / 016.134.0021-7 / 016.134.0023-3 / 016.134.0024-1 / 016.134.0025-1 /016.134. 0026-8 / 016.134.0027-6 / 016.134.0028-4</t>
  </si>
  <si>
    <t>2017-0.103.080-9</t>
  </si>
  <si>
    <t>2018-0.025.238-9</t>
  </si>
  <si>
    <t>083.206.0016-2/0017-0/0018-9/0019-7/0020-0/0035-9/0033-2/0034-0/0062-6/0063-4/0064-2</t>
  </si>
  <si>
    <t>2016-0.020.469-0</t>
  </si>
  <si>
    <t>DIALOGO</t>
  </si>
  <si>
    <t>016.137.0003-2 / 0047-4/ 0046-6 / 0002-4 / 0065-2 / 0061-1 / 0060-1</t>
  </si>
  <si>
    <t>2016-0.055.761-5 (Saldo a desvincular)</t>
  </si>
  <si>
    <t>2018-0.036.238-9</t>
  </si>
  <si>
    <t>7810.2018/0000592-2</t>
  </si>
  <si>
    <t>2016-0.174.371-4</t>
  </si>
  <si>
    <t>CYRELA PORTUGAL</t>
  </si>
  <si>
    <t>299.015.0461-7</t>
  </si>
  <si>
    <t>2016-0.201.177-6</t>
  </si>
  <si>
    <t>LUBA 15</t>
  </si>
  <si>
    <t>299.055.0298-8</t>
  </si>
  <si>
    <t>7810.2019/0000482-0</t>
  </si>
  <si>
    <t>FUNCHAL 641</t>
  </si>
  <si>
    <t>299.078.0034-1 / 0039-0 / 0040-4 / 0041-2 / 0043-9</t>
  </si>
  <si>
    <t>2016-0.277.653-1</t>
  </si>
  <si>
    <t>FUNCHAL 642</t>
  </si>
  <si>
    <t>299.078.0034-1 / 299.078.0039-0 / 299.078.0040-4 / 299.078.0041-2 / 299.078.0043-9</t>
  </si>
  <si>
    <t>BOLSA IX</t>
  </si>
  <si>
    <t>299.017.0020-3</t>
  </si>
  <si>
    <t>7810.2018/0000957-0</t>
  </si>
  <si>
    <t>7810.2019/0000604-1</t>
  </si>
  <si>
    <t>LUCIO SERPA</t>
  </si>
  <si>
    <t>083.044.0031-6, 083.044.00032-4, 083.044.0037-5, 083.044.0038-3, 083.044.0039-1, 083.044.0040-5, 083.044.0041-3, 083.044.0042-1, 083.044.0044-8, 083.044.0046-4, 083.044.0055-3</t>
  </si>
  <si>
    <t>2017-0.185.479-8</t>
  </si>
  <si>
    <t>299.115.0029-0, 299.115.0030-4, 299.115.0031-2, 299.115.0034-7, 299.115.0037-1, 299.115.0065-7</t>
  </si>
  <si>
    <t>2017-0.134.508-7</t>
  </si>
  <si>
    <t>CI 002</t>
  </si>
  <si>
    <t>299.020.0125-6, 299.020.00126-0, 299.020.0139-2</t>
  </si>
  <si>
    <t>2018-0.003.879-4</t>
  </si>
  <si>
    <t>JAC PASSAROS</t>
  </si>
  <si>
    <t>041.060.0040-7, 041.060.0039-3, 041.060.0038-5, 041.060.0037-7, 041.060.0036-9, 041.060.0035-0, 041.060.0105-5</t>
  </si>
  <si>
    <t>7810.2018/0000936-7</t>
  </si>
  <si>
    <t>MARSELHA</t>
  </si>
  <si>
    <t>041.057.0011-1 / 0012-1 / 0015-4 / 0018-9 / 0039-1 / 0040-5 / 0041-3 / 0042-1</t>
  </si>
  <si>
    <t>7810.2019/0000248-8</t>
  </si>
  <si>
    <t>041.057.0011-1, 041.057.0012-1, 041.057.0015-4, 041.057.0018-9, 041.057.0039-1, 041.057.0040-5, 041.057.0041-3, 041.057.0042-1</t>
  </si>
  <si>
    <t>1010.2019/0002318-8</t>
  </si>
  <si>
    <t>1010.2020/0000570-5</t>
  </si>
  <si>
    <t>ROTTERDAM</t>
  </si>
  <si>
    <t>041.056.0013-3, 041.056.0014-1, 041.056.0016-8, 041.056.0018-4, 041.056.0019-2, 041.056.0020-6, 041.056.0021-4, 041.056.0022-2, 041.056.0027-3, 041.056.0028-1, 041.056.0050-8</t>
  </si>
  <si>
    <t>7810.2019/0000361-1</t>
  </si>
  <si>
    <t>7810.2020/0000960-3</t>
  </si>
  <si>
    <t>SPE BANDEIRA</t>
  </si>
  <si>
    <t>016.167.0085-8, 016.167.0365-2, 016.167.0084-1, 016.167.0064-5</t>
  </si>
  <si>
    <t>7810.2019/0000948-2</t>
  </si>
  <si>
    <t>7810.2020/0000757-0</t>
  </si>
  <si>
    <t>PARTAGE</t>
  </si>
  <si>
    <t>299.129.0019-5</t>
  </si>
  <si>
    <t>7810.2021/0000688-6</t>
  </si>
  <si>
    <t>VILLAGIO 31</t>
  </si>
  <si>
    <t>083.067.0049-1, 083.067.0052-1, 083.067.0053-8, 083.067.0054-6</t>
  </si>
  <si>
    <t>7810.2019/0001000-6, 1010.2019/0002322-6</t>
  </si>
  <si>
    <t>SEQ11</t>
  </si>
  <si>
    <t>299.014.0052-8, 299.014.0053-6, 299.014.0054-4, 299.014.055-2</t>
  </si>
  <si>
    <t>7810.2019/0001006-5</t>
  </si>
  <si>
    <t>FL-022/2020</t>
  </si>
  <si>
    <t>299.014.0052-8; 299.014.0053-6;
299.014.0054-4; 299.014.0055-25</t>
  </si>
  <si>
    <t>7810.2020/0000626-4</t>
  </si>
  <si>
    <t>PMJ</t>
  </si>
  <si>
    <t>016.163.0027-2, 016.163.0028-0, 016.163.0029-9, 016.163.0094-9, 016.163.0095-7, 016.163.0007-8, 016.163.0008-6</t>
  </si>
  <si>
    <t>7810.2019/0001061-8;  1010.2019/0002319-6</t>
  </si>
  <si>
    <t>299.019.0011-3; 299.019.0012-1; 299.019.0013-1; 299.019.0015-6;
299.019.0016-4; 299.019.0017-2; 299.019.0018-0; 299.019.0019-9; 299.019.0020-2; 299.019.0021-0;
299.019.0022-9; 299.019.0023-7; 299.019.0040-7; 299.019.0041-5; 299.019.0054-7; 299.019.0055-5;
299.019.0055-5 (área maior); 299.019.0088-1; 299.019.0089-1</t>
  </si>
  <si>
    <t>7810.2019/0001144-4, 1010.2019/0002339-0</t>
  </si>
  <si>
    <t>299.019.0011-3; 299.019.0012-1; 299.019.0013-1; 299.019.0015-6; 299.019.0016-4; 299.019.0017-2; 299.019.0018-0; 299.019.0019-9; 299.019.0020-2; 299.019.0021-0; 299.019.0022-9; 299.019.0023-7; 299.019.0040-7; 299.019.0041-5; 299.019.0054-7; 299.019.0055-5; 299.019.0055-5 (área maior); 299.019.0088-1; 299.019.0089-1</t>
  </si>
  <si>
    <t>7810.2021/0001520-6</t>
  </si>
  <si>
    <t xml:space="preserve">BREF III </t>
  </si>
  <si>
    <t>016.137.0159-4</t>
  </si>
  <si>
    <t>1010.2019/0002306-4</t>
  </si>
  <si>
    <t>RUBAIYAT</t>
  </si>
  <si>
    <t xml:space="preserve">299.016.0045-4, 299.016.0046-2, 299.016.0070-5, 299.016.0075-6 </t>
  </si>
  <si>
    <t>1010.2019/0002309-9</t>
  </si>
  <si>
    <t xml:space="preserve">PARDAL MARROM </t>
  </si>
  <si>
    <t>041.056.0024-9, 041.056.0051-6, 041.056.0023-0, 041.056.0026-5, 041.056.0025-7</t>
  </si>
  <si>
    <t>1010.2019/0002311-0</t>
  </si>
  <si>
    <t>1010.2021/0009850-5</t>
  </si>
  <si>
    <t xml:space="preserve">FORENZA </t>
  </si>
  <si>
    <t>016.135.0019-1, 016.135.0020-3, 016.135.0021-1, 016.135.0022-1, 016.135.0023-8, 016.135.0024-6, 016.135.0025-4, 016.135.0026-2, 016.135.0038-6, 016.135.0037-8, 016.135.0028-9, 016.135.0029-7, 016.135.0030-0, 016.135.0031-9, 016.135.0032-7, 016.135.0039-4,016.135.0040-8</t>
  </si>
  <si>
    <t>1010.2019/0002313-7</t>
  </si>
  <si>
    <t>MONZA</t>
  </si>
  <si>
    <t>016.135.0018-1, 016.135.0017-3, 016.135.0016-5, 016.135.0015-7, 016.135.0014-9, 016.135.0013-0, 016.135.0012-2, 016.135.0011-4</t>
  </si>
  <si>
    <t>7810.2020/0000064-9</t>
  </si>
  <si>
    <t>UPCON SPE 26</t>
  </si>
  <si>
    <t>016.155.0058-8; 016.155.0032-4; 016.155.0033-2</t>
  </si>
  <si>
    <t>1010.2019/0002324-2</t>
  </si>
  <si>
    <t>7810.2021/0001569-9</t>
  </si>
  <si>
    <t>M.A.R TRENTO</t>
  </si>
  <si>
    <t>299.004.0113-1, 299.004.0110-5, 299.004.0090-7, 299.004.0140-7</t>
  </si>
  <si>
    <t>1010.2019/0002327-7</t>
  </si>
  <si>
    <t>7810.2022/0000634-9</t>
  </si>
  <si>
    <t>DUBLIN</t>
  </si>
  <si>
    <t>299.018.0024-0; 299.018.0083-6; 299.018.0142-5</t>
  </si>
  <si>
    <t>1010.2019/0002332-3</t>
  </si>
  <si>
    <t>299.127.0024-2, 299.127.0025-0, 299.127.0005-6</t>
  </si>
  <si>
    <t>1010.2019/0002334-0</t>
  </si>
  <si>
    <t>7810.2020/0000805-4</t>
  </si>
  <si>
    <t>299.127.0024-2, 299.127.0025-0, 299.127.0005-6, 299.127.0007-2</t>
  </si>
  <si>
    <t>7810.2020/0001527-1</t>
  </si>
  <si>
    <t>299.127.0027-7, 299.127.0005-6, 299.127.0007-2</t>
  </si>
  <si>
    <t>1010.2021/0009842-4</t>
  </si>
  <si>
    <t>ACH</t>
  </si>
  <si>
    <t>041.036.0011-1; 041.036.0010-1; 041.036.0033-0; 041.036.0034-9; 041.036.0035-7; 041.036.0040-3; 041.036.0041-1; 041.036.0042-1; 041.0360005-5; 041.036.0006-3</t>
  </si>
  <si>
    <t>1010.2022/0000326-3</t>
  </si>
  <si>
    <t xml:space="preserve">SP PINHEIROS </t>
  </si>
  <si>
    <t>299.013.0037-1 e 299.013.0027-2</t>
  </si>
  <si>
    <t>1010.2021/0010081-0</t>
  </si>
  <si>
    <t>7810.2022/0000451-6</t>
  </si>
  <si>
    <t>OR SP 29</t>
  </si>
  <si>
    <t>016.155.0008-1; 016.155.0010-3; 016.155.0011-1; 016.155.0026-1; 016.155.0086-3</t>
  </si>
  <si>
    <t>7810.2022/0001828-2</t>
  </si>
  <si>
    <t xml:space="preserve">FLCJ SPE </t>
  </si>
  <si>
    <t>083.068.0020-6</t>
  </si>
  <si>
    <t>FUNCHAL 641 SPE</t>
  </si>
  <si>
    <t>SETOR
299 QUADRA 078 LOTES 0034-1; 0039-0; 0040-4; 0041-2; 0043-9</t>
  </si>
  <si>
    <t>SAL; BES; MHB</t>
  </si>
  <si>
    <t>041.059.0125-7 / 041.059.0126-5 / 041.059.0036-6 / 041.059.0124-9</t>
  </si>
  <si>
    <t>PRÓXIMO CÓDIGO PARA NOVA PROPOSTA (INSERIR LINHA ACIMA)</t>
  </si>
  <si>
    <t>005</t>
  </si>
  <si>
    <t>FL-005/2025</t>
  </si>
  <si>
    <t>2013-0325611-4</t>
  </si>
  <si>
    <t>SAO JOSE DESENVOLVIMENTO IMOBILIARIO 33 LTDA.</t>
  </si>
  <si>
    <t>10174781/0001-94;</t>
  </si>
  <si>
    <t>RUA FREDERIC CHOPIN, 20;</t>
  </si>
  <si>
    <t>083207;</t>
  </si>
  <si>
    <t>0135-1;</t>
  </si>
  <si>
    <t>CERTIDÃO 04/12/SMDU/CTLU</t>
  </si>
  <si>
    <t>AMANDA/08/07/2025</t>
  </si>
  <si>
    <t>2005-0320407-9</t>
  </si>
  <si>
    <t>CONCEITO CONSTRUTORA E PARTICIPACOES LTDA.</t>
  </si>
  <si>
    <t>71657464/0001-13;</t>
  </si>
  <si>
    <t>AVENIDA BRIGADEIRO FARIA LIMA; RUA TABAPUA; RUA JOSE GONCALVES OLIVEIRA</t>
  </si>
  <si>
    <t>229008;</t>
  </si>
  <si>
    <t>0075-1; 0027-1; 0024-7; 0025-8; 0023-9; 0026-9; 0022-0; 0021-2; 0019-0; 0043-3; 0076-1; 0077--8; 0014-6;</t>
  </si>
  <si>
    <t>CERTIDÃO COMPLEMENTAR (DE QUAL?)</t>
  </si>
  <si>
    <t>2003-0295416-0</t>
  </si>
  <si>
    <t>VR EMPREENDIMENTOS PARTICIPACOES E SERVICOS; SAINT PATRICK INCORPORADORA E PARTICIPACOES LTDA; SANTA CRUZ FOMENTO COMERCIAL LTDA.; CINCINATI HOLDINGS LTDA.; ESCALA EMPREENDIMENTOS E PARTICIPACOES LTDA.; VISBELA EMPREENDIMENTOS E PARTICIPACOES LTDA.; BANDO BMD LTDA.;</t>
  </si>
  <si>
    <t>01150594/0001-80; 97355069/0001-70; 50117142/0001-01; 09092729/0001-00; 00338747/0001-54; 04036914/0001-63; 60892304/0001-32;</t>
  </si>
  <si>
    <t>AVENIDA BRIGADEIRO FARIA LIMA;</t>
  </si>
  <si>
    <t>015057;</t>
  </si>
  <si>
    <t>0009-4;</t>
  </si>
  <si>
    <t>2014-0161140-7</t>
  </si>
  <si>
    <t>DV-001/2015</t>
  </si>
  <si>
    <t>2003-0324486-7</t>
  </si>
  <si>
    <t>BL EMPREENDIMENTOS SPE LTDA</t>
  </si>
  <si>
    <t>07467969/0001-16;</t>
  </si>
  <si>
    <t>RUA DOUTOR RENATO PAES DE BARROS; RUA BENEDITO LAPIN;</t>
  </si>
  <si>
    <t>016166;</t>
  </si>
  <si>
    <t>0018-7; 0019-5; 0020-9; 0021-7; 0042-1;</t>
  </si>
  <si>
    <t>PRISCILA/12/05/2025</t>
  </si>
  <si>
    <t>2003-0325166-9</t>
  </si>
  <si>
    <t>BOLSA DE IMÓVEIS DESENVOLVIMENTO IMOBILIÁRIO LTDA; TECNUM &amp; CORPORATE EMPREENDIMENTOS IMOBILIÁRIOS LTDA; QUALITY BUILDING EMPREENDIMENTOS E PARTICIPAÇÕES LTDA</t>
  </si>
  <si>
    <t>04913697/0001-42;64596046/0001-00;01490046/0001-07</t>
  </si>
  <si>
    <t>RUA LEOPOLDO COUTO DE MAGALHÃES JUNIOR, 1.387</t>
  </si>
  <si>
    <t>299019;</t>
  </si>
  <si>
    <t>0084-9; 0085-7; 0080-6; 0051-2; 0004-0; 0062-8;</t>
  </si>
  <si>
    <t>LUCIANA/16/05/2025</t>
  </si>
  <si>
    <t>7810.2020/0001473-9</t>
  </si>
  <si>
    <t>RAUL SABBAGA CHEDE</t>
  </si>
  <si>
    <t>RUA CANÁRIO; RUA INHAMBU; RUA CORONEL HUMAITÁ</t>
  </si>
  <si>
    <t>041038;</t>
  </si>
  <si>
    <t>0022-4; 0028-3; 0033-1; 0036-4; 0050-1; 0051-8; 0052-6</t>
  </si>
  <si>
    <t xml:space="preserve">PROCESS INICIAL 2003-0.327.160-0 - CERTIDÃO  24//04/SEMPLA - EMITIDA POR SEMPLA - PAGTO PARTE CONTRAPARTIDA FINANCEIRA - PARTE CEPAC - </t>
  </si>
  <si>
    <t>2004-0096854-8</t>
  </si>
  <si>
    <t>ATALANTA PARTICIPAÇÕES E PROPRIEDADES LTDA</t>
  </si>
  <si>
    <t>04791780/0001-96;</t>
  </si>
  <si>
    <t>RUA IRACI, 707; ESQUINA COM A RUA HUNGRIA</t>
  </si>
  <si>
    <t>083231;</t>
  </si>
  <si>
    <t>0049-7; 0050-0; 0051-9; 0052-7; 0053-5; 0054-3; 0055-1; 0056-1; 0057-8; 0058-6; 0059-4; 0060-8</t>
  </si>
  <si>
    <t>OODC (dinheiro)</t>
  </si>
  <si>
    <t>Pago R$ 2.365.682,00, conforme despacho da CTLU CERTIDÃO 17/04/SEMPLA</t>
  </si>
  <si>
    <t>2004-0294005-5</t>
  </si>
  <si>
    <t>PALMARES EMPREENDIMENTOS E PARTICIPAÇÕES S/A</t>
  </si>
  <si>
    <t>47218250/0001-66;</t>
  </si>
  <si>
    <t>AVENIDA BRIGADEIRO FARIA LIMA, 173; AVENIDA PEDROSO DE MORAES, 1.271 E 1.323</t>
  </si>
  <si>
    <t>083007;</t>
  </si>
  <si>
    <t>0040-4; 0044-7; 0046-3;</t>
  </si>
  <si>
    <t>2005-0022151-7</t>
  </si>
  <si>
    <t>DESTINY DE PARTICIPAÇÃO LTDA</t>
  </si>
  <si>
    <t>05574820/0001-00;</t>
  </si>
  <si>
    <t>RUA CORONEL ARTHUR DE PAULA FERREIRA, 185, 191, 195, 203, 209, 215, 227, 237; RUA MONTE APRAZÍVEL, 410, 416</t>
  </si>
  <si>
    <t>041282;</t>
  </si>
  <si>
    <t>0030-1; 00031-1; 0004-2; 0101-4;</t>
  </si>
  <si>
    <t>2004-0299325-6</t>
  </si>
  <si>
    <t>FADLO HAIDAR EMPREENDIMENTO IMOBILIÁRIO SPE LTDA</t>
  </si>
  <si>
    <t>08541185/0001-53;</t>
  </si>
  <si>
    <t>RUA FADLO AIDAR</t>
  </si>
  <si>
    <t>299077;</t>
  </si>
  <si>
    <t>0264-1;</t>
  </si>
  <si>
    <t>2004-0158467-0</t>
  </si>
  <si>
    <t>NAÇÕES UNIDAS EMPREENDIMENTO IMOBILIÁRIO LTDA</t>
  </si>
  <si>
    <t>05095230/0001-03;</t>
  </si>
  <si>
    <t>rua gomes de carvalho, 1996</t>
  </si>
  <si>
    <t>299038;</t>
  </si>
  <si>
    <t>0008-6; 0009-4; 0020-5; 0040-1;</t>
  </si>
  <si>
    <t>2007-0186164-5</t>
  </si>
  <si>
    <t>WTORRE CJ EMPREENDIMENTO IMOBILIARIO S/A.</t>
  </si>
  <si>
    <t>59535849/0001-02;</t>
  </si>
  <si>
    <t>AVENIDA NAÇÕES UNIDAS ESQUINA COM RUA EUGENIO DE MEDEIROS</t>
  </si>
  <si>
    <t>083103;</t>
  </si>
  <si>
    <t>0064-6;</t>
  </si>
  <si>
    <t>AMANDA/13/05/2025</t>
  </si>
  <si>
    <t>2007-0337168-8</t>
  </si>
  <si>
    <t>CICLAME INCORPORADORA LTDA; ASTROEMERIA INCORPORADORA LTDA;</t>
  </si>
  <si>
    <t>07697863/0001-09; 07698130/0001-99</t>
  </si>
  <si>
    <t>RUA CLAUDIO SOARES E RUA VALERIO DE CARVALHO</t>
  </si>
  <si>
    <t>015073;</t>
  </si>
  <si>
    <t>0120-0; 0067-0; 0078-6; 0084-0; 0085-9;</t>
  </si>
  <si>
    <t>COMPLEMENTA CERTIDÕES 112/97/SEMPLA - ACA DE 13.493,442 - Certidão 05/10/CTLU (Consumo de ACA)</t>
  </si>
  <si>
    <t>2008-0090243-9</t>
  </si>
  <si>
    <t>JORGE THOMAZ WEIL; PEDRO SYLVIO WEIL</t>
  </si>
  <si>
    <t>678506778-20; 039696658-68;</t>
  </si>
  <si>
    <t>RUA DIOGO MOREIRA, 75 E 87</t>
  </si>
  <si>
    <t>015092;</t>
  </si>
  <si>
    <t>0034-7; 0009-6;</t>
  </si>
  <si>
    <t>2005-0014951-4</t>
  </si>
  <si>
    <t>FVM DESENVOLVIMENTO IMOBILIARIO LTDA.</t>
  </si>
  <si>
    <t>08169300/0001-00;</t>
  </si>
  <si>
    <t>RUA ALVORADA</t>
  </si>
  <si>
    <t>299177;</t>
  </si>
  <si>
    <t>0072-9; 0070-2; 0036-2;</t>
  </si>
  <si>
    <t>QUANTIDADE DE CEPAC PARA ACA E PARÂMETROS EXTRAÍDO DA PLANILHA PUBLICADA</t>
  </si>
  <si>
    <t>2005-0020668-2</t>
  </si>
  <si>
    <t>EVEN CONSTRUTORA E INCORPORADORA LTDA; PINHEIROS DESENVOLVIMENTO IMOBILIARIO LTDA;</t>
  </si>
  <si>
    <t>43470988/0001-65; 07241467/0001-72;</t>
  </si>
  <si>
    <t>RUA FREDERICO HERMANN JUNIOR; RUA NICOLAU GAGLIARDI</t>
  </si>
  <si>
    <t>083233;</t>
  </si>
  <si>
    <t>0004-2;</t>
  </si>
  <si>
    <t>2005-0020911-8</t>
  </si>
  <si>
    <t>CIPESA ENGENHARIA S/A</t>
  </si>
  <si>
    <t>12272753/0001-32;</t>
  </si>
  <si>
    <t>RUA BENEDITO LAPIN; RUA BANDEIRA PAULISTA;</t>
  </si>
  <si>
    <t>016167;</t>
  </si>
  <si>
    <t>0091-2; 0090-4; 0089-0; 0088-2; 0087-4; 0131-5; 0132-3;</t>
  </si>
  <si>
    <t>GIULIA/13/05/2025</t>
  </si>
  <si>
    <t>2005-0021493-6</t>
  </si>
  <si>
    <t>QUEIROZ GALVAO CYRELA EMPREENDIMENTOS E PARTICIPACOES S/A</t>
  </si>
  <si>
    <t>06878430/0001-97;</t>
  </si>
  <si>
    <t>RUA HORACIO LAFER, 120;</t>
  </si>
  <si>
    <t>299014;</t>
  </si>
  <si>
    <t>0014-5;0016-1;0019-6; 0099-6; 0100-1;</t>
  </si>
  <si>
    <t>2005-0256976-6</t>
  </si>
  <si>
    <t>F. REIS ADMINISTRACAO DE IMOVEIS LTDA</t>
  </si>
  <si>
    <t>00076468/0001-60;</t>
  </si>
  <si>
    <t>RUA DAS OLIMPIADAS, 242;</t>
  </si>
  <si>
    <t>299050;</t>
  </si>
  <si>
    <t>0085-0;</t>
  </si>
  <si>
    <t>2005-0324078-4</t>
  </si>
  <si>
    <t>BOLSA DE IMOVEIS DESENVOLVIMENTO IMOBILIARIO LTDA</t>
  </si>
  <si>
    <t>04913697/0001-42;</t>
  </si>
  <si>
    <t>RUA LEOPOLDO COUTO DE MAGALHAES JUNIOR, 1.151;</t>
  </si>
  <si>
    <t>299020;</t>
  </si>
  <si>
    <t xml:space="preserve">0026-4; 0140-6; 0150-3; </t>
  </si>
  <si>
    <t>2006-0079215-0</t>
  </si>
  <si>
    <t>BRALDECAR EMPREENDIMENTOS LTDA</t>
  </si>
  <si>
    <t>55033252/0001-09;</t>
  </si>
  <si>
    <t>AVENIDA PRESIDENTE JUSCELINO KUBITSCHEK, 1327;</t>
  </si>
  <si>
    <t>299028;</t>
  </si>
  <si>
    <t>0478-9;</t>
  </si>
  <si>
    <t>CANCELA A CERTIDÃO FL-010/2007</t>
  </si>
  <si>
    <t>CANCELADA PELA CERTIDÃO FL014/2007</t>
  </si>
  <si>
    <t>2007-0139265-3</t>
  </si>
  <si>
    <t>KALAPALO EMPREENDIMENTOS IMOBILIÁRIOS LTDA; GLIESE INCOPORADORA LTDA</t>
  </si>
  <si>
    <t>07936960/0001-07; 08352433/0001-13;</t>
  </si>
  <si>
    <t>RUA INHAMBU; AVEMIDA JURITI; AVENIDA HÉLIO PELEGRINO; RUA TUIM;</t>
  </si>
  <si>
    <t>041063;</t>
  </si>
  <si>
    <t>0004-4; 0005-2; 0003-6; 0002-8; 0023-0;</t>
  </si>
  <si>
    <t>VITOR/15/05/2025</t>
  </si>
  <si>
    <t>2007-0179306-2</t>
  </si>
  <si>
    <t>CAPH INCORPORADORA LTDA</t>
  </si>
  <si>
    <t>08701394/0001-17;</t>
  </si>
  <si>
    <t>AVENIDA DOUTOR CARDOSO DE MELO Nº 585</t>
  </si>
  <si>
    <t>299104;</t>
  </si>
  <si>
    <t>0027-6; 0025-1; 0024-1; 0065-9; 0066-7; 0067-5; 0116-7; 0113-2; 0051-9; 0052-7; 0070-5; 0115-9;</t>
  </si>
  <si>
    <t>2007-0235144-6</t>
  </si>
  <si>
    <t>CETUS EVEN EMPREENDIMENTOS IMOBILIÁRIOS LTDA</t>
  </si>
  <si>
    <t>08747241/0001-00;</t>
  </si>
  <si>
    <t>RUA ARAGUARI Nº 472</t>
  </si>
  <si>
    <t>041078;</t>
  </si>
  <si>
    <t>0087-3; 0026-1; 0025-3; 0054-7;</t>
  </si>
  <si>
    <t>2008-0078866-0</t>
  </si>
  <si>
    <t>F. REIS ADMINISTRAÇÃO DE IMÓVEIS LTDA</t>
  </si>
  <si>
    <t>AVENIDA DOUTOR CARDOSO DE MELO Nº 1038</t>
  </si>
  <si>
    <t>299080;</t>
  </si>
  <si>
    <t>0079-7; 0004-5;</t>
  </si>
  <si>
    <t>7810.2022/0000813-9</t>
  </si>
  <si>
    <t>FLPP FARIA LIMA PRIME PROPERTIES S/A</t>
  </si>
  <si>
    <t>07349852/0001-38;</t>
  </si>
  <si>
    <t>AV. BRIGADEIRO FARIA LIMA, 3732</t>
  </si>
  <si>
    <t>0269-0;</t>
  </si>
  <si>
    <t>GIULIA/29/05/2025</t>
  </si>
  <si>
    <t>AV. BRIGADEIRO FARIA LIMA, RUA LEOPOLDO COUTO DE MAGALHÃES, RUA LÍCIO NOGUEIRA E RUA FERNANDES DE ABREU</t>
  </si>
  <si>
    <t>0037-1; 0039-6; 0053-1; 0045-0; 0060-4; 0040-1; 0038-8; 0236-4; 0170-8; 0141-4; 0164-3; 0166-1; 0036-1; 0268-2;</t>
  </si>
  <si>
    <t>2007-0397221-5</t>
  </si>
  <si>
    <t>DUPLO CHECK SO VAI ATE ESTA CERTIDAO ( AS FL-006/2021 E FL-008/2018 NÃO APARECEM)</t>
  </si>
  <si>
    <t>0037-1; 0039-6; 0053-1; 0060-4; 0040-1; 0038-8; 0236-4; 0170-8; 0141-4; 0164-3; 0166-1; 0036-1; 0164-3;</t>
  </si>
  <si>
    <t>FLPP FARIA LIMA PRIME PROPERTIES S/A, RANANA PARTICIPAÇÕES L TDA , EYRE EMPREENDIMENTOS E PARTICIPAÇÕES L TDA, CEFILI-CONSTRUÇÕES E ENGENHARIA L TDA;</t>
  </si>
  <si>
    <t>07349852/0001-38; 04652521/0001-84; 05033236/0001-48; 61620654/0001-02;</t>
  </si>
  <si>
    <t xml:space="preserve">0037-1; 0053-1; 0060-4; 0040-1; 0038-8; 0170-8; 0141-4; 0164-3; 0078-7; 0163-5; 0082-5; 0081-0; 0080-9; 0079-5; 0132-5; 0039-6; 0045-0; 0052-3; 0168-6; 0136-8; 0135-1; 0134-1; 0003-5; 0153-8; 0006-1; 0008-6; 0092-2; 0093-0; 0137-6; 0138-4; </t>
  </si>
  <si>
    <t>Complementa a certidão FL-004/2009</t>
  </si>
  <si>
    <t>FLPP EMPREENDIMENTOS 
IMOBILIÁRIOS S/A</t>
  </si>
  <si>
    <t xml:space="preserve">0037-1; 0053-1; 0060-4; 0040-1; 0038-8;  0078-7; 0163-5; 0082-5; 0081-0; 0080-9; 0079-5; 0132-5; 0039-6; 0045-0; 0052-3; 0168-6; 0136-8; 0135-1; 0134-1; 0003-5; 0153-8; 0006-1; 0008-6; 0092-2; 0093-0; 0137-6; 0138-4; </t>
  </si>
  <si>
    <t>FLPP SERVIÇOS DE COBRANÇA E DE 
INFORMAÇÕES CADASTRAIS</t>
  </si>
  <si>
    <t xml:space="preserve">0037-1; 0053-1; 0060-4; 0040-1; 0038-8;  0078-7; 0163-5; 0082-5; 0081-0; 0080-9; 0079-5; 0132-5; 0045-0; 0052-3; 0168-6; 0136-8; 0135-1; 0134-1; 0003-5; 0153-8; 0006-1; 0008-6; 0092-2; 0093-0; 0137-6; 0138-4; </t>
  </si>
  <si>
    <t>2010-0089023-2</t>
  </si>
  <si>
    <t>YUNY GTIS ATILIO INNOCENTI EMPREENDIMENTOS LTDA</t>
  </si>
  <si>
    <t>09234157/0001-56;</t>
  </si>
  <si>
    <t>RUA PROFESSOR ATILIO INNOCENTI, 165 E 193, RUA LEOPOLDO COUTO MAGALHAES JUNIOR 797 E 807 E RUA BELCHIOR SOARES, 28, 40, 50, 56, 64, 68, 78, 187, 197, 225 E 237;</t>
  </si>
  <si>
    <t>299021;</t>
  </si>
  <si>
    <t>0135-4; 0133-8; 0061-7; 0060-9; 0062-5; 0064-1; 0066-8; 0067-6; 0068-4; 0069-2; 0071-4; 0072-2; 0070-6; 0065-1; 0063-3;</t>
  </si>
  <si>
    <t>NO DUPLO CHECK, consta a diferença. Porém, a presente certidão cancelou sua anteiror, então crieo que nossa planilha revela o que realmente ocorreu. PARA AVALIAÇÃO GT - incluir no relatório
CANCELA A CERTIDÃO FL-012/2009</t>
  </si>
  <si>
    <t>YUNY GTIS ATILIO INNOCENTI EMPREENDIMENTOS E PARTICIPACOES LTDA</t>
  </si>
  <si>
    <t>RUA PROFESSOR ATILIO INNOCENTI, 165 E 193 E RUA BELCHIOR SOARES, 40, 50, 56, 64, 68, 78, 187, 197 E 225;</t>
  </si>
  <si>
    <t xml:space="preserve">0135-4; 0133-8; 0064-1; 0066-8; 0067-6; 0068-4; 0069-2; 0071-4; 0072-2; 0070-6; 0065-1; </t>
  </si>
  <si>
    <t>CANCELA A CERTIDÃO FL-018/2008 | CANCELADA PELA CERTIDÃO FL-016/2010</t>
  </si>
  <si>
    <t>RUA PROFESSOR ATILIO INNOCENTI</t>
  </si>
  <si>
    <t>0135-4; 0133-8;</t>
  </si>
  <si>
    <t>CANCELADA PELA CERTIDÃO FL-012/2009</t>
  </si>
  <si>
    <t>2008-0013203-0</t>
  </si>
  <si>
    <t>00000000/0000-00;</t>
  </si>
  <si>
    <t>299003;</t>
  </si>
  <si>
    <t xml:space="preserve">0167-4; 0386-3; </t>
  </si>
  <si>
    <t>PANAMBY ADMINISTRACAO E PARTICIPACOES LTDA</t>
  </si>
  <si>
    <t>AVENIDA BRIGADEIRO FARIA LIMA, 2.992</t>
  </si>
  <si>
    <t>GIULIA/27/05/2025</t>
  </si>
  <si>
    <t>2008-0077732-4</t>
  </si>
  <si>
    <t>GAFISA S/A</t>
  </si>
  <si>
    <t>01545826/0001-07;</t>
  </si>
  <si>
    <t xml:space="preserve"> RUAS LEOPOLDO COUTO DE MAGALHAES X LOPES NETO E JUSSEAPE</t>
  </si>
  <si>
    <t>299016;</t>
  </si>
  <si>
    <t>0003-9; 0032-2; 0030-6; 0031-4; 0072-1; 0073-1; 0033-0; 0010-1; 0004-7; 0005-5;  0021-7; 0006-3; 0007-1; 0050-0; 0008-1; 0053-5; 0051-9; 0052-7;</t>
  </si>
  <si>
    <t>OLHAR NO PROCESSO - DUPLO CHECK BEM DIVERGENTE DAS CERTIDÕES
distribuição de cepac feito pela planilha de duplo check
CANCELA A CERTIDÃO FL-005/2008</t>
  </si>
  <si>
    <t xml:space="preserve"> RUAS LEOPOLDO COUTO DE MAGALHAES X  LOPES NETO E JUSSEAPE</t>
  </si>
  <si>
    <t>distribuição de cepac feito pela planilha de duplo check
DADOS OBTIDOS DO APOSTILAMENTO DA CERTIDÃO INICIALMENTE ELABORADA.
CANCELADA PELA CERTIDÃO FL-027/2010</t>
  </si>
  <si>
    <t>2008-0179067-7</t>
  </si>
  <si>
    <t>EDIFÍCIO CIDADE JARDIM SPE EMPREENDIMENTO IMOBILIÁRIO L TOA</t>
  </si>
  <si>
    <t>09043077/0001-13;</t>
  </si>
  <si>
    <t>AVENIDA CIDADE JARDIM E RUA MARIO FERRAZ</t>
  </si>
  <si>
    <t>299004;</t>
  </si>
  <si>
    <t>0018-4; 0017-6; 0016-8; 0112-1; 0015-1;</t>
  </si>
  <si>
    <t>ACA NO DUPLO CHECK 8432,13</t>
  </si>
  <si>
    <t>0015-1;</t>
  </si>
  <si>
    <t>ACA NO DUPLO CHECK 1.756,05</t>
  </si>
  <si>
    <t>2008-0078461-4</t>
  </si>
  <si>
    <t>EDIFICIO CIDADE JARDIM SPE EMPREENDIMENTO IMOBILIARIO LTDA</t>
  </si>
  <si>
    <t xml:space="preserve">0018-4; 0017-6; 0016-8; 0112-1; </t>
  </si>
  <si>
    <t>JK 16 EMPREENDIMENTO IMOBILIÁRIO S/A; ATINS EMPREENDIMENTOS IMOBILIÁRIOS LTDA</t>
  </si>
  <si>
    <t>08977210/0001-46; 04621184/0001-68</t>
  </si>
  <si>
    <t>RUA RAMOS BATISTA; RUA IAIÁ GARCIA; AVENIDA JUSCELINO KUBITSCHEK</t>
  </si>
  <si>
    <t>299022;</t>
  </si>
  <si>
    <t>0194-4; 0089-1; 0041-7; 0150-2;0079-4; 0176-6; 0177-4; 0156-1; 0155-3; 0168-5; 0169-3; 0128-6; 0151-0;</t>
  </si>
  <si>
    <t>PROPORÇÃO DE CEPACS EXTRAÍDA DO DUPLO CHECK. CONTOU NESTE DOCUMENTO O ANO ERRADO DA CERTIDÃO</t>
  </si>
  <si>
    <t>LUCIANA/02/06/2025</t>
  </si>
  <si>
    <t>2008-0118467-0</t>
  </si>
  <si>
    <t>ANTONIO MARZOLA LAUDINO; DYLCEIA STEIN MARZOLA LAUDINO</t>
  </si>
  <si>
    <t>288575778-72; 214478588-08</t>
  </si>
  <si>
    <t>AVENIDA CARDOSO DE MELO, 1336</t>
  </si>
  <si>
    <t>0080-0;</t>
  </si>
  <si>
    <t>2008-0118470-0</t>
  </si>
  <si>
    <t>BNI ONIX DESENVOLVIMENTO IMOBILIÁRIO LTDA</t>
  </si>
  <si>
    <t>08913617/0001-00;</t>
  </si>
  <si>
    <t>RUA CASA DO ATOR; RUA ALVORADA; RUA CARMONTELLE</t>
  </si>
  <si>
    <t>299074;</t>
  </si>
  <si>
    <t>0022-5; 0023-6; 0024-4; 0026-0; 0028-7; 0018-1; 0091-0; 0092-9; 0075-6; 0074-0; 0095-3; 0096-1; 0032-5; 0025-2; 0027-9;</t>
  </si>
  <si>
    <t xml:space="preserve">0022-5; 0023-6; 0024-4; 0026-0; 0028-7; 0018-1; 0091-0; 0092-9; 0075-6; 0074-0; 0095-3; 0096-1; 0032-5; 0025-2; 0027-9; </t>
  </si>
  <si>
    <t>0022-5; 0023-6; 0024-4; 0026-0; 0028-7; 0018-1; 0091-0; 0092-9; 0075-6; 0074-0; 0095-3; 0096-1; 0032-5; 0025-2; 0027-9; 0021-1; 0020-1; 0090-2; 0089-9;</t>
  </si>
  <si>
    <t>2008-0174584-1</t>
  </si>
  <si>
    <t>BNI ESMERALDA DESENVOLVIMENTO IMOBILIÁRIO LTDA</t>
  </si>
  <si>
    <t>09253260/0001-43;</t>
  </si>
  <si>
    <t>RUA OLIMPÍADAS, 134</t>
  </si>
  <si>
    <t>0036-2;</t>
  </si>
  <si>
    <t>2008-0212890-0</t>
  </si>
  <si>
    <t>LEOPOLDO GREEN EMPREENDIMENTOS E PARTICIPAÇÕES LTDA</t>
  </si>
  <si>
    <t>09233161/0001-08;</t>
  </si>
  <si>
    <t>RUA LEOPOLDO COUTO DE MAGALHÃES JUNIOR; RUA CLODOMIRO AMAZONAS; RUA HORÁCIO LÁFER</t>
  </si>
  <si>
    <t>299018;</t>
  </si>
  <si>
    <t xml:space="preserve">0001-1; 0002-1; 0003-8; 0004-6; 0005-4; 0006-2; 0009-7; 001-7; 001-5; 0042-9; 003-7; 0044-5; 005-8; 0052-6; 0053-4; 0054-2; 0055-0; 0056-9; 0057-7; 0058-5; 0078-1; 0079-8; 0080-1; 0081-1; 0082-1; 0096-8; </t>
  </si>
  <si>
    <t>2008-0141637-6</t>
  </si>
  <si>
    <t>RUA ARAGUARI, 415</t>
  </si>
  <si>
    <t>041079;</t>
  </si>
  <si>
    <t>0009-6; 0049-5; 0050-9; 0051-7;</t>
  </si>
  <si>
    <t>DISTRIBUIÇÃO DE CEPAC EFETUADA CONFORME DESCRITO NO DUPLO CHECK</t>
  </si>
  <si>
    <t>LUCIANA/06/06/2025</t>
  </si>
  <si>
    <t>2005-0257352-6</t>
  </si>
  <si>
    <t>VIP INCORPORACOES IMOBILIARIAS LTDA; BANCO OURINVEST S.A., NA QUALIDADE DE INSTITUIÇÃO ADMINISTRADORA DO FUNDO DE INVESTIMENTO IMOBILIARIO PREMIER REALTY</t>
  </si>
  <si>
    <t>04950732/0001-01; 78632767/0001-20;</t>
  </si>
  <si>
    <t>RUA UBERABINHA X RUA QUATA X RUA TEREZA DE CAPUA X AVENIDA HELIO PELLEGRINO</t>
  </si>
  <si>
    <t>299085;</t>
  </si>
  <si>
    <t>0065-1;</t>
  </si>
  <si>
    <t>DIVISÃO DE CEPACS CONFORME PLANILHA PUBLICADA.</t>
  </si>
  <si>
    <t>AMANDA/23/05/2025</t>
  </si>
  <si>
    <t>2007-0176532-8</t>
  </si>
  <si>
    <t>BES EMPREENDIMENTOS E PARTIPACOES S/C LTDA.;</t>
  </si>
  <si>
    <t>04572018/0001-19;</t>
  </si>
  <si>
    <t>RUA DIOGO JACOME, 806</t>
  </si>
  <si>
    <t>041059;</t>
  </si>
  <si>
    <t>0121-4; 0028-5; 0026-9; 0027-7;</t>
  </si>
  <si>
    <t>2017-0030693-2</t>
  </si>
  <si>
    <t>SAL ADMINISTRACAO E INCORPORACAO LTDA.; BES EMPREENDIMENTOS E PARTICIPACOES LTDA.; MHB ADMINISTRACAO E PARCIPACOES LTDA.;</t>
  </si>
  <si>
    <t>11731233/0001-80; 04572018/0001-19; 06538651/0001-16;</t>
  </si>
  <si>
    <t>RUA DIOGO JACOME, 786</t>
  </si>
  <si>
    <t xml:space="preserve">0120-6; 0121-4; 0027-7; 0026-9; 0028-5; 0033-1; 0122-2; 0024-2; 0032-3; 0025-0; 0002-1; 0068-4; 0069-2; 0070-6; 0071-4; 0072-2; 0073-0; 0074-9; 0075-7; 0076-5; 0077-3; 0078-1; 0079-1; 0080-3; 0081-1; 0066-8; 0017-1; </t>
  </si>
  <si>
    <t>CANCELADA PELA CERTIDÃO FL-007/2017</t>
  </si>
  <si>
    <t>AMANDA/28/05/2025</t>
  </si>
  <si>
    <t>SAL ADMINISTRACAO E INCORPORADORA LTDA.; BES EMPREENDIMENTOS E PARTICIPACOES LTDA.; MHB ADMINISTRACAO E PARTICIPACOES LTDA.</t>
  </si>
  <si>
    <t>RUA DIOGO JACOME 786</t>
  </si>
  <si>
    <t>CANCELA A CERTIDÃO FL-004/2017</t>
  </si>
  <si>
    <t>2008-0082363-6</t>
  </si>
  <si>
    <t>LABRADOR INVESTIMENTOS IMOBILIARIOS LTDA.;</t>
  </si>
  <si>
    <t xml:space="preserve">08303517/0001-61; </t>
  </si>
  <si>
    <t>AVENIDA HELIO PELEGRINO X RUA SILVANIA X RUA DOUTOR ERNANI PEREIRA</t>
  </si>
  <si>
    <t xml:space="preserve">041076; </t>
  </si>
  <si>
    <t xml:space="preserve">0004-1; 0007-6; 0008-4; 0016-5; 0017-3; 0018-1; 0019-1; 0020-3; 0021-1; 0022-1; 0023-8; 0024-6; 0028-9; 0029-7; 0047-5; 0050-5; </t>
  </si>
  <si>
    <t>COMPLEMENTADA PELA CERTIDÃO FL-017/2009</t>
  </si>
  <si>
    <t>COMPLEMENTA A CERTIDAO FL-019/2008</t>
  </si>
  <si>
    <t>2007-0396554-5</t>
  </si>
  <si>
    <t>JHS-F INCORPORACOES S/A.</t>
  </si>
  <si>
    <t>05345215/0001-68;</t>
  </si>
  <si>
    <t>AVENIDA HELIO PELEGRINO 480</t>
  </si>
  <si>
    <t>041283;</t>
  </si>
  <si>
    <t>0001-2; 0002-0; 0003-9; 0004-7; 0005-5; 0017-9; 0018-7; 0027-6; 0028-4; 0029-2; 0040-3; 0041-1; 0042-1; 0042-1; 0043-8; 0044-6; 0045-4; 0046-2; 0047-0; 0052-7; 0053-5; 0054-3;</t>
  </si>
  <si>
    <t>QUANTIDADE DE CEPACS ALTERADA PELA RETI-RATI (VALOR DIVERGENTE DA PLANILHA PUBLICADA DE ESTOQUE CONSUMIDO)</t>
  </si>
  <si>
    <t>2010-0211141-9</t>
  </si>
  <si>
    <t>ESSER GENERAL EMPREENDIMENTOS IMOBILIARIOS LTDA.;</t>
  </si>
  <si>
    <t>09083269/0001-53;</t>
  </si>
  <si>
    <t>RUA CARDEAL ARCOVERDE, 2811</t>
  </si>
  <si>
    <t>0025-5;</t>
  </si>
  <si>
    <t>2008-0241666-3</t>
  </si>
  <si>
    <t>REGINA HELENA CHEDE MARIANI; MAGALY DIAS DE SOUZA MARIANI; PAULO SERGIO INNECCO PINTUCCI; MARIA JOSE LANGONE; ESPOLIO DE MARCO FLAVIO INNECCO PINTUCCI; SONIA MARIA VITA PINTUCCI; BRUNO VITA PINTUCCI; BIANCA VITA PINTUCCI; HESA 6 - INVESTIMENTOS IMOBILIARIOS; UPCON DESENVOLVIMENTO IMOBILIARIO LTDA.;</t>
  </si>
  <si>
    <t>09343343/0001-23; 08168657/0001-74;</t>
  </si>
  <si>
    <t>222355908-53; 042669528-30; 372756408-30; 395374558-15; 372756238-20; 073217238-10; 304572074-17; 041038004-10;</t>
  </si>
  <si>
    <t>RUA CANARIO, 148 E 160</t>
  </si>
  <si>
    <t>0024-0; 0041-1;</t>
  </si>
  <si>
    <t>DISTRIBUIÇÃO DE CEPACS RETIRADA DA TABELA PUBLICADA DE ESTOQUE CONSUMIDO</t>
  </si>
  <si>
    <t>2009-0100238-7</t>
  </si>
  <si>
    <t>RPB EMPREENDIMENTOS E PARTICIPACOES S/A.;</t>
  </si>
  <si>
    <t>08312116/0001-78;</t>
  </si>
  <si>
    <t>RUA DOUTOR RENATO PAES DE BARROS, 901; RUA PAULA DE OLIVEIRA, 68, 78, 94, 98, 114, 118</t>
  </si>
  <si>
    <t>016139;</t>
  </si>
  <si>
    <t>0100-3; 0035-1; 0036-8; 0037-6; 0038-4; 0039-2; 0040-6;</t>
  </si>
  <si>
    <t>2008-0254707-5</t>
  </si>
  <si>
    <t>TIGER EVEN EMPREENDIMENTOS IMOBILIARIOS LTDA.;</t>
  </si>
  <si>
    <t>08868287/0001-88;</t>
  </si>
  <si>
    <t>RUA ANNA CAMPOS MELAO; RUA NICOLAU GAGLIARDI; RUA DOUTOR CARLOS ALBERTO DO ESPIRITO SANTO; RUA COSTA CARVALHO</t>
  </si>
  <si>
    <t>083224;</t>
  </si>
  <si>
    <t>0001-2; 0002-0; 0003-9; 0004-7; 0005-5; 0006-3; 0007-1; 0008-1; 0009-8; 0010-1; 0011-1; 0012-8; 0013-6; 0014-4; 0015-2; 0016-0; 0017-9; 0018-7; 0019-5; 0020-9; 0021-7; 0022-5; 0023-3; 0024-1; 0025-1; 0026-8; 0027-6; 0028-4; 0029-2; 0030-6; 0031-4; 0032-2; 0033-0; 0034-9; 0035-7; 0036-5; 0037-3;</t>
  </si>
  <si>
    <t>2008-0196592-2</t>
  </si>
  <si>
    <t>SEMAITA EMPREENDIMENTOS IMOBILIARIOS LTDA.;</t>
  </si>
  <si>
    <t>09099652/0001-08;</t>
  </si>
  <si>
    <t>RUA CASA DO ATOR, 352, 358, 370, 378, 400, 408</t>
  </si>
  <si>
    <t>299094;</t>
  </si>
  <si>
    <t>0181-7; 0017-9; 0018-7; 0016-0; 0019-5;</t>
  </si>
  <si>
    <t>2009-0245317-0</t>
  </si>
  <si>
    <t>YUNY APOLLO EMPREENDIMENTOS LTDA</t>
  </si>
  <si>
    <t>10420745/0001-63;</t>
  </si>
  <si>
    <t>RUA IRLANDINO SANDOVAL , 58, 68 E S/N</t>
  </si>
  <si>
    <t>083053;</t>
  </si>
  <si>
    <t>0098-6; 0099-4; 0158-3;</t>
  </si>
  <si>
    <t>DESVINCULAÇÃO DOS 7.479 CEPACS (FL-002/14 DE 1/17/14 )</t>
  </si>
  <si>
    <t>GIULIA/19/05/2025</t>
  </si>
  <si>
    <t>2008-0237638-6</t>
  </si>
  <si>
    <t>ABITAR SPE EMPREENDIMENTOS IMOBILIARIOS S/A , ODEBRECHT S/A, EDUARDO AUGUSTO VIEIRA LEME , YOLANDA LA TORRE FEOLA, DONATA FEOLA FREIRE, JOANNA FEOLA LATORRE</t>
  </si>
  <si>
    <t xml:space="preserve">09397320/0001-00; 05144757/0001-72; </t>
  </si>
  <si>
    <t>065692318-04; 014144438-03; 267067267-00; 307724048-36</t>
  </si>
  <si>
    <t>RUA LEMOS MONTEIRO, 138, 120, 106, 88, 98, 74, 78, RUA AGOSTINHO CANTÚ, 24, 32, 40, 44, 52, 58, 62, 72, 88, 7 4, 94, 100, 106 E RUA DESEMBAGADOR ARMANDO FAIRBANKS 39, 43, 53, 59, 63, 71, 71-F, 75, 79 E 85</t>
  </si>
  <si>
    <t>200053;</t>
  </si>
  <si>
    <t>0016-7; 0045-0; 0044-2; 0017-5; 0030-2; 0027-2; 0015-9; 0014-0; 0032-8; 0031-0; 0012-4; 0006-1; 0007-8; 0036-1; 0018-3; 0019-1; 0041-8; 0042-6; 0043-4; 0037-1; 0040-1; 0039-6; 0038-8</t>
  </si>
  <si>
    <t>diz que esta cancelada , mas no processo "valido" ela nao aparece como tendo sido substituida</t>
  </si>
  <si>
    <t xml:space="preserve">ABITAR SPE EMPREENDIMENTOS IMOBILIARIOS S/A </t>
  </si>
  <si>
    <t xml:space="preserve">09397320/0001-00; </t>
  </si>
  <si>
    <t xml:space="preserve">RUA LEMOS MONTEIRO, 138, 120, 106, 88, 98, 74, 78, RUA AGOSTINHO CANTÚ, 24, 32, 40, 44, 52, 58, 62, 72 E RUA DESEMBAGADOR ARMANDO FAIRBANKS 39, 43, 53, 59, 63, 71, </t>
  </si>
  <si>
    <t>0016-7; 0045-0; 0044-2; 0017-5; 0030-2; 0027-2; 0015-9; 0014-0; 0032-8; 0031-0; 0012-4; 0006-1; 0007-8; 0036-1; 0018-3; 0019-1;</t>
  </si>
  <si>
    <t xml:space="preserve">RUA LEMOS MONTEIRO, 138, 120, 106, 88, 98, 74, 78, RUA AGOSTINHO CANTÚ, 24, 32, E RUA DESEMBAGADOR ARMANDO FAIRBANKS 39, 43, 53, </t>
  </si>
  <si>
    <t>2008-0247707-7</t>
  </si>
  <si>
    <t xml:space="preserve">MPH EMPREENDIMENTO IMOBILIÁRIO LTDA,  HELFER COMÉRCIO E PARTICIPAÇÕES LTDA, </t>
  </si>
  <si>
    <t>08486298/0001-01; 64907868/0001-52</t>
  </si>
  <si>
    <t>RUA OLIMPÍADAS 360 E RUA FIDÊNCIO RAMOS 257</t>
  </si>
  <si>
    <t>0083-4; 0065-6; 0039-7;</t>
  </si>
  <si>
    <t>PROPOSTA ADERIU SOMENTE PARA QUEBRA DE T.O. EM UMA PARTE DO TERRENO - INCIDENTE SOMENTE SOBRE O LOTE 0083</t>
  </si>
  <si>
    <t>2009-0075811-9</t>
  </si>
  <si>
    <t>VITACON EMPREENDIMENTOS LTDA</t>
  </si>
  <si>
    <t>09361394/0001-88;</t>
  </si>
  <si>
    <t>RUA DOUTOR CARDOSO DE MELO, 6226/630 E RUA GOMES DE CARVALHO</t>
  </si>
  <si>
    <t>299101;</t>
  </si>
  <si>
    <t>0093-0;</t>
  </si>
  <si>
    <t>COMPLEMENTA A CERTIDÃO FL-020/2009</t>
  </si>
  <si>
    <t>2009-0316661-1</t>
  </si>
  <si>
    <t>ZAMORA INCORPORAÇÃO LTDA</t>
  </si>
  <si>
    <t>08628993/0001-52;</t>
  </si>
  <si>
    <t>RUA GILBERTO SABINO, 171 , 177, 187, 197, 199, 207, 215, 221 RUA CAPRI, 60, 66, 68, 88</t>
  </si>
  <si>
    <t>083100;</t>
  </si>
  <si>
    <t>0080-4; 0077-4; 0076-6; 0025-1; 0027-8;  0028-6; 0029-4; 0075-8; 0018-9</t>
  </si>
  <si>
    <t>2009-0214443-6</t>
  </si>
  <si>
    <t>MAX CASA EMPREENDIMENTOS IMOBILIARIOSLTDA.</t>
  </si>
  <si>
    <t>10212829/0001-01;</t>
  </si>
  <si>
    <t>RUA RUA FIANDEIRAS, 326 E RUA CLODOMIRO AMAZONAS, 1.378, 1.382, 1.384 E 1.386</t>
  </si>
  <si>
    <t>299066;</t>
  </si>
  <si>
    <t>0116-5; 0058-4;</t>
  </si>
  <si>
    <t>2009-0296830-7</t>
  </si>
  <si>
    <t>IUNI PARTICIPAÇÕES E SERVIÇOS S/A</t>
  </si>
  <si>
    <t>08508931/0001-07;</t>
  </si>
  <si>
    <t>RUA CARDEAL ARCOVERDE E PEDRO CRISTI</t>
  </si>
  <si>
    <t>015055;</t>
  </si>
  <si>
    <t>0005-2; 0006-0; 0007-9; 0008-7; 0040-0; 0041-9; 0042-7; 0043-5; 0044-3;</t>
  </si>
  <si>
    <t>CONFERIR CERTIDÃO 022/2009 - INLCUIR DADOS, POIS ESTA CERTIDÃO SE TRATA DE RETI-RATI</t>
  </si>
  <si>
    <t>2009-0208614-2</t>
  </si>
  <si>
    <t>SP LAPIN EMPREENDIMENTOS IMOBILIARIOS LTDA.</t>
  </si>
  <si>
    <t>09026078/0001-50;</t>
  </si>
  <si>
    <t>RUA BENEDITO LAPIN, 161</t>
  </si>
  <si>
    <t>0039-4; 0065-3; 0066-1; 0067-1; 0068-6; 0092-0;</t>
  </si>
  <si>
    <t>2009-0327976-9</t>
  </si>
  <si>
    <t>RUA DOUTOR ALCEU DE CAMPOS RODRIGUES 126, RUA GUILHERME BANNITZ 201 E RUA DOUTOR JOAO CLIMACO PEREIRA 88</t>
  </si>
  <si>
    <t>016146;</t>
  </si>
  <si>
    <t>0059-7; 0039-2; 0065-1</t>
  </si>
  <si>
    <t>2009-0353717-2</t>
  </si>
  <si>
    <t>LEGACY EMPREENDIMENTOS IMOBILIARIOS LTDA</t>
  </si>
  <si>
    <t>08691907/0001-56;</t>
  </si>
  <si>
    <t>RUA PAES LEME, 136</t>
  </si>
  <si>
    <t>083212;</t>
  </si>
  <si>
    <t>0115-6;</t>
  </si>
  <si>
    <t>2009-0354976-6</t>
  </si>
  <si>
    <t>JOÃO SALLES FERREIRA ALVES; GISELDA BITTENCOURT FERREIRA ALVES; DIALOGO ENGENHARIA E CONSTRUÇÃO LTDA; OCNCIVIL CONSTRUTORA E INCORPORADORA LTDA; LUCIUS EMPREENDIMENTOS IMOBILIÁRIOS LTDA;</t>
  </si>
  <si>
    <t>57132417/0001-25; 72951130/0001-10; 46213765/0001-10;</t>
  </si>
  <si>
    <t>023483578-87; 149018338-80;</t>
  </si>
  <si>
    <t>RUA SÃO TOMÉ Nº 73</t>
  </si>
  <si>
    <t>299039;</t>
  </si>
  <si>
    <t>0068-4;</t>
  </si>
  <si>
    <t>VITOR/19/05/2025</t>
  </si>
  <si>
    <t>2009-0370036-7</t>
  </si>
  <si>
    <t>BERNE EMPREENDIMENTOS IMOBILIÁRIOS LTDA</t>
  </si>
  <si>
    <t>09257400/0001-51;</t>
  </si>
  <si>
    <t>RUA LEOPOLDO COUTO DE MAGALHÃES JÚNIOR</t>
  </si>
  <si>
    <t>016134;</t>
  </si>
  <si>
    <t>0002-0; 0032-0; 0001-2; 0031-4; 0030-6; 0029-2; 0017-9</t>
  </si>
  <si>
    <t>2008-0320243-8</t>
  </si>
  <si>
    <t>GREEN DESENVOLVIMENTO IMOBILIÁRIO LTDA</t>
  </si>
  <si>
    <t>09253140/0001-46;</t>
  </si>
  <si>
    <t>RUA GOMES DE CARVALHO Nº 850, 862 E 872</t>
  </si>
  <si>
    <t>299082;</t>
  </si>
  <si>
    <t>0007-9; 0074-5; 0075-3;</t>
  </si>
  <si>
    <t>2010-0025284-8</t>
  </si>
  <si>
    <t>EUGÊNIO DE MEDEIROS EMPREENDIMENTO IMOBILIÁRIO SPE S/A</t>
  </si>
  <si>
    <t>08856152/0001-00;</t>
  </si>
  <si>
    <t>RUA EUGÊNIO DE MEDEIROS Nº 303, 287, S/N, 263, 243, 235</t>
  </si>
  <si>
    <t>0009-3; 0010-7; 0011-5; 0012-3; 0049-2; 0091-3;</t>
  </si>
  <si>
    <t>ACA ESTÁ REGISTRADO NO CAMPO 'ACA R', PORÉM É 'ACA NR'</t>
  </si>
  <si>
    <t>2009-0286284-3</t>
  </si>
  <si>
    <t>BOLSA DE IMÓVEIS DESENVOLVIMENTO IMOBILIÁRIO LTDA</t>
  </si>
  <si>
    <t>RUA DOUTOR MÁRIO FERRAZ X RUA ADOLFO TABACOW X RUA ARAÇARI</t>
  </si>
  <si>
    <t>299002;</t>
  </si>
  <si>
    <t>0073-8; 0072-1; 0071-1; 0070-3; 0089-4; 0017-7; 0016-9</t>
  </si>
  <si>
    <t>2009-0226480-6</t>
  </si>
  <si>
    <t>EXTO HUMAITÁ EMPREENDIMENTOS IMOBILIÁRIOS SPE LTDA; CONSTRUTORA HUMAITÁ S/A</t>
  </si>
  <si>
    <t>10829878/0001-98; 60675014/0001-37;</t>
  </si>
  <si>
    <t>RUA ALVORADA Nº 109, 212, S/Nº E 153</t>
  </si>
  <si>
    <t>0590-9; 0051-6;</t>
  </si>
  <si>
    <t>2010-0140132-4</t>
  </si>
  <si>
    <t>TS-4 FLT DESENVOLVIMENTO IMOBILIÁRIO LTDA</t>
  </si>
  <si>
    <t>08074339/0001-44;</t>
  </si>
  <si>
    <t>AVENIDA BRIGADEIRO FARIA LIMA, AVENIDA HORÁCIO LAFER E RUA LOPES NETO</t>
  </si>
  <si>
    <t>299011;</t>
  </si>
  <si>
    <t>0024-9; 0028-1; 0029-1; 0030-3; 0031-1; 0033-8; 0034-6; 0037-0; 0038-9; 0039-7; 0040-0; 0041-9; 0076-1; 0077-1; 0082-6; 0083-4; 0085-0; 0099-0; 0100-8; 0101-6; 0102-6; 0103-2; 0122-9; 0127-1; 0185-7; 0188-1; 0189-1; 0223-3; 0224-1; 0225-1; 0226-8;</t>
  </si>
  <si>
    <t>2010-0157728-7</t>
  </si>
  <si>
    <t>YUNY HALLEY EMPREENDIMENTOS S.A; WALTER FRANCISCO DE ABREU; MAIRA MILENA NEVES DE OLIVEIRA ABREU; JOSÉ FRANCISCO DE ABREU JÚNIOR; SILVIA MANCIO DE CAMARGO ABREU;</t>
  </si>
  <si>
    <t>10420716/0001-56;</t>
  </si>
  <si>
    <t>029206518-38; 194703928-94; 895624968-72; 245609338-41;</t>
  </si>
  <si>
    <t>RUA CARDEAL ARCOVERDE Nº 2450, 2464, 2468, 2474 E 2478 E RUA BALTAZAR CARRASCO Nº 181</t>
  </si>
  <si>
    <t>083035;</t>
  </si>
  <si>
    <t>0050-3; 0023-6; 0012-0; 0013-9;</t>
  </si>
  <si>
    <t>VITOR/29/05/2025</t>
  </si>
  <si>
    <t>0050-3; 0023-6; 0012-0; 0013-9; 0053-8; 0054-6; 0055-4; 0056-2; 0057-0; 0058-9; 0059-7; 0060-0;</t>
  </si>
  <si>
    <t>SUBSTITUI CERTIDÃO FL-005/2011, QUE FICA CANCELADA. REQUERIMENTO CLASSIFICADO COMO VINCULAÇÃO</t>
  </si>
  <si>
    <t>SUBSTITUI CERTIDÃO FL-013/2011, QUE FICA CANCELADA.REQUERIMENTO CLASSIFICADO COMO VINCULAÇÃO</t>
  </si>
  <si>
    <t>2010-0150597-9</t>
  </si>
  <si>
    <t>TEOEMP EMPREENDIMENTOS IMOBILIÁRIOS SPE LTDA; ESPÓLIO DE MARIANGELA IASI FRACCAROLI; IRAHY GOLDSCHMIDT; ITOBY GOLDSCHMIDT; MAJOY GOLDSCHMIDT ABBONDANZA; JURANDYR ÍNDIO DO BRASIL GOLDSCHMIDT; MARIA THEREZA CALDEIRA LEITE; GERALDO SIDNEY LEITE; JOÃO BATISTA CALDEIRA (DESAPARECIDO); ESPÓLIO DE SERAFIM DOS ANJOS CALDEIRA; ESPÓLIO DE ANA DO CÉU CALDEIRA; ESPÓLIO DE TEREZA DE JESUS CALDEIRA; ESPOLIO DE MARCELINA CALDEIRA MORENO; LUCIA MARTORELLI SALLES; ANTONIO CARLOS SALLES; ROSEL Y SALLES LIMA; JOSÉ HENRIQUE SALLES; MARIA VICENTINA GALLETA SALLES; SYLVIO FERNANDO SALLES; MÁRCIA REGINA SALLES; JOSÉ BASILE;  MARIA DO CARMO BASILE; MARISA APARECIDA BASILE PACE;</t>
  </si>
  <si>
    <t>11511845/0001-68;</t>
  </si>
  <si>
    <t>029109048-65; 608836008-97; 391838748-87; 175297558-89; 020700738-15; 095409978-87; 037905338-15; 220632428-87; 657210398-68; 676849208-04; 064523658-60; 287580858-31; 287580858-31; 125215218-40; 205339358-06; 114914698-20; 165811968-19; 945820098-91;</t>
  </si>
  <si>
    <t>RUA DOS PINHEIROS, 1629, 1631, 1637, 1641, 1647, 1651, 1657, 1659, 1663, 1667, 1669, 1673 E 1677, RUA CLAUDIO SOARES, 48, 50 E 56</t>
  </si>
  <si>
    <t>0102-2; 0106-5; 0107-3; 0108-1; 0112-1;.0002-6; 0003-4; 0104-9; 0105-7; 0075-1; 0074-3; 0073-5;</t>
  </si>
  <si>
    <t>O ARQUIVO DO DUPLO CHECK NAO CONFERE COM AS INFORMAÇOES DAS CERTIDOES ( CONSTA ACA NR 750, E 412 DE CEPAC) - ENTENDO QUE DEVEMOS MANTER COMO ESTÁ NA PLANILHA - AVALIAR COM GT
CANCELA A CERTIDÃO FL-017/2010</t>
  </si>
  <si>
    <t>CANCELA A CERTIDÃO FL-017/2010 | CANCELADA PELA CERTIDÃO FL-022/2011 (OBS: NÃO LOCALIZADA NO DUPLO CHECK)</t>
  </si>
  <si>
    <t>TEOEMP EMPREENDIMENTOS IMOBILIÁRIOS SPE LTDA; ESPÓLIO DE MARIANGELA IASI FRACCAROLI; representado por sua 
Inventariante TEREZA FRACCAROLI OZORES; IRAHY GOLDSCHMIDT; ITOBY GOLDSCHMIDT; MAJOY GOLDSCHMIDT ABBONDANZA; JURANDYR ÍNDIO DO BRASIL GOLDSCHMIDT</t>
  </si>
  <si>
    <t>029109048-65; 199324768-89; 608836008-97; 391838748-87; 175297558-89; 020700738-15;</t>
  </si>
  <si>
    <t>RUA DOS PINHEIROS, 1629, 1631, 1637, 1641, 1647, 1651, 1657, 1659, 1663, 1667, 1669, 1673 E 1677, RUA CLAUDIO SOARES, 48, 50</t>
  </si>
  <si>
    <t xml:space="preserve">0102-2; 0106-5; 0107-3; 0108-1; 0112-1;.0002-6; 0003-4; 0104-9; 0105-7; 0075-1; 0074-3; </t>
  </si>
  <si>
    <t>CANCELADA PELA CERTIDÃO FL-019/2011</t>
  </si>
  <si>
    <t>2010-0171731-3</t>
  </si>
  <si>
    <t>COMPANHIA BRASILEIRA DE DISTRIBUICAO</t>
  </si>
  <si>
    <t>47508411/0001-56;</t>
  </si>
  <si>
    <t>RUAS AMARO CAVALHEIRO, RUA PAES LEME E RUA BUTANTA</t>
  </si>
  <si>
    <t>083220;</t>
  </si>
  <si>
    <t>0173-8;</t>
  </si>
  <si>
    <t>NAO CONSTA NA CERTDIDÃO O CANCELAMENTO DA NUMERO FL- 012/2011</t>
  </si>
  <si>
    <t>CANCELADA PELA CERTIDÃO FL-024/2011</t>
  </si>
  <si>
    <t>2014-0162712-5</t>
  </si>
  <si>
    <t>ROBERTO ELIAS CURY; LUIZ ROBERTO DE AZEVEDO SOARES CURY;</t>
  </si>
  <si>
    <t>008537048-72; 065417648-59;</t>
  </si>
  <si>
    <t>RUA HORÁCIO LAFER E NAPOLEÃO MICHEL</t>
  </si>
  <si>
    <t>299012;</t>
  </si>
  <si>
    <t>0125-8;</t>
  </si>
  <si>
    <t xml:space="preserve">ROBERTO ELIAS CURY; </t>
  </si>
  <si>
    <t>008537048-72;</t>
  </si>
  <si>
    <t>RUA HORACIO LAFER E RUA NAPOLEAO MICHEL</t>
  </si>
  <si>
    <t>2008-0188232-6</t>
  </si>
  <si>
    <t>FERREIRA DE ARAUJO EMPREENDIMENTO IMOBILIARIO SPE LTDA;</t>
  </si>
  <si>
    <t>09326746/0001-64;</t>
  </si>
  <si>
    <t>RUA FERREIRA DE ARAUJO, 980 E 1 000</t>
  </si>
  <si>
    <t>083177;</t>
  </si>
  <si>
    <t>0012-7; 0013-5;</t>
  </si>
  <si>
    <t>2007-0396563-4</t>
  </si>
  <si>
    <t>AVEIRO INCORPORACOES S/A;</t>
  </si>
  <si>
    <t>08274761/0001-43;</t>
  </si>
  <si>
    <t>RUA BENEDITO LAPIN, 35, 43, 51, 57, 67, 73 E 81</t>
  </si>
  <si>
    <t>0027-0; 0028-9; 0030-0; 0031-9; 0032-7; 0062-9; 0063-7;</t>
  </si>
  <si>
    <t>2008-0373940-7</t>
  </si>
  <si>
    <t>SAB VN EMPREENDIMENTOS SPE LTDA;</t>
  </si>
  <si>
    <t>09362911/0001-33;</t>
  </si>
  <si>
    <t>RUA DIOGO JACOME, 539, 553, 559, 569, 575 E 583;</t>
  </si>
  <si>
    <t>041035;</t>
  </si>
  <si>
    <t>0026-5; 0025-5; 0024-7; 0023-9; 0048-4; 0049-2;</t>
  </si>
  <si>
    <t>2010-0191930-7</t>
  </si>
  <si>
    <t>LUYMAK INCORPORAÇÕES E PARTICIPAÇÕES - EMPRESA DE PROPÓSITOS ESPECÍFICOS LTDA</t>
  </si>
  <si>
    <t>08582792/0001-61;</t>
  </si>
  <si>
    <t>RUA HORACIO LAFER, 150, 152, 160, 164 E RUA JOAQUIM FLORIANO, 141</t>
  </si>
  <si>
    <t>0020-1; 0096-1; 0095-1; 0094-3; 0051-1;</t>
  </si>
  <si>
    <t>JK 18 EMPREENDIMENTO IMOBILIÁRIO LTDA</t>
  </si>
  <si>
    <t>10145544/0001-03;</t>
  </si>
  <si>
    <t>AVENIDA PRESIDENTE JUSCELINO KUBISTCHEK  X RUA TENENTE NEGRAO X RUA DOUTOR RENATO PAES DE BARROS</t>
  </si>
  <si>
    <t>0273-5; 0274-3; 0275-1; 0276-1; 0277-8; 0278-6; 0279-4; 0280-8; 0281-6; 0282-4; 0283-2; 0284-0; 0285-9; 0286-7; 0287-5; 0288-3; 0289-1; 0290-5; 0291-3; 0292-1; 0293-1; 0294-8; 0295-6; 0296-4; 0297-2; 0298-0; 0299-9; 0300-6; 0301-4; 0302-2; 0303-0; 0304-9; 0305-7; 0306-5;</t>
  </si>
  <si>
    <t>CANCELA A CERTIDÃO FL-005/2014</t>
  </si>
  <si>
    <t>2010-0202586-5</t>
  </si>
  <si>
    <t>0043-0; 0044-9; 0045-7; 0051-1; 0054-6; 0055-4; 0056-2; 0057-0; 0080-5; 0081-3; 0082-1; 0083-1; 0084-8; 0113-5; 0172-0; 0174-7; 0219-0; 0220-4;</t>
  </si>
  <si>
    <t>entre a  ceridao 002/2021 e esse houve alteração em todos os lotes indicados 
CANCELA A CERTIDÃO FL-006/2012 | CANCELADA PELA CERTIDÃO FL-002/2021</t>
  </si>
  <si>
    <t>JK 18 EMPREENDIMENTO IMOBILIARIO LTDA</t>
  </si>
  <si>
    <t>0043-0; 0044-9; 0045-7; 0051-1; 0054-6; 0055-4; 0056-2; 0057-0; 0080-5; 0082-1;  0084-8; 0113-5; 0172-0; 0219-0; 0220-4;</t>
  </si>
  <si>
    <t>CANCELADA PELA CERTIDÃO FL-005/2014</t>
  </si>
  <si>
    <t>2010-0241078-5</t>
  </si>
  <si>
    <t>HORIZON 38 PARTICIPACOES LTDA</t>
  </si>
  <si>
    <t>10174834/0001-77;</t>
  </si>
  <si>
    <t>RUA PROFESSOR ARTUR RAMOS, 436</t>
  </si>
  <si>
    <t>083178;</t>
  </si>
  <si>
    <t>0264-7;</t>
  </si>
  <si>
    <t>2010-0249541-1</t>
  </si>
  <si>
    <t>TS-8 PARTICIPAÇÕES LTDA</t>
  </si>
  <si>
    <t>09290863/0001-15;</t>
  </si>
  <si>
    <t>RUA MARCOS LOPES, 246, 266, 272, 282, 292 X RUA NATIVIDADE, 198, 188, 180, 172, 164, 156, 154, 144, 138 X RUA SILVANIA, 215</t>
  </si>
  <si>
    <t>041055;</t>
  </si>
  <si>
    <t>0029-5; 0030-9; 0022-8; 0023-6; 0024-4; 0028-7; 0019-8; 0018-1; 0017-1; 0016-3; 0015-5; 0014-7; 0013-9; 0012-0; 0011-2; 0026-0;</t>
  </si>
  <si>
    <t>2010-0174977-0</t>
  </si>
  <si>
    <t>LUBA 2 EMPREENDIMENTOS IMOBILIÁRIOS LTDA</t>
  </si>
  <si>
    <t>10197591/0001-92;</t>
  </si>
  <si>
    <t>RUA CASA DO ATOR, 888</t>
  </si>
  <si>
    <t>299075;</t>
  </si>
  <si>
    <t>0069-9; 0070-2; 0071-0; 0072-9; 0073-7; 0074-5; 0075-3; 0076-1; 0077-1; 0078-8; 0790-1;</t>
  </si>
  <si>
    <t>2010-0276720-9</t>
  </si>
  <si>
    <t>APOENA SPE EMPREENDIMENTOS IMOBILIÁRIOS S/A</t>
  </si>
  <si>
    <t>09426689/0001-95;</t>
  </si>
  <si>
    <t>RUA QUATÁ, 339; 345; 353</t>
  </si>
  <si>
    <t>0118-3;</t>
  </si>
  <si>
    <t>2010-0266517-1</t>
  </si>
  <si>
    <t>WERNER'S PARTICIPAÇÕES LTDA</t>
  </si>
  <si>
    <t>55453732/0001-29;</t>
  </si>
  <si>
    <t>RUA FUNCHAL, 449</t>
  </si>
  <si>
    <t>299045;</t>
  </si>
  <si>
    <t>0015-9;</t>
  </si>
  <si>
    <t>2010-0266228-8</t>
  </si>
  <si>
    <t>CONSTRUTORA KAUFFMANN</t>
  </si>
  <si>
    <t>43223114/0001-03;</t>
  </si>
  <si>
    <t>RUA DR. MÁRIO FERRAZ, 364; 376; 394</t>
  </si>
  <si>
    <t xml:space="preserve">0022-2; 0023-0; 0024-9; </t>
  </si>
  <si>
    <t>2009-0371896-7</t>
  </si>
  <si>
    <t>SARDENHA INCORPORAÇÕES SPE LTDA</t>
  </si>
  <si>
    <t>10158052/0001-44;</t>
  </si>
  <si>
    <t>RUA LEOPOLDO COUTO DE MAGALHÃES JUNIOR, 695</t>
  </si>
  <si>
    <t>0023-4;</t>
  </si>
  <si>
    <t>2010-0220214-7</t>
  </si>
  <si>
    <t>JHSF INCORPORAÇÕES S/A</t>
  </si>
  <si>
    <t>RUA HORÁCIO LAFER, 500</t>
  </si>
  <si>
    <t>299013;</t>
  </si>
  <si>
    <t xml:space="preserve">0033-7; </t>
  </si>
  <si>
    <t>RETI-RATIFICAÇÃO DA CERTIDÃO FL-002/2012. CERTIDÃO FL-002/2012, DE 23/01/2012 CANCELADA E SUBSTITUÍDA, EM QUE PESE NÃO CONSTAR NA OBSERVAÇÃO</t>
  </si>
  <si>
    <t>2010-0352075-4</t>
  </si>
  <si>
    <t>MODENA INVESTIMENTOS IMOBILIÁRIOS LTDA</t>
  </si>
  <si>
    <t>09932571/0001-93;</t>
  </si>
  <si>
    <t>RUA COSTA CARVELHO Nº 166 E RUA NICOLAU GAGLIARD Nº 432 E 438</t>
  </si>
  <si>
    <t>083203;</t>
  </si>
  <si>
    <t>0040-1;</t>
  </si>
  <si>
    <t>VITOR/03/06/2025</t>
  </si>
  <si>
    <t>2010-0059829-9</t>
  </si>
  <si>
    <t>ÁGATA BRASIL EMPREENDIENTO IMOBILIÁRIO SPE LTDA</t>
  </si>
  <si>
    <t>12501065/0001-08;</t>
  </si>
  <si>
    <t>RUA FERNÃO DIAS Nº 323</t>
  </si>
  <si>
    <t>083032;</t>
  </si>
  <si>
    <t>0306-1; 0495-5; 0093-3; 0307-1; 0496-3;</t>
  </si>
  <si>
    <t>2010-0304687-4</t>
  </si>
  <si>
    <t>YONY PROJETO IMOBILIÁRIO IV LTDA</t>
  </si>
  <si>
    <t>12083578/0001-38;</t>
  </si>
  <si>
    <t>RUA CLODOMIRO AMAZONAS Nº 502 A 520</t>
  </si>
  <si>
    <t>299024;</t>
  </si>
  <si>
    <t>0001-7; 0064-5; 0152-8;</t>
  </si>
  <si>
    <t>2011-0151123-7</t>
  </si>
  <si>
    <t>KAPOK EMPREENDIMENTO IMOBILIÁRIO SPE LTDA</t>
  </si>
  <si>
    <t>09015311/0001-07;</t>
  </si>
  <si>
    <t>RUA BENTO FRIAS Nº 149, 151, 155, 161, 169, 173, 181 E RUA PERO LEÃO Nº 70, 78, 80, 90, 96, 100, 104, 110, 114, 118</t>
  </si>
  <si>
    <t>200056;</t>
  </si>
  <si>
    <t>0019-5; 0022-5; 0023-3; 0024-1; 0025-1; 0026-8; 0027-6; 0029-2; 0031-4; 0035-7; 0037-3; 0040-3; 0041-1; 0042-1; 0043-8; 0044-6;</t>
  </si>
  <si>
    <t>CANCELADA E SUBSTITUÍDA PELA FL-004/2014</t>
  </si>
  <si>
    <t>VITOR/04/06/2025</t>
  </si>
  <si>
    <t>2014-0068489-3</t>
  </si>
  <si>
    <t>IDENTIFICAÇÃO DA QUANTIDADE DE CEPACS NO DUPLOCHECK</t>
  </si>
  <si>
    <t>2011-0117818-0</t>
  </si>
  <si>
    <t>TRIPLE A EMPREENDIMENTOS IMOBILIÁRIOS LTDA; MARIA REGINA DA NOVA MELLONE; JOSÉ ARNALDO MELLONE JÚNIOR; EDUARDO DA NOVA MELLONE; ANA LÚCIA ALBERTO MELLONE; ANTONIO MELLONE NETO; OLGA CHAMEH MELLONE; MARIA CECÍLIA CARPARELLI ARIANO; PAULO ROBERTO CUCOLO ARIANO; DORA MELLONE CARPARELLI; MARIA DO CARMA CARPARELLI TEISSEIRE</t>
  </si>
  <si>
    <t>09013470/0001-64;</t>
  </si>
  <si>
    <t>255274868-62;  060071088-21; 054695198-80; 054695218-69; 091333668-88; 087709188-99;  294707178-64; 204455558-15;  146299948- 
40; 041931818-63;</t>
  </si>
  <si>
    <t>RUA RAMOS BATISTA Nº 153 E AVENIDA PRESIDENTE JUSCELINO KUBITSCHEK Nº 1545 E 1569</t>
  </si>
  <si>
    <t>0099-6; 0434-7; 0058-9;</t>
  </si>
  <si>
    <t>010.</t>
  </si>
  <si>
    <t>EMPREENDIMENTO DE USO MISTO, MAS SÓ TEM ACA-R</t>
  </si>
  <si>
    <t>2010-0272090-3</t>
  </si>
  <si>
    <t>TRENTINO EMPREENDIMENTOS IMOBILIÁRIOS LTDA</t>
  </si>
  <si>
    <t>09326762/0001-57;</t>
  </si>
  <si>
    <t>RUA BENEDITO LAPIN Nº 123</t>
  </si>
  <si>
    <t>0009-2; 0010-6; 0023-8; 0124-2; 0125-0; 0128-5; 0129-3; 0130-7; 0038-6;</t>
  </si>
  <si>
    <t>RETI-RATI</t>
  </si>
  <si>
    <t>2011-0232457-0</t>
  </si>
  <si>
    <t>CONSTRUTORA CANOPUS SAO PAULO LTDA.;</t>
  </si>
  <si>
    <t>01466445/0001-24;</t>
  </si>
  <si>
    <t>RUA JOAO CACHOEIRA, 1559 A 1585</t>
  </si>
  <si>
    <t>299054;</t>
  </si>
  <si>
    <t>0306-8;</t>
  </si>
  <si>
    <t>2011-0267100-9</t>
  </si>
  <si>
    <t>RED SEAS INVESTIMENTOS LTDA.; FERNANDO DE SOUSA REIS FILHO;</t>
  </si>
  <si>
    <t>08779302/0001-11;</t>
  </si>
  <si>
    <t>271909278-91;</t>
  </si>
  <si>
    <t>AVENIDA HORACIO LAFER E RUA PROFESSOR ATILIO INNOCENTI;</t>
  </si>
  <si>
    <t>299127;</t>
  </si>
  <si>
    <t>0023-4; 0013-7; 0014-5; 0015-3; 0016-1; 0017-1; 0018-8; 0019-6; 0020-1; 0021-8; 0022-6; 0011-0; 0001-3; 0002-1;</t>
  </si>
  <si>
    <t>CANCELADA PELA CERTIDÃO FL-007/2014</t>
  </si>
  <si>
    <t>2014-0162912-8</t>
  </si>
  <si>
    <t>CANCELA A CERTIDÃO FL-003/2012 | CANCELADA PELA CERTIDÃO FL-006/2020</t>
  </si>
  <si>
    <t>RED SEAS INVESTIMENTOS LTDA.;</t>
  </si>
  <si>
    <t>AVENIDA BRIGADEIRO FARIA LIMA S/N; AVENIDA HORACIO LAFER S/N; RUA PROFESSOR ATILIO INNOCENTI S/N</t>
  </si>
  <si>
    <t>0023-4; 0013-7; 0014-5; 0015-3; 0016-1; 0017-1; 0018-8; 0019-6; 0020-1; 0021-8; 0022-6; 0011-0; 0001-3; 0002-1; 0003-1; 0004-8;</t>
  </si>
  <si>
    <t>CANCELA A CERTIDÃO FL-007/2014</t>
  </si>
  <si>
    <t>2011-0354707-7</t>
  </si>
  <si>
    <t>GAFISA S/A.</t>
  </si>
  <si>
    <t>RUA FERREIRA ARAUJO, 548, 576, 592;</t>
  </si>
  <si>
    <t>083174;</t>
  </si>
  <si>
    <t>0802-7; 0037-9; 0761-6; 0030-1;</t>
  </si>
  <si>
    <t>2012-0121517-5</t>
  </si>
  <si>
    <t>TF 40 EMPREENDIMENTO IMOBILIARIO LTDA.;</t>
  </si>
  <si>
    <t>13199418/0001-11;</t>
  </si>
  <si>
    <t>RUA PEQUETITA, 111;</t>
  </si>
  <si>
    <t>299035;</t>
  </si>
  <si>
    <t>1339-7;</t>
  </si>
  <si>
    <t xml:space="preserve">NÚMERO DO PROCESSO NÃO ENCONTRADO </t>
  </si>
  <si>
    <t>2012-0300966-2</t>
  </si>
  <si>
    <t>RENATO PAES DE BARROS EMPREENDIMENTO IMOBILIARIO SPE LTDA.;</t>
  </si>
  <si>
    <t>08771895/0001-70;</t>
  </si>
  <si>
    <t>RUA RENATO PAES DE BARROS, 943, 955 E 965; RUA ANDRE GONCALVES 100; RUA PAULA DE OLIVEIRA, 09, 23, 31 E 45;</t>
  </si>
  <si>
    <t>016140;</t>
  </si>
  <si>
    <t>0001-8; 0002-6; 0003-4; 0004-2; 0005-0; 0006-9; 0007-7; 0008-5;</t>
  </si>
  <si>
    <t>2012-0310813-0</t>
  </si>
  <si>
    <t>VITACON PARTICIPACOES LTDA</t>
  </si>
  <si>
    <t>11144772/0001-13;</t>
  </si>
  <si>
    <t>RUA GOMES DE CARVALHO, 1146, 1152, 1156</t>
  </si>
  <si>
    <t>0073-2; 0061-9; 0006-6; 0007-4;</t>
  </si>
  <si>
    <t>CANCELADA PELA CERTIDÃO FL-010/2014 (CORRIGIDA A DISTRIBUIÇÃO DE CEPAC, CFME CERTIDÃO)</t>
  </si>
  <si>
    <t>PRISCILA/27/06/2025</t>
  </si>
  <si>
    <t>2014-0024811-2</t>
  </si>
  <si>
    <t>CANCELA A CERTIDÃO FL-003/2013</t>
  </si>
  <si>
    <t>2012-0329501-0</t>
  </si>
  <si>
    <t>VITACON PARTICIPACOES LTDA; ROMEU LOURENCO FUGAS QUELHAS; ARMINDA NASCIMENTO QUELHAS</t>
  </si>
  <si>
    <t>115222168-04; 946699708-44;</t>
  </si>
  <si>
    <t>RUA CASA DO ATOR, 829, 833</t>
  </si>
  <si>
    <t>0030-3; 0025-7;</t>
  </si>
  <si>
    <t>2012-0356401-1</t>
  </si>
  <si>
    <t>REDE D'OR SAO LUIZ S/A</t>
  </si>
  <si>
    <t>06047087/0001-39;</t>
  </si>
  <si>
    <t>RUA DESEMBARGADOR AGUIAR VALIM, 104, 112, 118, 128, 132, 142, 144, 152, 158</t>
  </si>
  <si>
    <t>016162;</t>
  </si>
  <si>
    <t>0062-6; 0063-4; 0064-2; 0065-0; 0066-9; 0067-7; 0014-6; 0015-4; 0016-2;</t>
  </si>
  <si>
    <t>CANCELADA PELA CERTIDÃO FL-008/2017</t>
  </si>
  <si>
    <t>2017-0115952-6</t>
  </si>
  <si>
    <t>CANCELA A CERTIDÃO FL-006/2013</t>
  </si>
  <si>
    <t>2013-0069763-2</t>
  </si>
  <si>
    <t>FREDERICO HERMAN EMPREENDIMENTO IMOBILIARIO SPE LTDA; BENTO LUIZ ASSALVE; MARIA CRISTINA BARREIROS ASSALVE; MARIO SERGIO NUNES PERES; MARGE CARDOSO DE ALMEIDA PERES; G9 EMPREENDIMENTOS IMOBILIARIOS LTDA;</t>
  </si>
  <si>
    <t>09015608/0001-64; 11063606/0001-92</t>
  </si>
  <si>
    <t>522218498-68; 903654708-30; 074964508-39; 026123048-43</t>
  </si>
  <si>
    <t>AVENIDA FREDERICO HERMAN JUNIOR, 67</t>
  </si>
  <si>
    <t>083028;</t>
  </si>
  <si>
    <t>0001-5; 0006-6;</t>
  </si>
  <si>
    <t>COMPLEMENTADA PELA CERTIDÃO FL-003/2015</t>
  </si>
  <si>
    <t>2015-0038616-9</t>
  </si>
  <si>
    <t>AVENIDA PROFESSOR FREDERICO HERMAN JUNIOR, 67</t>
  </si>
  <si>
    <t>COMPLEMENTA A CERTIDÃO FL-005/2013</t>
  </si>
  <si>
    <t>2014-0016991-3</t>
  </si>
  <si>
    <t>RELT SPE 002 EMPREENDIMENTOS IMOBILIARIOS LTDA</t>
  </si>
  <si>
    <t>16918891/0001-08;</t>
  </si>
  <si>
    <t>AVENIDA EUSEBIO MATOSO, 178 A 240</t>
  </si>
  <si>
    <t>015093;</t>
  </si>
  <si>
    <t>0022-8; 0024-4; 0037-6; 0038-4;</t>
  </si>
  <si>
    <t>2014-0086055-1</t>
  </si>
  <si>
    <t>HESA 71 INVESTIMENTOS IMOBILIARIOS LTDA</t>
  </si>
  <si>
    <t>10520581/0001-46;</t>
  </si>
  <si>
    <t>RUA GUILHERME BANNITZ,60; AVENIDA SANTO AMARO, 594, 600, 604, 608, 616, 622, 632, 636, 640</t>
  </si>
  <si>
    <t>016147;</t>
  </si>
  <si>
    <t>0002-8; 0022-2; 0003-6; 0004-4; 0024-9;</t>
  </si>
  <si>
    <t>CANCELADA PELA CERTIDÃO FL-011/2014</t>
  </si>
  <si>
    <t>PRISCILA/03/07/2025</t>
  </si>
  <si>
    <t>CANCELA A CERTIDÃO FL-003/2014</t>
  </si>
  <si>
    <t>2014-0086038-1</t>
  </si>
  <si>
    <t>HBR 15 INVESTIMENTOS IMOBILIARIOS LTDA</t>
  </si>
  <si>
    <t>16704756/0001-51;</t>
  </si>
  <si>
    <t>RUA FUNCHAL, 65</t>
  </si>
  <si>
    <t>0057-0;</t>
  </si>
  <si>
    <t>2017-0059226-9</t>
  </si>
  <si>
    <t>TRISUL CELATRUS EMPREENDIMENTOS IMOBILIARIOS SPE LTDA</t>
  </si>
  <si>
    <t>13299397/0001-06;</t>
  </si>
  <si>
    <t>RUA EUGENIO DE MEDEIROS, 601-629</t>
  </si>
  <si>
    <t>083097;</t>
  </si>
  <si>
    <t>0045-8;</t>
  </si>
  <si>
    <t>CANCELA A CERTIDÃO FL-012/2014</t>
  </si>
  <si>
    <t>2014-0293158-8</t>
  </si>
  <si>
    <t>CANCELADA PELA CERTIDÃO FL-005/2017</t>
  </si>
  <si>
    <t>2014-0301041-9</t>
  </si>
  <si>
    <t>INSPER - INSTITUTO DE ENSINO E PESQUISA</t>
  </si>
  <si>
    <t>06070152/0001-47;</t>
  </si>
  <si>
    <t>RUA QUATA, 186, 200, 202, 214, 226, 236 E 246 X RUA UBERABINHA,  26, 30, 40, 44, 50</t>
  </si>
  <si>
    <t>299095;</t>
  </si>
  <si>
    <t>0024-6; 0025-4; 0026-2; 0027-0; 0028-9; 0029-7; 0144-7; 0143-9; 0032-7; 0031-9; 0033-5; 0051-3;</t>
  </si>
  <si>
    <t>2017-0114164-3</t>
  </si>
  <si>
    <t>SEISA MESTER EMPREENDIMENTOS IMOBILIARIOS LTDA</t>
  </si>
  <si>
    <t>60619210/0001-94;</t>
  </si>
  <si>
    <t>RUA PAES LEME, 291 E 303 X RUA AMARO CAVALHEIRO, 333 E 339</t>
  </si>
  <si>
    <t>0020-0; 0021-9; 0331-5; 0333-1;</t>
  </si>
  <si>
    <t>A área de terreno considerada para cálculo de contrapartida em CEPAC é de 2.881,20m</t>
  </si>
  <si>
    <t>2015-0011622-6</t>
  </si>
  <si>
    <t>RUA PAES LEME X RUA AMARO CAVALHEIRO</t>
  </si>
  <si>
    <t>duplo check so consta aca residencial
CANCELADA PELA CERTIDÃO FL-002/2018</t>
  </si>
  <si>
    <t>FLCJ SPE EMPREENDIMENTO IMOBILIÁRIO LTDA</t>
  </si>
  <si>
    <t>2015-0036226-0</t>
  </si>
  <si>
    <t>BODRUM EMPREENDIMENTOS IMOBILIARIOS LTDA</t>
  </si>
  <si>
    <t>15369331/0001-70;</t>
  </si>
  <si>
    <t>AVENIDA HORACIO LAFER, 50, 60, 62 E 74</t>
  </si>
  <si>
    <t>0009-9; 0010-2; 0092-7;</t>
  </si>
  <si>
    <t>DIVISÃO DE CEPACS CONFORME PLANILHA DE ESTOQUE CONSUMIDOS (DUPLO CHECK)</t>
  </si>
  <si>
    <t>2015-0181472-5</t>
  </si>
  <si>
    <t>GT-11 EMPREENDIMENTOS IMOBILIARIOS S/A</t>
  </si>
  <si>
    <t>17849612/0001-56;</t>
  </si>
  <si>
    <t>AVENIDA SANTO AMARO, 1302 E 1308</t>
  </si>
  <si>
    <t>0097-3; 0030-2; 0033-7;</t>
  </si>
  <si>
    <t>NATIN DESENVOLVIMENTO IMOBILIARIO LTDA</t>
  </si>
  <si>
    <t>23853737/0001-52;</t>
  </si>
  <si>
    <t>RUA VUPABUSSU, 210 X RUA NATINGUI, 1503</t>
  </si>
  <si>
    <t>083015;</t>
  </si>
  <si>
    <t>0011-5; 0012-3; 0015-8;</t>
  </si>
  <si>
    <t>CANCELA A CERTIDÃO FL-006/2019</t>
  </si>
  <si>
    <t>RUA NATINGUI, 1503 E 15019 X RUA VUPABUSSU, 22</t>
  </si>
  <si>
    <t>CANCELA A CERTIÃO FL-009/2015 | CANCELADA PELA CERTIDÃO FL-018/2020</t>
  </si>
  <si>
    <t>2015-0287563-9</t>
  </si>
  <si>
    <t>POLLUX SP EMPREENDIMENTO IMOBILIARIO LTDA</t>
  </si>
  <si>
    <t>19014268/0001-00;</t>
  </si>
  <si>
    <t>RUA NATINGUI, 15019</t>
  </si>
  <si>
    <t>0012-3; 0015-8;</t>
  </si>
  <si>
    <t>CANCELADA PELA CERTIDÃO FL-006/2019</t>
  </si>
  <si>
    <t>2015-0214227-5</t>
  </si>
  <si>
    <t>VITACON 18 DESENVOLVIMENTO IMOBILIARIO LTDA</t>
  </si>
  <si>
    <t>12810205/0001-11;</t>
  </si>
  <si>
    <t>RUA ALVORADA 1217, 1225, 1227 E 1241 X RUA CARMONTELLE, 1, 3, 3A, E 3B</t>
  </si>
  <si>
    <t xml:space="preserve">0036-8; 0037-6; 0039-2; 0040-6; 0041-4; 0042-2; </t>
  </si>
  <si>
    <t>2015-0218743-0</t>
  </si>
  <si>
    <t>TRISUL SPIGELIA EMPREENDIMENTOS IMOBILIARIOS SPE LTDA</t>
  </si>
  <si>
    <t xml:space="preserve">13334551/0001-33; </t>
  </si>
  <si>
    <t>AVENIDA SANTO AMARO, 1446, 1450, 1452, 1454, 1456, 1462, 1464, 1468, 1472, 1476, 1480 E 1486 X RUA FIANDEIRAS, 48</t>
  </si>
  <si>
    <t>0018-3; 0019-1; 0093-0; 0092-2; 0091-4; 0069-8; 0265-8;</t>
  </si>
  <si>
    <t>2016-0042225-6</t>
  </si>
  <si>
    <t>2015-0328809-5</t>
  </si>
  <si>
    <t>MULTILLIANCE EMPREENDIMENTOS E PARTICIPAÇÕES IMOBILIÁRIAS LTDA;ENGEDISA EMPREENDIMENTOS IMOBILIÁRIOS LTDA</t>
  </si>
  <si>
    <t>03561702/0001-32;47677075/0001-75;</t>
  </si>
  <si>
    <t>RUA FUNCHAL; RUA GOMES DE CARVALHO</t>
  </si>
  <si>
    <t>0044-2;</t>
  </si>
  <si>
    <t>EMPREENDIMENTO MISTO. AQUISICÃO ACA R. CANCELADA E SUBSTITUÍDA PELA CERTIDÃO 006/2016</t>
  </si>
  <si>
    <t>CANCELA E SUBSTITUI 008/2015</t>
  </si>
  <si>
    <t>2015-0290656-9</t>
  </si>
  <si>
    <t>17348100/0001-06;</t>
  </si>
  <si>
    <t>RUA PROFESSOR ARTUR RAMOS</t>
  </si>
  <si>
    <t>SÃO JOSÉ DESENVOLVIMENTO IMOBILIÁRIO 52 LTDA</t>
  </si>
  <si>
    <t>0048-5;</t>
  </si>
  <si>
    <t>2017-0103080-9</t>
  </si>
  <si>
    <t>BI SÃO PAULO EMPREENDIMENTOS IMOBILIÁRIOS LTDA; BOLSA DE IMÓVEIS DESENVOLVIMENTO IMOBILIÁRIO LTDA</t>
  </si>
  <si>
    <t>17888899/0001-23; 04913697/0001-42;</t>
  </si>
  <si>
    <t>RUA CLODOMIRO AMAZONAS, 435 E 443; RUA COUTO DE MAGALHÃES, 611, 613, 619, 623, 629, 633</t>
  </si>
  <si>
    <t>0020-9; 00021-7; 0023-3; 0024-1; 0025-1; 0026-8; 0027-6; 0028-4</t>
  </si>
  <si>
    <t>2018-0025238-9</t>
  </si>
  <si>
    <t>2016-0020469-0</t>
  </si>
  <si>
    <t>SÃO JOSÉ DESENVOLVIMENTO IMOBILIÁRIO 16 LTDA</t>
  </si>
  <si>
    <t>08899220/0001-00;</t>
  </si>
  <si>
    <t>RUA FREDERICH CHOPPIN, 201, 215, 217; AVENIDA CIDADE JARDIM, 958, 966, 976, 1000, 1010, 1030, 1038, 1040</t>
  </si>
  <si>
    <t>083206;</t>
  </si>
  <si>
    <t>0016-2; 0017-0; 0018-9; 0019-7; 0020-0; 0033-2; 0034-0; 0035-9; 062-6; 0063-4; 0064-2</t>
  </si>
  <si>
    <t>2016-0055761-5</t>
  </si>
  <si>
    <t>DIÁLOGO ENGENHARIA E CONSTRUÇÃO LTDA</t>
  </si>
  <si>
    <t>57132417/0001-25;</t>
  </si>
  <si>
    <t>RUA DOUTOR EDUARDO DE SOUZA ARANHA, 310, 318, 326; RUA BANDEIRA PAULISTA, 1006, 1018, 1036, 1038</t>
  </si>
  <si>
    <t>016137;</t>
  </si>
  <si>
    <t>0047-4; 0002-4; 0003-2; 0046-6; 0065-2; 0061-1; 0060-1;</t>
  </si>
  <si>
    <t>CANCELADA E SUBSTITUÍDA PELA CERTIDÃO FL-005/2018</t>
  </si>
  <si>
    <t>2018-0036238-9</t>
  </si>
  <si>
    <t>CANCELA E SUBSTITUI A CERTIDÃO FL-004/2016; CANCELADA E SUBSTITUÍDA PELA CERTIDÃO FL-002/2019</t>
  </si>
  <si>
    <t>CANCELA E SUBSTITUI A CERTIDÃO FL-005/2018</t>
  </si>
  <si>
    <t>2016-0174371-4</t>
  </si>
  <si>
    <t>RUA FRANZ SCHUBERT, 184</t>
  </si>
  <si>
    <t>2016-0201177-6</t>
  </si>
  <si>
    <t>CYRELA PORTUGAL EMPREENDIMENTOS IMOBILIÁRIOS LTDA</t>
  </si>
  <si>
    <t>07545084/0001-98;</t>
  </si>
  <si>
    <t>RUA LEOPOLDO COUTO DE MAGALHÃES JÚNIOR, S/N.º; ESQUINA COM RUA JUSSAPE</t>
  </si>
  <si>
    <t>299015;</t>
  </si>
  <si>
    <t>0461-7;</t>
  </si>
  <si>
    <t>NÃO CONSTOU A ACA R NA CERTIDÃO. ACA EXTRAÍDA DO DUPLO CHECK</t>
  </si>
  <si>
    <t>LUBA 15 DESENVOLVIMENTO IMOBILIÁRIO LTDA</t>
  </si>
  <si>
    <t>14696095/0001-34;</t>
  </si>
  <si>
    <t>RUA SANTA JUSTINA, RUA DOUTOR IVO DEFINE FRASCA, AVENIDA SANTO AMARO, 1.130, 1.132, 1.142, 1.150</t>
  </si>
  <si>
    <t>299055;</t>
  </si>
  <si>
    <t>0298-8;</t>
  </si>
  <si>
    <t>ACA R ARREDONDADA DE 2.481,776 PARA 2.481,78</t>
  </si>
  <si>
    <t>11731233/0001-80; 04572018/0001-19;</t>
  </si>
  <si>
    <t>SAL ADMINISTRAÇÃO E INCORPORAÇÃO LTA; BES EMPREENDIMENTOS E PARTICIPAÇÕES LTDA; MHB ADMINISTRAÇÃO E PARTICIPAÇÕES LTDA; LÚCIO ROBERTO BRESSER SROUR</t>
  </si>
  <si>
    <t>RUA DIOGO JACOME, 806, 818</t>
  </si>
  <si>
    <t>0066-8; 0068-4;  0069-2; 0070-6; 0071-4; 0072-2; 0073-0; 0074-9; 0075-7; 0076-5; 0077-3; 0078-1; 0079-1; 0080-3; 0081-1; 0002-1; 0025-0; 0032-3; 0024-2; 0122-2; 0120-6; 0121-4;  0028-5; 0123-0; 0120-6; 0060-9; 0061-7; 0062-5; 0063-3; 0120-6; 0033-1;  0017-1; 0036-6</t>
  </si>
  <si>
    <t>JUNÇÃO DA PROPOSTA FL-0332</t>
  </si>
  <si>
    <t>CANCELA E SUBSTITUI A CERTIDÃO FL-001/2019.</t>
  </si>
  <si>
    <t>BOLSA IX EMPREENDIMENTOS IMOBILIÁRIOS LTDA</t>
  </si>
  <si>
    <t>16599215/0001-00;</t>
  </si>
  <si>
    <t>AVENIDA HORÁCIO LÁFER, 383, ESQUINA COM RUA LOPES NETO</t>
  </si>
  <si>
    <t>299017;</t>
  </si>
  <si>
    <t>0020-3;</t>
  </si>
  <si>
    <t>CANELADA E SUBSTITUÍDA PELA CERTIDÃO FL-009/2019</t>
  </si>
  <si>
    <t>AVENIDA HORÁCIO LÁFER, 383</t>
  </si>
  <si>
    <t>CANCELA E SUBSTITUÍ A CERTIDÃO FL-004/2019</t>
  </si>
  <si>
    <t>2017-0185479-8</t>
  </si>
  <si>
    <t>LÚCIO  SERPA EMPREENDIMENTO IMOBILIÁRIO SPE LTDA</t>
  </si>
  <si>
    <t>15358902/0001-71;</t>
  </si>
  <si>
    <t>RUA SUMIDOURO Nº 55, 67, 73, 77, 85, 87, 89 E RUA PADRE CARVALHO Nº 635, 639/647, 563, 661</t>
  </si>
  <si>
    <t>083044;</t>
  </si>
  <si>
    <t>0031-6; 0032-4; 0037-5; 0038-3; 0039-1; 0040-5; 0041-3; 0042-1; 0044-8; 0046-4; 0055-3;</t>
  </si>
  <si>
    <t>VITOR/13/06/2025</t>
  </si>
  <si>
    <t>2017-0134508-7</t>
  </si>
  <si>
    <t>TRISUL MUTISIA EMPREENDIMENTOS IMOBILIÁRIOS SPE LTDA</t>
  </si>
  <si>
    <t>13334572/0001-59;</t>
  </si>
  <si>
    <t>RUA PROFESSOR VAHIA DE ABREU Nº 19, 21, 31, 33, 41, 53</t>
  </si>
  <si>
    <t>299115;</t>
  </si>
  <si>
    <t>0029-0; 0030-4; 0031-2; 0034-7; 0037-1; 0065-7;</t>
  </si>
  <si>
    <t>CALCELADA E SUBSTITUÍDA POR FL-001/2018</t>
  </si>
  <si>
    <t>2018-0003879-4</t>
  </si>
  <si>
    <t>CI 0002 EMPREENDIMENTOS IMOBILIÁRIOS S/A</t>
  </si>
  <si>
    <t>26307659/0001-89;</t>
  </si>
  <si>
    <t>RUA LEOPOLDO COUTO DE MAGALHÃES Nº 1185</t>
  </si>
  <si>
    <t>0125-2; 0126-0; 0139-2;</t>
  </si>
  <si>
    <t>JAC INCORPORAÇÃO E CONSTRUÇÃO SPE LTDA</t>
  </si>
  <si>
    <t>29247473/0001-70;</t>
  </si>
  <si>
    <t>AVENIDA SABIÁ Nº 20, 26, 28, 38, 40 X RUA DIOGO JACOME Nº 763, 775, 785, 797</t>
  </si>
  <si>
    <t>041060;</t>
  </si>
  <si>
    <t>0035-0; 0036-9; 0037-7; 0038-5; 0039-3; 0040-7; 0105-5;</t>
  </si>
  <si>
    <t>M. A. R. MARSELHA DESENVOLVIMENTO IMOBILIÁRIO LTDA</t>
  </si>
  <si>
    <t>20125711/0001-08;</t>
  </si>
  <si>
    <t>AVENIDA DOUTOR HÉLIO PELEGRINO 568, 578, S/Nº COM RUA QUIÇABA 97, 103, 109, 119, 135, 147</t>
  </si>
  <si>
    <t>041057;</t>
  </si>
  <si>
    <t>0011-1; 0012-1; 0015-4; 0018-9; 0039-1; 0040-5; 0041-3; 0042-1</t>
  </si>
  <si>
    <t>CANCELADA E SUBSTITUÍDA POR FL-007/2020</t>
  </si>
  <si>
    <t>CANCELADA E SUBSTITUÍDA POR FL-017/2020</t>
  </si>
  <si>
    <t>7810.2020/0000570-5</t>
  </si>
  <si>
    <t>ROTTERDAM EMPREENDIMENTO E PARTICIPAÇÕES SPE LTDA</t>
  </si>
  <si>
    <t>17316689/0001-60;</t>
  </si>
  <si>
    <t>AVENIDA HÉLIO PELEGRINO X RUA MARCOS LOPES, Nº 277, 287, 289, 297, 305, 311, 317, 325, 337, 345, 365 X RUA QUIÇABA Nº 106, 112</t>
  </si>
  <si>
    <t>041056;</t>
  </si>
  <si>
    <t>0013-3; 0014-1; 0016-8; 0019-2; 0020-6; 0021-4; 0022-2; 0027-3; 0028-1; 0042-7; 0043-5; 0049-4; 0050-8;</t>
  </si>
  <si>
    <t>CANCELADA E SUBSTITUÍDA POR FL-021/2020</t>
  </si>
  <si>
    <t>ROTTERDAM EMPREENDIMENTO E PARTICIPAÇÕES SPE LTDA; GIULIANO PACHECO BERTOLUCCI; OSCAR DOS SANTOS EMBOABA JÚNIOR; LUDIMILA DE SOUZA MIZUNO EMBOABA; JAMES MARCOS DE OLIVEIRA; KAREN SPINOLA CAETANO DE OLIVEIRA</t>
  </si>
  <si>
    <t>135638198-74; 389364258-70; 381581348-40; 170071038-98; 024102717-90;</t>
  </si>
  <si>
    <t>SPE BANDEIRA INCORPORAÇÃO S. A.</t>
  </si>
  <si>
    <t>12348138/0001-65;</t>
  </si>
  <si>
    <t>RUA DOUTOR EDUARDO DE SOUZA ARANHA Nº 242, 246, 252, 260 E RUA BANDEIRA PAULISTA Nº 995, 1005, 1009</t>
  </si>
  <si>
    <t>016067;</t>
  </si>
  <si>
    <t>0064-5; 0084-1; 0085-8; 0365-2;</t>
  </si>
  <si>
    <t>PROCESSOS RELACIONADOS: 7810.2019/0001114-2;1010.2019/0002314-5;</t>
  </si>
  <si>
    <t>VITOR/16/06/2025</t>
  </si>
  <si>
    <t>CANCELA E SUBSTITUI FL-001/2020</t>
  </si>
  <si>
    <t>PARTAGE EMPREENDIMENTOS E PARTICIPACOES S/A.</t>
  </si>
  <si>
    <t>01987230/0001-59;</t>
  </si>
  <si>
    <t>RUA PROFESSOR ATILIO INNOCENTI; RUA CALIMAQUE; AVENIDA BRIGADEIRO FARIA LIMA</t>
  </si>
  <si>
    <t>299129;</t>
  </si>
  <si>
    <t>0019-5;</t>
  </si>
  <si>
    <t>AMANDA/23/06/2025</t>
  </si>
  <si>
    <t>7810.2019/0001000-6</t>
  </si>
  <si>
    <t>VILLAGIO 31 EMPREENDIMENTO IMOBILIARIO SPE LTDA.</t>
  </si>
  <si>
    <t>29040291/0001-23;</t>
  </si>
  <si>
    <t>RUA PROFESSOR ARTHUR RAMOS, 100; RUA FREI GALVAO, 67;</t>
  </si>
  <si>
    <t>083067;</t>
  </si>
  <si>
    <t>0049-1; 0052-1; 0053-8; 0054-6;</t>
  </si>
  <si>
    <t>SEQ11 EMPREENDIMENTOS IMOBILIARIOS LTDA.</t>
  </si>
  <si>
    <t>31694506/0001-71;</t>
  </si>
  <si>
    <t>RUA JOAQUIM FLORIANO, 1117, 1119, 1125 E 1137</t>
  </si>
  <si>
    <t>0052-8; 0053-6; 0054-4; 0055-2;</t>
  </si>
  <si>
    <t>CANCELADA PELA CERTIDÃO FL-022/2020</t>
  </si>
  <si>
    <t>CANCELA A CERTIDÃO FL-002/2020 | CANCELADA PELA CERTIDÃO FL-001/2021</t>
  </si>
  <si>
    <t>CANCELA A CERTIDÃO FL-022/2020</t>
  </si>
  <si>
    <t>7810.2019/0001061-8</t>
  </si>
  <si>
    <t>PMJ EMPREENDIMENTOS IMOBILIARIOS S.A.</t>
  </si>
  <si>
    <t>07440775/0001-27;</t>
  </si>
  <si>
    <t>RUA DESEMBARGADOR AGUIAR VALIM, 125, 135 E 145; RUA DOUTOR SODRE, 72, 82, 84, 94 E 106</t>
  </si>
  <si>
    <t>016163;</t>
  </si>
  <si>
    <t xml:space="preserve">0007-8; 0008-6; 0027-2; 0028-0; 0029-9; 0094-9; 0095-7; </t>
  </si>
  <si>
    <t>7810.2019/0001144-4</t>
  </si>
  <si>
    <t>SAO JOSE DESENVOLVIMENTO IMOBILIARIO 20 LTDA.</t>
  </si>
  <si>
    <t>08973230/0001-49;</t>
  </si>
  <si>
    <t>RUA FERNANDES DE ABREU, 172, 182, 188, 192, 198, 200, 204, CASAS 01, 02, 03, 04 COM ENTRADA PELA RUA FERNANDES DE ABREU, 208; RUA DOS GARIMPEIROS, 58, 48, 44, 40 E RUA LEOPOLDO COUTO DE MAGALHAES JUNIOR, 1265, 1285, S/N, E 1287</t>
  </si>
  <si>
    <t>0011-3; 0012-1; 0013-1; 0015-6; 0016-4; 0017-2; 0018-0; 0019-9; 0020-2; 0021-0; 0022-9; 0023-7; 0040-7; 0041-5; 0054-7; 0055-5; 0088-1; 0089-1;</t>
  </si>
  <si>
    <t>CANCELADA PELA CERTIDÃO FL-010/2021</t>
  </si>
  <si>
    <t>CANCELA A CERTIDÃO FL-008/2021 - REDUÇÃO DE ACA E CEPAC - POSSÍVEL DESVINCULAÇÃO</t>
  </si>
  <si>
    <t>BREF III EMPREENDIMENTOS IMOBILIARIOS 4 S.A.; BREF III EMPREENDIMENTOS IMOBILIARIOS S.A.; BREF III EMPREENDIMENTOS IMOBILIARIOS 6 S.A.</t>
  </si>
  <si>
    <t>27187796/0001-05; 27317522/0001-78; 27317722/0001-20;</t>
  </si>
  <si>
    <t>RUA LEOPOLDO COUTO DE MAGALHAES JUNIOR; RUA DOUTOR CHAFIK JUVENAL CHEDE; AVENIDA PRESIDENTE JUSCELINO KUBITSCHEK; RUA JOÃO CACHOEIRA, COM FRENTE PARA A RUA MARIANO AMORIM CARRAO</t>
  </si>
  <si>
    <t>0159-4;</t>
  </si>
  <si>
    <t>COMERCIAL RUBAIYAT LTDA.; ESPOLIO DE BELAMINO FERNANDES IGLESIAS;</t>
  </si>
  <si>
    <t>61585295/0001-08;</t>
  </si>
  <si>
    <t>012558178-52;</t>
  </si>
  <si>
    <t>RUA LEOPOLDO COUTO DE MAGALHAES JUNIOR, 1136 E 1142; RUA JUSSEAPE, 11 E 13</t>
  </si>
  <si>
    <t>0045-4; 0046-2; 0070-5; 0075-6;</t>
  </si>
  <si>
    <t>PARDAL MARROM PARTICIPACOES S.A.</t>
  </si>
  <si>
    <t>17986777/0001-70;</t>
  </si>
  <si>
    <t>AVENIDA HELIO PELLEGRINO, 622, S/N (ANTIGO 136), S/N (ANTIGO 138); RUA QUICABA, 124, 130, 134</t>
  </si>
  <si>
    <t>0024-9; 0051-6; 0023-0; 0026-5; 0025-7;</t>
  </si>
  <si>
    <t>CANCELADA PELA CERTIDÃO FL-005/2022</t>
  </si>
  <si>
    <t>AVENIDA HELIO PELLEGRINO, 622; RUA QUICABA, 124, 130, 134</t>
  </si>
  <si>
    <t xml:space="preserve">CANCELA A CERTIDÃO FL-023/2020 </t>
  </si>
  <si>
    <t>FORENZA INCORPORACAO SPE LTDA</t>
  </si>
  <si>
    <t>12868476/0001-28;</t>
  </si>
  <si>
    <t>RUA CLODOMIRO AMAZONAS, 495; RUA MACURAPE, 11, 17, 27, 33, 39, 41, 45, 57; RUA LUIS DIAS, 114, 116, 118, 124, 130, 134, 136, 140, 146 e 152</t>
  </si>
  <si>
    <t>016135;</t>
  </si>
  <si>
    <t>0019-1; 0020-3; 0021-1; 0022-1; 0023-8; 0024-6; 0025-4; 0026-2; 0038-6; 0037-8; 0028-9; 0029-7; 0030-0; 0031-9; 0032-7; 0039-4; 0040-8;</t>
  </si>
  <si>
    <t>ÁREA MAIOR DO TERRENO EM RAZÃO DA PRÓPRIA CERTIDÃO INDICAR A ÁREA PARA CÁLCULO</t>
  </si>
  <si>
    <t>MONZA INCORPORACAO SPE LTDA</t>
  </si>
  <si>
    <t>34658836/0001-08;</t>
  </si>
  <si>
    <t>RUA CLODOMIRO AMAZONAS, 511, 521, 529, 535, 541, 543, 547, 549, 551, 553, 555, 557, 561</t>
  </si>
  <si>
    <t>0018-1; 0017-3; 0016-5; 0015-7; 0014-9; 0013-0; 0012-2; 0011-4;</t>
  </si>
  <si>
    <t>UPCON SPE 26 EMPREENDIMENTOS IMOBILIÁRIOS S.A.</t>
  </si>
  <si>
    <t>18160464/0001-20;</t>
  </si>
  <si>
    <t>RUA BANDEIRA PAULISTA, 1140</t>
  </si>
  <si>
    <t>016155;</t>
  </si>
  <si>
    <t>0058-8; 0032-4; 0033-2;</t>
  </si>
  <si>
    <t>ACHO QUE ESTÁ CANCELADA (CERTIDÃO VÁLIDA). COMPLEMENTA FL-001/2022 LC</t>
  </si>
  <si>
    <t>ACHO QUE CANCELA A CERTIDÃO FL-016/2020  (CERTIDÃO VÁLIDA). COMPLEMENTA FL-016/2020 LC</t>
  </si>
  <si>
    <t>M.A.R. TRENTO DESENVOLVIMENTO IMOBILIÁRIO SPE LTDA</t>
  </si>
  <si>
    <t>30626376/0001-77;</t>
  </si>
  <si>
    <t>AVENIDA CIDADE JARDIM, 1013, 993; RUA JACURI, 208, 220</t>
  </si>
  <si>
    <t>0113-1; 0110-5; 0090-7; 0140-7;</t>
  </si>
  <si>
    <t>CANCELADA PELA CERTIDÃO FL-008/2022</t>
  </si>
  <si>
    <t>CANCELA A CERTIDÃO FL-014/2020</t>
  </si>
  <si>
    <t>DUBLIN EMPREENDIMENTO IMOBILIÁRIO SPE S/A; RB CAPITAL COMPANHIA DE SECURITIZAÇÃO</t>
  </si>
  <si>
    <t>28299657/0001-10; 02773542/0001-22;</t>
  </si>
  <si>
    <t>RUA LEOPOLDO COUTO DE MAGALHAES JUNIOR, 88; RUA PROFESSOR ATILIO INNOCENTI, 71</t>
  </si>
  <si>
    <t>0083-6; 0024-0; 0142-5;</t>
  </si>
  <si>
    <t>JHSF PARTICIPAÇOES S.A.; MARCELO AGUIAR FASANO; TANIA MARIA AGUIAR FASANO MEIRELES; ESPOLIO DE SANDRA MARIA AGUIAR FASANO</t>
  </si>
  <si>
    <t>08294224/0001-65;</t>
  </si>
  <si>
    <t>073316398-03; 042461398-07; 042461408-13;</t>
  </si>
  <si>
    <t>RUA LEOPOLDO COUTO DE MAGALHAES JUNIOR, 912; RUA PROFESSOR ATILIO INNOCENTI, 54, 62 - 62 FUNDOS</t>
  </si>
  <si>
    <t>0024-2; 0025-0; 0005-6;</t>
  </si>
  <si>
    <t>JHSF PARTICIPAÇOES S.A.; MARCELO AGUIAR FASANO; TANIA MARIA AGUIAR FASANO MEIRELES; ESPOLIO DE SANDRA MARIA AGUIAR FASANO, REPRESENTADA PELA INVENTARIANTE ALESSANDRA AGUIAR FASANO SOARES VAZ DOS SANTOS</t>
  </si>
  <si>
    <t>073316398-03; 042461398-07; 042461408-13; 310769148-88</t>
  </si>
  <si>
    <t>CANCELA A CERTIDÃO FL-004/2020. SUBSTITUÍDA PELA CERTIDÃO FL-020/2020.</t>
  </si>
  <si>
    <t>JHSF PARTICIPAÇOES S.A.; MARCELO AGUIAR FASANO; TANIA MARIA AGUIAR FASANO MEIRELES; ESPOLIO DE SANDRA MARIA AGUIAR FASANO;</t>
  </si>
  <si>
    <t xml:space="preserve">073316398-03; 042461398-07; 042461408-13; </t>
  </si>
  <si>
    <t>RUA LEOPOLDO COUTO DE MAGALHAES ESQUINA COM AVENIDA BRIGADEIRO FARIA LIMA; RUA LEOPOLDO COUTO DE MAGALHAES JUNIOR, 912;  RUA PROFESSOR ATILIO INNOCENTI, 54, 62 - 62 FUNDOS</t>
  </si>
  <si>
    <t xml:space="preserve">0024-2; 0025-0; 0005-6; 0007-2; </t>
  </si>
  <si>
    <t>CANCELA A CERTIDÃO FL-020/2020. SUBSTITUÍDA PELA CERTIDÃO FL-007/2021.</t>
  </si>
  <si>
    <t xml:space="preserve">0027-7; 0005-6; 0007-2; </t>
  </si>
  <si>
    <t>CANCELA A CERTIDÃO FL-007/2021. SUBSTITUÍDA PELA CERTIDÃO FL-009/2022.</t>
  </si>
  <si>
    <t>ACH ENGENHARIA E CONSTRUTORA LTDA</t>
  </si>
  <si>
    <t>52518693/0001-02;</t>
  </si>
  <si>
    <t>RUA INAJAROBA, 32, 38; RUA SAMPAIO GOIS, 113 A 139</t>
  </si>
  <si>
    <t>041036;</t>
  </si>
  <si>
    <t>0011-1; 0010-1; 0033-0; 0034-9; 0035-7; 0040-3; 0041-1; 0042-1; 0042-1; 0005-5; 0006-3;</t>
  </si>
  <si>
    <t>SP PINHEIROS EMPREENDIMENTOS IMOBILIARIOS LTDA</t>
  </si>
  <si>
    <t>09274717/0001-04;</t>
  </si>
  <si>
    <t>AVENIDA HORACIO LAFER, 430, 448, 460</t>
  </si>
  <si>
    <t>0037-1; 0027-2;</t>
  </si>
  <si>
    <t>CANCELADA E SUBSTITUÍDA PELA CERTIDÃO FL-006/2022</t>
  </si>
  <si>
    <t>CANCELA E SUBSTITUI A CERTIDÃO FL-003/2022</t>
  </si>
  <si>
    <t>OR SP 29 - EMPREENDIMENTO IMOBILIARIO S.A.</t>
  </si>
  <si>
    <t>15118489/0001-78;</t>
  </si>
  <si>
    <t>RUA DO CONSORCIO 170, 150, 146, 130; RUA PROFESSOR JOAO BRITO, 94, 104</t>
  </si>
  <si>
    <t xml:space="preserve">0008-1; 0010-3; 0011-1; 0026-1; 0086-3; </t>
  </si>
  <si>
    <t>ÁREA CONCEDIDA GRATUITAMENTE, EM VIRTUDE DOS BENEFÍCIOS DE REMEMBRAMENTO E FRUIÇÃO PÚBLICA</t>
  </si>
  <si>
    <t>2006-0142101-5</t>
  </si>
  <si>
    <t>BODUM COMERCIO E PARTICIPACOES LTDA</t>
  </si>
  <si>
    <t>02697906/0001-32;</t>
  </si>
  <si>
    <t>AVENIDA EUSEBIO MATOSO, S/N ESQUINA COM A RUA DIOGO MOREIRA</t>
  </si>
  <si>
    <t>0041-4; 0042-2;</t>
  </si>
  <si>
    <t>LUCIANA/18/07/2025</t>
  </si>
  <si>
    <t>2006-0210854-0</t>
  </si>
  <si>
    <t>IBIRAPUERA INCORPORACAO SPE LTDA</t>
  </si>
  <si>
    <t>07866721/0001-28;</t>
  </si>
  <si>
    <t>RUA TUCUMA, 734</t>
  </si>
  <si>
    <t>083197;</t>
  </si>
  <si>
    <t>0467-7;</t>
  </si>
  <si>
    <t>2006-0274892-1</t>
  </si>
  <si>
    <t>HEPB SPE EMPREENDIMENTO IMOBILIARIO LTDA</t>
  </si>
  <si>
    <t>08227913/0001-57;</t>
  </si>
  <si>
    <t>RUA HUNGRIA, 514; RUA DONA ELISA PEREIRA DE BARROS;RUA IRACI;</t>
  </si>
  <si>
    <t>0033-0; 0034-9; 0035-7;</t>
  </si>
  <si>
    <t>2006-0305188-6</t>
  </si>
  <si>
    <t>FLEURY S/A</t>
  </si>
  <si>
    <t>60840055/0001-31;</t>
  </si>
  <si>
    <t>AVENIDA PRESIDENTE JUSCELINO KUBITSCHEK, 1117</t>
  </si>
  <si>
    <t>299029;</t>
  </si>
  <si>
    <t>0019-2; 0014-1; 0013-3; 0004-4; 0007-9;</t>
  </si>
  <si>
    <t>CANCELADA E SUBSTITUÍDA PELA CERTIDÃO FL-003/2016</t>
  </si>
  <si>
    <t>AVENIDA PRESIDENTE JUSCELINO KUBITSCHEK, 1117, 1119, 1135</t>
  </si>
  <si>
    <t>0001-1; 0002-8; 0003-6; 0022-2;</t>
  </si>
  <si>
    <t>CANCELA E SUBSTITUI A CERTIDÃO FL-004/2008. CANCELADA E SUBSTITUÍDA PELA CERTIDÃO  002/2022</t>
  </si>
  <si>
    <t>AVENIDA PRESIDENTE JUSCELINO KUBITSCHEK, 1117, 1119, 1135; RUA VIZEU, 06, 17, 26, 40, 44, 58, 62</t>
  </si>
  <si>
    <t>CANCELA E SUBSTITUI A CERTIDÃO FL-003/2016</t>
  </si>
  <si>
    <t>DV-001/2022</t>
  </si>
  <si>
    <t>NÃO CONSEGUI 0,11 COMO ACA NR</t>
  </si>
  <si>
    <t>2006-0329381-2</t>
  </si>
  <si>
    <t>ROVIC VILA OLIMPIA EMPREENDIMENTOS IMOBILIARIOS SPE LTDA</t>
  </si>
  <si>
    <t>08773380/0001-09;</t>
  </si>
  <si>
    <t>RUA DOUTOR IVO DEFINE FRASCA, 21</t>
  </si>
  <si>
    <t>0045-4; 0033-0; 0034-9; 0035-7; 0036-5; 0037-3; 0038-1; 0039-1; 0040-3; 0046-2;</t>
  </si>
  <si>
    <t>2008-0397221-5</t>
  </si>
  <si>
    <t>DAVILAR PROJETOS E EMPREENDIMENTOS LTDA</t>
  </si>
  <si>
    <t>43220847/0001-94;</t>
  </si>
  <si>
    <t>RUA JOSE GONCALVES DE OLIVEIRA, RUA MARIA ROSA; TRAVESSA TOLSTOI DE CARVALHO E MELO</t>
  </si>
  <si>
    <t>299124;</t>
  </si>
  <si>
    <t>0013-3; 0014-1; 0015-1; 0016-8; 0020-6; 0021-4; 0023-0; 0024-9; 0025-7; 0026-5; 0027-3; 0028-1;</t>
  </si>
  <si>
    <t>CANCELADA E SUBSTITUIDA PELA CERTIDAO FL-021/2009</t>
  </si>
  <si>
    <t>LUCIANA/21/07/2025</t>
  </si>
  <si>
    <t>0013-3; 0014-1; 0015-1; 0016-8; 0020-6; 0021-4; 0023-0; 0024-9; 0025-7; 0026-5; 0027-3; 0028-1; 0022-2;</t>
  </si>
  <si>
    <t>CANCELA E SUBSTITUI A CERTIDÃO FL-005/2009. CANCELADA E SUBSTITUIDA PELA CERTIDAO FL-005/2016</t>
  </si>
  <si>
    <t>DAVILAR PROJETOS E EMPREENDIMENTOS LTDA; TAMANDUA EMPREENDIMENTOS LTDA; M&amp;V ADMINISTRADAO E PARTICIPACOES LTDA; CA2 ADMINISTRACAO E PARTICIPACOES LTDA; MNC PARTICIPACOES E NEGOCIOS LTDA;</t>
  </si>
  <si>
    <t>43220847/0001-94; 64609258/0001-72; 69122547/0001-66; 10939167/0001-76; 01328182/0001-97;</t>
  </si>
  <si>
    <t>0013-3; 0014-1; 0015-1; 0016-8; 0020-6; 0021-4; 0023-0; 0024-9; 0025-7; 0026-5; 0027-3; 0028-1; 0022-2; 0012-5</t>
  </si>
  <si>
    <t>COMPLEMENTA A CERTIDÃO 021/2009 (CEPAC COMPLEMENTA - ACA TOTAL). CANCELADA E SUBSTITUIDA PELA CERTIDAO FL-005/2016</t>
  </si>
  <si>
    <t>2008-0369479-9</t>
  </si>
  <si>
    <t xml:space="preserve">0012-5; 0013-3; 0014-1; 0015-1; 0016-8; 0017-6; 0018-4; 0019-2;  0020-6; 0021-4; 0022-2; 0023-0; 0024-9; 0025-7; 0026-5; 0027-3; 0028-1;  </t>
  </si>
  <si>
    <t>CANCELA E SUBSTITUI AS CERTIDÕES 005/2009 E 021/2009. CANCELADA E SUBSTITUÍDA PELA CERTIDAO FL-006/2017</t>
  </si>
  <si>
    <t>2016-0211333-1</t>
  </si>
  <si>
    <t>DAVILAR PROJETOS E EMPREENDIMENTOS LTDA; TAMANDUA EMPREENDIMENTOS LTDA; M&amp;V ADMINISTRACAO E PARTICIPACOES LTDA;  BANCO BONSUCESSO S/A;  MNC PARTICIPACOES E NEGOCIOS LTDA; CA2 ADMINISTRACAO E PARTICIPACOES LTDA; SERIMOB - EMPREENDIMENTOS IMOBILIARIOS LTDA; ANTONIO BESTRAN MARTINEZ; LECY LAURENZA BELTRAN</t>
  </si>
  <si>
    <t>43220847/0001-94; 64609258/000172; 69122547/0001-66; 71027866/0001-34; 01328182/0001-97; 10939167/0001-76; 10452930/0001-30;</t>
  </si>
  <si>
    <t>004638098-15; 073690888-98;</t>
  </si>
  <si>
    <t>CANCELA E SUBSTIUI A CERTIDÃO FL-005/2016</t>
  </si>
  <si>
    <t>DV-001/2017</t>
  </si>
  <si>
    <t>CERTIDÃO DE DESVINCULAÇÃO DOS CEPACS EXCEDENTES DA CERTIDÃO FL-005/2016</t>
  </si>
  <si>
    <t>DAVILAR PROJETOS E EMPREENDIMENTOS LTDA; TAMANDUA EMPREENDIMENTOS LTDA; M&amp;V ADMINISTRACAO E PARTICIPACOES LTDA;  BS2 S/A;  MNC PARTICIPACOES E NEGOCIOS LTDA; CA2 ADMINISTRACAO E PARTICIPACOES LTDA; SERIMOB - EMPREENDIMENTOS IMOBILIARIOS LTDA; ANTONIO BESTRAN MARTINEZ; LECY LAURENZA BELTRAN; FUNDO DE INVESTIMENTO IMOBILIARIO - FII BRISA RENDA IMOBILIARIA; FESTUNG ADMINISTRACAO E PARTICIPACOES LTDA</t>
  </si>
  <si>
    <t>43220847/0001-94; 64609258/000172; 69122547/0001-66; 71027866/0001-34; 01328182/0001-97; 10939167/0001-76; 10452930/0001-30; 20680775/0001-62; 03489172/0001-69</t>
  </si>
  <si>
    <t>0062-1;</t>
  </si>
  <si>
    <t>CANCELA E SUBSTITUI CERTIDAO FL-006/2017. ACOMPANHA CERTIDAO DESVINCULAÇÃO FL-002/2019. CANCELADA E SUBSTITUÍDA PELA CERTIDÃO FL.010/2022</t>
  </si>
  <si>
    <t>DV-002/2019</t>
  </si>
  <si>
    <t>CERTIDÃO DE DESVINCULAÇÃO DOS CEPACS EXCEDENTES DA CERTIDÃO FL-006/2017</t>
  </si>
  <si>
    <t>7810.2022/0000817-7</t>
  </si>
  <si>
    <t>0062-1; 0063-1; 0064-8; 0058-3; 0060-5;</t>
  </si>
  <si>
    <t>CANCELA E SUBSTITUI CERTIDAO FL-008/2019.</t>
  </si>
  <si>
    <t>2007-0384894-8</t>
  </si>
  <si>
    <t>WTORRE SAO PAULO EMPREENDIMENTO IMOBILIARIO LTDA;</t>
  </si>
  <si>
    <t>05314015/0001-48;</t>
  </si>
  <si>
    <t>AVENIDA JUSCELINO KUBITSCHECK ESQUINA COM A AVENIDA NACOES UNIDAS</t>
  </si>
  <si>
    <t>299009;</t>
  </si>
  <si>
    <t>0179-5;</t>
  </si>
  <si>
    <t>REAL AI TORRE D EMPREENDIMENTO IMOBILIARIO LTDA; PLANNER TRUSTEE DISTRIBUIDORA DE TÍTULOS E VALORES MOBILIARIOS LTDA; BR PROPERTIES S.A; JK IGUATEMI EMPREENDIMENTOS IMOBILIARIOS LTDA; TEXAS EMPREENDIMENTOS E PARTICIPACOES S/A; OKLAHOMA EMPREENDIMENTOS E PARTICIPAÇÕES; PLURAL S.A BANCO MULTIPLO, NA QUALIDADE DE ADMINISTRADOR DO FUNDO DE INVESTIMENTO IMOBILIARIO JK D-FII; BANCO SANTANDER (BRASIL); ROJO ENTRETENIMENTO S/A;</t>
  </si>
  <si>
    <t>AVENIDA JUSCELINO KUBITSCHECK , 2041; AVENIDA DAS NACOES UNIDAS</t>
  </si>
  <si>
    <t>299148;</t>
  </si>
  <si>
    <t>0001-5;</t>
  </si>
  <si>
    <t>LEI</t>
  </si>
  <si>
    <t>Lei válida na emissão da certidão</t>
  </si>
  <si>
    <t>13.769/2004, 18.175/2024</t>
  </si>
  <si>
    <t>FAZER LISTA SUSPENSA DAS LEIS</t>
  </si>
  <si>
    <t>13.769/2004</t>
  </si>
  <si>
    <t>18.175/2024</t>
  </si>
  <si>
    <t>PRISCILA/09/09/2025</t>
  </si>
  <si>
    <t>CANCELA A CERTIDÃO FL-004/2015</t>
  </si>
  <si>
    <r>
      <t xml:space="preserve">Os 2.829 CEPAC remanescentes da Certidão nº FL-012/2020 deverão ser oportunamente desvinculados por meio de processo administrativo específico. </t>
    </r>
    <r>
      <rPr>
        <b/>
        <sz val="11"/>
        <color rgb="FFFF0000"/>
        <rFont val="Calibri"/>
        <family val="2"/>
        <scheme val="minor"/>
      </rPr>
      <t>Utiliza a lei nova para aplicar os 30% de desconto, fica com CEPAC na nuvem e não consome estoque da lei 18.175/2024</t>
    </r>
  </si>
  <si>
    <t>SAL ADMINISTRAÇÃO E INCORPORAÇÃO LTDA</t>
  </si>
  <si>
    <t>SAL ADMINISTRAÇÃO E INCORPORAÇÃO LTDA; BES EMPREENDIMENTOS E PARTICIPAÇÕES LTDA; MHB ADMINISTRAÇÃO E PARTICIPAÇÕES LTDA;</t>
  </si>
  <si>
    <t>0066-8; 0002-1; 0025-0; 0032-3; 0024-2; 0122-2; 0121-4; 0121-4; 0028-5; 0123-0; 0060-9; 0061-7; 0062-5; 0063-3; 0120-6; 0120-6; 0120-6; 0033-1; 0017-1; 0036-6;</t>
  </si>
  <si>
    <t>PRISCILA/10/09/2025</t>
  </si>
  <si>
    <r>
      <rPr>
        <sz val="11"/>
        <rFont val="Calibri"/>
        <family val="2"/>
        <scheme val="minor"/>
      </rPr>
      <t>DADOS DA CERTIDÃO (FL-332/HP e FL-0413, numeração consolidada em FL-9419)</t>
    </r>
    <r>
      <rPr>
        <b/>
        <sz val="11"/>
        <rFont val="Calibri"/>
        <family val="2"/>
        <scheme val="minor"/>
      </rPr>
      <t xml:space="preserve"> Trata-se de vinculação de CEPAC - com Auto de Conclusão parcial já emitido, portanto as Certidões de Pagamento de Outorga Onerosa em CEPAC FL-007/2009; FL-007/2017 e FL-003/2021 já foram consumidas e utilizadas.</t>
    </r>
  </si>
  <si>
    <t>EVEN SP 121 EMPREENDIMENTOS IMOBILIÁRIOS S.A</t>
  </si>
  <si>
    <t>0689-4;</t>
  </si>
  <si>
    <t>RUA DOS CARIRIS, 291 A 367; RUA CARDEAL ARCOVERDE, 2977 A 3041; RUA DIOGO MOREIRA, 222 A 322; AVENIDA EUSÉBIO MATOSO, 366 A 398;</t>
  </si>
  <si>
    <t>CANCELADA PELA FL-004/2025</t>
  </si>
  <si>
    <t>PRISCILA/11/09/2025</t>
  </si>
  <si>
    <t>NÃO EXCLUIR. LINHA FAKE</t>
  </si>
  <si>
    <t>ATUALIZEI O STATUS PARA CANCELADA, APESAR DA CERTIDÃO NÃO CONSTAR EM NOTAS O CANCELAMENTO, APENAS A UMA CERTIDÃO ESTÁ VÁLIDA.</t>
  </si>
  <si>
    <t>7810.2022/0001829-0</t>
  </si>
  <si>
    <t>2509 FUNDO DE INVESTIMENTO IMOBILIÁRIO – FII; ADMINISTRADORA PMV LTDA;</t>
  </si>
  <si>
    <t>19419994/0001-03; 05083840/0001-89;</t>
  </si>
  <si>
    <t>RUA FUNCHAL 160; AVENIDA CHEDID JAFET 75; AVENIDA PRESIDENTE JUSCELINO KUBITSCHECK 1909; RUA PEQUETIBA, 170;</t>
  </si>
  <si>
    <t>299027;</t>
  </si>
  <si>
    <t>0006-1;</t>
  </si>
  <si>
    <t xml:space="preserve">ACA LEI 13.769 (ACA TOTAL 6.678,97) - CANCELA A CERTIDÃO FL-003/2017 </t>
  </si>
  <si>
    <t xml:space="preserve">ACA LEI 18.175 (ACA TOTAL 6.678,97) - CANCELA A CERTIDÃO FL-003/2017 </t>
  </si>
  <si>
    <t>7810.2025/0001104-6</t>
  </si>
  <si>
    <t>EVEN SP 121 EMPREENDIMENTOS IMOBILIARIOS S.A.</t>
  </si>
  <si>
    <t xml:space="preserve">1010.2025/0008826-4 </t>
  </si>
  <si>
    <t xml:space="preserve">B28 EMPREENDIMENTOS IMOBILIARIOS S.A.; </t>
  </si>
  <si>
    <t>24081780/0001-00;</t>
  </si>
  <si>
    <t>AVENIDA BRIGADEIRO FARIA LIMA, 3278</t>
  </si>
  <si>
    <t>0024-1;</t>
  </si>
  <si>
    <t>1010.2025/0008829-9</t>
  </si>
  <si>
    <t>CCM33 PARICIPAÇÃO E INCORPORAÇÃO LTDA.; BANCO INDUSTRIAL DO BRASIL S.A</t>
  </si>
  <si>
    <t>37869918/0001-81; 31895683/0001-16;</t>
  </si>
  <si>
    <t>AVENIDA PRESIDENTE JUSCELINO KUBITSCHEK, 1703; AVENIDA PRESIDENTE JUSCELINO KUBITSCHEK, 1695</t>
  </si>
  <si>
    <t>299153;</t>
  </si>
  <si>
    <t>0067-9; 0068-7;</t>
  </si>
  <si>
    <t>1010.2025/0008830-2</t>
  </si>
  <si>
    <t>FUNDO DE INVESTIMENTO IMOBILIARIO VBI PRIME PROPERTIES - RESPONSABILIDADE LIMITADA; BTG PACTUAL SERVICOS FINANDEIROS S.A DTVM; VBI TR FARIA LIMA 4440 FUNDO DE INVESTIMENTO IMOBILIARIO; VORTX DISTRIBUIDORA DE TITULOS E VALORES IMOBILIARIOS LTDA.;</t>
  </si>
  <si>
    <t>35652102/0001-76; 59281253/0001-23; 50808042/0001-21; 22610500/0001-88</t>
  </si>
  <si>
    <t>AVENIDA BRIGADEIRO FARIA LIMA, 4440</t>
  </si>
  <si>
    <t>0029-9</t>
  </si>
  <si>
    <t>1010.2025/0008831-0</t>
  </si>
  <si>
    <t>1010.2025/0008833-7</t>
  </si>
  <si>
    <t>BI SAO PAULO II EMPREENDIMENTOS IMOBILIARIOS S.A.;</t>
  </si>
  <si>
    <t>17888906/0001-97</t>
  </si>
  <si>
    <t>RUA MINISTRO JESUINO CARDOSO, 235; RUA MINISTRO JESUINO CARDOSO, 287;</t>
  </si>
  <si>
    <t>299132;</t>
  </si>
  <si>
    <t>0031-6</t>
  </si>
  <si>
    <t>1010.2025/0008837-0</t>
  </si>
  <si>
    <t>CAPSICUM EMPREENDIMENTOS E PARTICIPACOES LTDA.; LUIZA TIEKO YAMAKOA;</t>
  </si>
  <si>
    <t>25186614/0001-04;</t>
  </si>
  <si>
    <t>037133318-04;</t>
  </si>
  <si>
    <t>RUA FERNAO DIAS, 590; RUA FERNAO DIAS, 682; RUA GUAICUI, 47; RUA GUAICUI, 51; PRACA PADRE SEPTIMO ARANTES, 26; PRACA PADRE SEPTIMO ARANTES, 42;</t>
  </si>
  <si>
    <t>083045;</t>
  </si>
  <si>
    <t>0015-9; 0016-7; 0017-5; 0018-3; 0019-1; 0020-5; 0021-3; 0061-2; 0062-0; 0083-3;</t>
  </si>
  <si>
    <t>1010.2025/0008838-8</t>
  </si>
  <si>
    <t>B28 EMPREENDIMENTOS IMOBILIARIOS S.A.; ITAU VIDA E PREVIDENCIA S.A.; ITAU RENT ADMINISTRAÇÃO E PARTICIPACOES LTDA.;</t>
  </si>
  <si>
    <t>24081780/0001-00; 92661388/0001-90; 02180133/0001-12;</t>
  </si>
  <si>
    <t>AVENIDA BRIGADEIRO FARIA LIMA, 3728</t>
  </si>
  <si>
    <t>0020-9;</t>
  </si>
  <si>
    <t>1010.2025/0008840-0</t>
  </si>
  <si>
    <t>NILLO PARTICIPACOES E EMPREENDIMENTOS LTDA.; CELSO LUIZ RISI; MARIA DO CARMO RISI MOREIRA DE AZEVEDO;</t>
  </si>
  <si>
    <t>05862759/0001-05;</t>
  </si>
  <si>
    <t>006978038-21; 033405018-90;</t>
  </si>
  <si>
    <t xml:space="preserve">RUA DOUTOR EDUARDO ARANHA, 323; RUA DOUTOR EDUARDO ARANHA, 329; RUA DOUTOR EDUARDO ARANHA, 333; RUA DOUTOR EDUARDO ARANHA, 341; RUA DOUTOR EDUARDO ARANHA, 357; RUA BANDEIRA PAULISTA, 1108; RUA BANDEIRA PAULISTA, 1118; RUA BANDEIRA PAULISTA, 1120; RUA BANDEIRA PAULISTA, 1130;  RUA PROFESSOR JOAO BRITO, 169; RUA PROFESSOR JOAO BRITO, 169; RUA PRINCIPE REAL, 41; RUA PRINCIPE REAL, 49; RUA PRINCIPE REAL, 65; </t>
  </si>
  <si>
    <t>0080-4; 0084-7; 0089-8;</t>
  </si>
  <si>
    <t>1010.2025/0008841-8</t>
  </si>
  <si>
    <t>TRISUL 33 EMPREENDIMENTOS IMOBILIARIOS LTDA.;</t>
  </si>
  <si>
    <t>35165682/0001-77;</t>
  </si>
  <si>
    <t>RUA CHIPRE, 36</t>
  </si>
  <si>
    <t>0002-4; 0152-7;</t>
  </si>
  <si>
    <t>1010.2025/0008842-6</t>
  </si>
  <si>
    <t>CAPSICUM EMPREENDIMENTOS E PARTICIPACOES LTDA.; S&amp;Z HOLDING PARTICIPACOES LTDA.; MARCIA PONTES SIMOES; CARMEN LUCIA PORTES SIMOES; MARI KATAGIRI; KAZUNORI KATAGIRI; AZEKA PARTICIPACOES LTDA.; PS CONSUTORIA E ASSESSORIA ECONOMICO FINANCEIRA S/S LTDA.;</t>
  </si>
  <si>
    <t>25186614/0001-30; 57616991/0001-59; 12933190/0001-89; 55948061/0001-77;</t>
  </si>
  <si>
    <t>736915269-34; 830389739-04; 157548528-44;</t>
  </si>
  <si>
    <t>RUA MARTIM CARRASCO, 50; RUA MARTIM CARRASCO, 102; AVENIDA BRIGADEIRO FARIA LIMA, 724; AVENIDA BRIGADEIRO FARIA LIMA, 870; RUA FERNAO DIAS, 485; RUA FERNAO DIAS, 501;</t>
  </si>
  <si>
    <t>0046-1; 0047-1; 0053-4; 0054-2; 0055-0; 0056-9; 0057-7; 0058-5; 0059-3; 0060-7; 0063-1; 0080-1; 0081-1; 0500-5; 0501-3; 0502-1; 0503-1; 0505-6; 0542-0; 0543-9; 0547-1; 0548-1; 1651-1; 1652-1;</t>
  </si>
  <si>
    <t>1010.2025/0008851-5</t>
  </si>
  <si>
    <t>AVENIDA PROFESSOR ARHTUR RAMOS, 111; AVENIDA PROFESSOR ARHTUR RAMOS, 127; AVENIDA PROFESSOR ARHTUR RAMOS, 135; AVENIDA PROFESSOR ARHTUR RAMOS, 143; AVENIDA PROFESSOR ARHTUR RAMOS, 149; AVENIDA CIDADE JARDIM, 541; AVENIDA CIDADE JARDIM, 614;  AVENIDA CIDADE JARDIM, 632;</t>
  </si>
  <si>
    <t>0020-6;</t>
  </si>
  <si>
    <t>2,657,45</t>
  </si>
  <si>
    <t>1010.2025/0008852-3</t>
  </si>
  <si>
    <t>JHSF PARTICIPACOES S.A.;</t>
  </si>
  <si>
    <t>RUA LEOPOLDO COUTO MAGALHAES, 912; RUA LEOPOLDO COUTO MAGALHAES, 928; RUA PROFESSOR ATILIO INNOCENTI, 54; RUA PROFESSOR ATILIO INNOCENTI, 62; AVENIDA BRIGADEIRO FARIA LIMA, S/N;</t>
  </si>
  <si>
    <t>0005-6; 0007-2; 0024-2; 0025-0;</t>
  </si>
  <si>
    <t>1010.2025/0008856-6</t>
  </si>
  <si>
    <t>SUMMER EMPREENDIMENTOS LTDA.</t>
  </si>
  <si>
    <t>05644674/0001-42</t>
  </si>
  <si>
    <t>AVENIDA BRIGADEIRO FARIA LIMA, 2491</t>
  </si>
  <si>
    <t>015116;</t>
  </si>
  <si>
    <t>0393-3;</t>
  </si>
  <si>
    <t>1010.2025/0008862-0</t>
  </si>
  <si>
    <t>HBR 84 - INVESTIMENTOS IMOBILIARIOS LTDA.;</t>
  </si>
  <si>
    <t>43180385/0001-29;</t>
  </si>
  <si>
    <t>AVENIDA BRIGADEIRO FARIA LIMA, 4433</t>
  </si>
  <si>
    <t>299058;</t>
  </si>
  <si>
    <t>0151-9;</t>
  </si>
  <si>
    <t>1010.2025/0008870-1</t>
  </si>
  <si>
    <t>HORACIO LAFER INCORPORADORA SPE LTDA.;</t>
  </si>
  <si>
    <t>09046188/000183;</t>
  </si>
  <si>
    <t>AVENIDA HORACIO LAFER, 73</t>
  </si>
  <si>
    <t>0039-9;</t>
  </si>
  <si>
    <t>1010.2025/0008877-9</t>
  </si>
  <si>
    <t>SP LEO EMPREENDIMENTOS IMOBILIARIOS LTDA.</t>
  </si>
  <si>
    <t>09026090/0001-64;</t>
  </si>
  <si>
    <t xml:space="preserve">RUA LEOPOLDO COUTO DE MAGALHAES, 1448; RUA LEOPOLDO COUTO DE MAGALHAES, 1466; </t>
  </si>
  <si>
    <t>0127-8; 0128-6; 0442-0;</t>
  </si>
  <si>
    <t>1010.2025/0008884-1</t>
  </si>
  <si>
    <t>SAO JOSE DESENVOLVIMENTO IMOBILIARIO 3 LTDA.</t>
  </si>
  <si>
    <t>07684115/0001-91;</t>
  </si>
  <si>
    <t>RUA LEOPOLDO COUTO DE MAGALHAES JUNIOR, 1246</t>
  </si>
  <si>
    <t>0002-6; 0463-3</t>
  </si>
  <si>
    <t>1010.2025/0008885-0</t>
  </si>
  <si>
    <t xml:space="preserve">FUNDO DE INVESTIMENTO IMOBILIARIO - FII BRISA RENDA IMOBILIARIA RESPONSABILIDADE LIMITADA; BTG PACTUAL SERVIÇOS FINANCEIROS S.A. DTVM; FUNDO DE INVESTIMENTO IMOBILIARIO VBI PRIME PROPERTIES - RESPONSABILIDADE LIMITADA; BTG PACTUAL SERVIÇOS FINANCEIROS S.A. DTVM; VERA CRUZ II DESENVOLVIMENTO IMOBILIARIO LTDA.; </t>
  </si>
  <si>
    <t>20680775/0001-62; 59281253/0001-23; 35652102/0001-76; 59281253/0001-23; 11702125/0001-80;</t>
  </si>
  <si>
    <t>RUA ELVIRA FERRAZ, 68</t>
  </si>
  <si>
    <t>299134;</t>
  </si>
  <si>
    <t>0023-4; 0024-2; 0025-0; 0026-9; 0027-7; 0028-5; 0029-3; 0030-7; 0031-5; 0032-3; 0033-1; 0034-1; 0035-8; 0036-6; 0037-4; 0038-2; 0039-0; 0040-4; 0041-2; 0042-0; 0043-9; 0044-7;</t>
  </si>
  <si>
    <t>1010.2025/0008932-5</t>
  </si>
  <si>
    <t>SP GBFL EMPREENDIMENTOS IMOBILIARIOS LTDA.;</t>
  </si>
  <si>
    <t>16595842/0001-73;</t>
  </si>
  <si>
    <t>RUA TUCUMA, 375</t>
  </si>
  <si>
    <t>1010.2025/0008933-3</t>
  </si>
  <si>
    <t>BI São Paulo IV Empreendimentos Imobiliários S.A.;</t>
  </si>
  <si>
    <t>19175757/0001-44</t>
  </si>
  <si>
    <t>RUA CORONEL JOAQUIM FERREIRA LOBO, 139; RUA CORONEL JOAQUIM FERREIRA LOBO, 171; AVENIDA BRIGADEIRO FARIA LIMA, S/N; RUA CHILON, 140</t>
  </si>
  <si>
    <t>0012-3; 0126-1; 0204-5; 0209-6;</t>
  </si>
  <si>
    <t>PRISCILA/17/09/2025</t>
  </si>
  <si>
    <t>CONDOMINIO SHOPPING CENTER IGUATEMI</t>
  </si>
  <si>
    <t>53.991378/0001-60</t>
  </si>
  <si>
    <t>AVENIDA BRIGADEIRO FARIA LIMA, 2232; RUA ANGELINA MAFFEI VITA, 200;</t>
  </si>
  <si>
    <t>0340-1</t>
  </si>
  <si>
    <t>083226;</t>
  </si>
  <si>
    <t>299135;</t>
  </si>
  <si>
    <t>0682-0;</t>
  </si>
  <si>
    <t>PEDIDO DE ALTERAÇÃO DA CERTIDÃO FL-009/2022; TOTAL DE ACA 14.350,32; TOTAL DE 11.226 CEPAC.</t>
  </si>
  <si>
    <t>PRISCILA/23/09/2025</t>
  </si>
  <si>
    <t>Rótulos de Linha</t>
  </si>
  <si>
    <t>Total Geral</t>
  </si>
  <si>
    <t>Soma de ACA-R</t>
  </si>
  <si>
    <t>Soma de ACA-NR</t>
  </si>
  <si>
    <t>(Tudo)</t>
  </si>
  <si>
    <t>Soma de CEPAC ACA</t>
  </si>
  <si>
    <t>Soma de CEPAC PARAMETROS</t>
  </si>
  <si>
    <t>(Vários itens)</t>
  </si>
  <si>
    <t>FL-006/2025</t>
  </si>
  <si>
    <t>7810.2025/0000957-2</t>
  </si>
  <si>
    <t>PRISCILA/13/10/2025</t>
  </si>
  <si>
    <t>FL-007/2025</t>
  </si>
  <si>
    <t>006</t>
  </si>
  <si>
    <t>FL-008/2025</t>
  </si>
  <si>
    <t>007</t>
  </si>
  <si>
    <t>008</t>
  </si>
  <si>
    <t>FL-013/2025</t>
  </si>
  <si>
    <t>013</t>
  </si>
  <si>
    <t>FL-010/2025</t>
  </si>
  <si>
    <t>010</t>
  </si>
  <si>
    <t>FL-011/2025</t>
  </si>
  <si>
    <t>011</t>
  </si>
  <si>
    <t>ALTERAÇÃO</t>
  </si>
  <si>
    <t>012</t>
  </si>
  <si>
    <t>FL-012/2025</t>
  </si>
  <si>
    <t>009</t>
  </si>
  <si>
    <t>FL-009/2025</t>
  </si>
  <si>
    <t>FL-015/2025</t>
  </si>
  <si>
    <t>PEDIDO DE ALTERAÇÃO DA CERTIDÃO FL-008/2021. ACA TOTAL NR DE 9.091,31. ACA TOTAL DO PEDIDO 11.364,13. ERRO CAMPO DATA CERTIDÃO 16/10/2025.</t>
  </si>
  <si>
    <t>PRISCILA/19/11/2025</t>
  </si>
  <si>
    <t>299.129.0024-1</t>
  </si>
  <si>
    <t>299.153.0068-7; 299.153.0067-9</t>
  </si>
  <si>
    <t>ERRO CAMPO DATA CERTIDÃO 29/10/2025.</t>
  </si>
  <si>
    <t>FL-014/2025</t>
  </si>
  <si>
    <t>083.226.0340-1</t>
  </si>
  <si>
    <t>015</t>
  </si>
  <si>
    <t>299.132.0031-6</t>
  </si>
  <si>
    <t>ERRO CAMPO DATA CERTIDÃO 30/10/2025.</t>
  </si>
  <si>
    <t>FL-016/2025</t>
  </si>
  <si>
    <t>083.045.0011-9; 083.045.0016-7; 083.045.0017-5; 083.045.0018-3; 083.045.0019-1; 083.045.0020-5; 083.045.0021-3; 083.045.0061-2; 083.045.0062-0; 083.045.0083-3;</t>
  </si>
  <si>
    <t>ERRO CAMPO DATA CERTIDÃO 05/11/2025.</t>
  </si>
  <si>
    <t>016</t>
  </si>
  <si>
    <t>299.129.0020-9</t>
  </si>
  <si>
    <t>ERRO CAMPO DATA CERTIDÃO 28/10/2025.</t>
  </si>
  <si>
    <t>FL-017/2025</t>
  </si>
  <si>
    <t>016.155.0080-4; 016.155.0084-7; 016.155.0089-8;</t>
  </si>
  <si>
    <t>ERRO CAMPO DATA CERTIDÃO 11/11/2025.</t>
  </si>
  <si>
    <t>017</t>
  </si>
  <si>
    <t>083.068.0020-6;;</t>
  </si>
  <si>
    <t>PEDIDO DE ALTERAÇÃO DA CERTIDÃO FL-001/2025. TOTAL DE 7.629 CEPAC/ ERRO CAMPO DATA CERTIDÃO 28/10/2025.</t>
  </si>
  <si>
    <t>299.127.0005-6; 299.127.0007-2; 299.127.0024-2; 299.127.0025-0;</t>
  </si>
  <si>
    <t>015.116.0393-3</t>
  </si>
  <si>
    <t>299.058.0151-9</t>
  </si>
  <si>
    <t>ERRO CAMPO DATA CERTIDÃO 21/10/2025.</t>
  </si>
  <si>
    <t>299.018.0039-9</t>
  </si>
  <si>
    <t>299.015.0127-8; 299.015.0128-6; 299.015.0442-0;</t>
  </si>
  <si>
    <t>014</t>
  </si>
  <si>
    <t>299.015.0002-6; 299.015.0463-3</t>
  </si>
  <si>
    <t>083.178.0682-0</t>
  </si>
  <si>
    <t>ACA REGULAR EXISTENTE 1065,04 (FAZ A CONTA SEM CONSIDERAR O BÁSICO ACIMA DE 1,0, contudo, chega no mesmo resultado pois subtraí a aca regular existente./ERRO CAMPO DATA CERTIDÃO 21/10/2025.</t>
  </si>
  <si>
    <t>299.047.0204-5</t>
  </si>
  <si>
    <t>015.074.0689-4</t>
  </si>
  <si>
    <t>299.078.; 299.078.0034-1; 299.078.0039-0; 299.078.0040-4; 299.078.00041-2; 299.078.0043-9;</t>
  </si>
  <si>
    <t>7810.2025/0001181-0</t>
  </si>
  <si>
    <t>8.000C-PAKS EMPREENDIMENTO IMOBILIÁRIO LTDA</t>
  </si>
  <si>
    <t>1.092.510/0001-60</t>
  </si>
  <si>
    <t>FL-018/2025</t>
  </si>
  <si>
    <t>018</t>
  </si>
  <si>
    <t>EVEN SP 121 EMPREENDIMENTOS
IMOBILIÁRIOS S.A.,</t>
  </si>
  <si>
    <t>Os 2.754 CEPAC desvinculados pela presente Certidão só poderão ser novamente
vinculados a outro terreno, a partir de 24/ 04/2026, ou seja, 180 (cento e oitenta)
dias após a publicação da decisão que autorizou a desvinculação (DOC, 24/10/2025,
pag. 240)144960274;</t>
  </si>
  <si>
    <t>299.058.0152-7;0002-4</t>
  </si>
  <si>
    <t>024</t>
  </si>
  <si>
    <t>FL-024/2025</t>
  </si>
  <si>
    <t>020</t>
  </si>
  <si>
    <t>FL-020/2025</t>
  </si>
  <si>
    <t>022</t>
  </si>
  <si>
    <t>FL-022/2025</t>
  </si>
  <si>
    <t>019</t>
  </si>
  <si>
    <t>FL-019/2025</t>
  </si>
  <si>
    <t>campo "DATA CERTIDÃO" não funcionando. Certidão emitida em 13/11/2025</t>
  </si>
  <si>
    <t>PRISCILA/11/12/2025</t>
  </si>
  <si>
    <t>campo "DATA CERTIDÃO" não funcionando. Certidão emitida em 18/11/2025</t>
  </si>
  <si>
    <t>FUNDO DE INVESTIMENTO IMOBILIRARIO - FII; ADMINISTRADORA PMV LTDA.;</t>
  </si>
  <si>
    <t>299.148.0001-5;</t>
  </si>
  <si>
    <t>299.153.002-4;0004-0;0005-9;0006-7; 0007-5; 0008-3; 0009-1; 0010-5; 0011-3; 0012-1;</t>
  </si>
  <si>
    <t>7810.2024/0001769-7</t>
  </si>
  <si>
    <t>AVENIDA CHEDID JAFFET, 75; AVENIDA JUSCELINO KUBITSCHECK, 1909; RUA FUNCHAL, 160; RUA PEQUETITA, 170</t>
  </si>
  <si>
    <t>FL-021/2025</t>
  </si>
  <si>
    <t>021</t>
  </si>
  <si>
    <t>FL-023/2025</t>
  </si>
  <si>
    <t>023</t>
  </si>
  <si>
    <t>PRISCILA/17/12/2025</t>
  </si>
  <si>
    <t>FL-025/2025</t>
  </si>
  <si>
    <t>ESTOQUE CONSUMIDO NA LEI 13.769/2004. Os 2.754 CEPAC desvinculados pela presente Certidão só poderão ser novamente
vinculados a outro terreno, a partir de 24/ 04/2026, ou seja, 180 (cento e oitenta)
dias após a publicação da decisão que autorizou a desvinculação (DOC, 24/10/2025,
pag. 240)144960274;</t>
  </si>
  <si>
    <t>FL-001/2026</t>
  </si>
  <si>
    <t>DV-001/2026</t>
  </si>
  <si>
    <t>025</t>
  </si>
  <si>
    <t>FL-002/2026</t>
  </si>
  <si>
    <t>PRISCILA/16/01/2026</t>
  </si>
  <si>
    <t>DV-002/2026</t>
  </si>
  <si>
    <t>PRISCILA/27/03/2026</t>
  </si>
  <si>
    <t>DV-002/2025</t>
  </si>
  <si>
    <t>DV</t>
  </si>
  <si>
    <t>a data final será 31/05/2026. CANCELA A CERTIDÃO FL-004/2025. DESVINCULAÇÃO DE 3292 CEPAC, SEM DESVINCULAÇÃO DE ÁREA</t>
  </si>
  <si>
    <t>a data final será 15/07/2026. (estoque da certidão FL-004/2021) Os 7.998 CEPAC desvinculados pela presente certidão só poderão ser novamente vinculados a outro terreno, após 180 (cento e oitenta) dias da publicação da decisão que autorizou a desvinculação (DOC, 16/01/2026, pág. 226);
2. A área adicional de construção de 15.994,20 m² deverá ser restituída ao estoque de área adicional de construção do Setor Olimpíadas, Subsetor 4b, podendo ser novamente utilizada, exclusivamente para o uso Residencial, após 90 (noventa) dias da publicação que autorizou a desvinculação (DOC, 16/01/2026, pág. 226)
3. Pelo despacho proferido em 16 de janeiro de 2026  foi cancelada a Certidão FL-004/2021 sendo invalidados, a partir da data de publicação do despacho, quaisquer efeitos jurídicos dela decorrentes.</t>
  </si>
  <si>
    <r>
      <t xml:space="preserve">requerimento demarcado como desvinculação a fim de facilitar o RETORNO DE ACA R PARA O ESTOQUE ANTIGO EM </t>
    </r>
    <r>
      <rPr>
        <sz val="11"/>
        <color rgb="FFFF0000"/>
        <rFont val="Calibri"/>
        <family val="2"/>
        <scheme val="minor"/>
      </rPr>
      <t xml:space="preserve">25/09/2025 </t>
    </r>
  </si>
  <si>
    <t>(vazio)</t>
  </si>
  <si>
    <t>Esta Certidão cancela e substitui a Certidão FL-011/2020. área total consumida na 13.769</t>
  </si>
  <si>
    <t>CANCELA A CERTIDÃO FL-004/2025. DESVINCULAÇÃO DE 3292 CEPAC, SEM DESVINCULAÇÃO DE ÁREA.área total consumida na 13.769</t>
  </si>
  <si>
    <t>ACA-R BENEFICIOS</t>
  </si>
  <si>
    <t>ACA-R (REAL)</t>
  </si>
  <si>
    <t>ACA-NR (REAL)</t>
  </si>
  <si>
    <t>ACA-NR (BENEFÍCIOS)</t>
  </si>
  <si>
    <t>BENEFICIOS</t>
  </si>
  <si>
    <t>POSIÇÃO EM 08/04/2026</t>
  </si>
  <si>
    <t>Estoque Consumido Lei 18.175/24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</si>
</sst>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??_);_(@_)"/>
    <numFmt numFmtId="165" formatCode="#,##0.00_ ;\-#,##0.00\ "/>
    <numFmt numFmtId="166" formatCode="d/m/yy;@"/>
    <numFmt numFmtId="167" formatCode="_-* #,##0_-;\-* #,##0_-;_-* &quot;-&quot;??_-;_-@_-"/>
  </numFmts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2"/>
      <name val="Calibri"/>
      <family val="2"/>
      <scheme val="minor"/>
    </font>
    <font>
      <sz val="13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sz val="12"/>
      <name val="Arial"/>
      <family val="2"/>
    </font>
    <font>
      <b/>
      <sz val="11"/>
      <color rgb="FFFF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rgb="FF333333"/>
      <name val="Calibri"/>
      <family val="2"/>
      <scheme val="minor"/>
    </font>
    <font>
      <sz val="11"/>
      <color rgb="FF444444"/>
      <name val="Aptos Narrow"/>
      <charset val="1"/>
    </font>
    <font>
      <sz val="8"/>
      <name val="Calibri"/>
      <family val="2"/>
      <scheme val="minor"/>
    </font>
    <font>
      <sz val="10.5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 style="medium">
        <color theme="0" tint="-0.34998626667073579"/>
      </right>
      <top style="medium">
        <color indexed="64"/>
      </top>
      <bottom/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5" fillId="0" borderId="0"/>
  </cellStyleXfs>
  <cellXfs count="349">
    <xf numFmtId="0" fontId="0" fillId="0" borderId="0" xfId="0"/>
    <xf numFmtId="4" fontId="0" fillId="0" borderId="0" xfId="0" applyNumberFormat="1"/>
    <xf numFmtId="4" fontId="0" fillId="0" borderId="1" xfId="0" applyNumberFormat="1" applyBorder="1"/>
    <xf numFmtId="4" fontId="0" fillId="0" borderId="2" xfId="0" applyNumberFormat="1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" fontId="0" fillId="0" borderId="9" xfId="0" applyNumberFormat="1" applyBorder="1"/>
    <xf numFmtId="4" fontId="1" fillId="0" borderId="10" xfId="0" applyNumberFormat="1" applyFont="1" applyBorder="1" applyAlignment="1">
      <alignment vertical="center"/>
    </xf>
    <xf numFmtId="4" fontId="1" fillId="0" borderId="13" xfId="0" applyNumberFormat="1" applyFont="1" applyBorder="1" applyAlignment="1">
      <alignment vertical="center"/>
    </xf>
    <xf numFmtId="0" fontId="1" fillId="0" borderId="2" xfId="0" applyFont="1" applyBorder="1"/>
    <xf numFmtId="0" fontId="1" fillId="0" borderId="1" xfId="0" applyFont="1" applyBorder="1"/>
    <xf numFmtId="0" fontId="1" fillId="0" borderId="9" xfId="0" applyFont="1" applyBorder="1"/>
    <xf numFmtId="0" fontId="1" fillId="0" borderId="14" xfId="0" applyFont="1" applyBorder="1" applyAlignment="1">
      <alignment horizontal="center"/>
    </xf>
    <xf numFmtId="4" fontId="0" fillId="0" borderId="29" xfId="0" applyNumberFormat="1" applyBorder="1"/>
    <xf numFmtId="4" fontId="0" fillId="0" borderId="21" xfId="0" applyNumberFormat="1" applyBorder="1"/>
    <xf numFmtId="4" fontId="0" fillId="0" borderId="30" xfId="0" applyNumberFormat="1" applyBorder="1"/>
    <xf numFmtId="4" fontId="1" fillId="0" borderId="23" xfId="0" applyNumberFormat="1" applyFont="1" applyBorder="1" applyAlignment="1">
      <alignment vertical="center"/>
    </xf>
    <xf numFmtId="0" fontId="5" fillId="0" borderId="38" xfId="0" applyFont="1" applyBorder="1" applyAlignment="1">
      <alignment horizontal="left" vertical="center" wrapText="1"/>
    </xf>
    <xf numFmtId="4" fontId="6" fillId="0" borderId="39" xfId="0" applyNumberFormat="1" applyFont="1" applyBorder="1" applyAlignment="1">
      <alignment horizontal="right" vertical="center"/>
    </xf>
    <xf numFmtId="0" fontId="7" fillId="0" borderId="38" xfId="0" applyFont="1" applyBorder="1" applyAlignment="1">
      <alignment horizontal="left" vertical="center" wrapText="1"/>
    </xf>
    <xf numFmtId="4" fontId="4" fillId="0" borderId="39" xfId="0" applyNumberFormat="1" applyFont="1" applyBorder="1" applyAlignment="1">
      <alignment horizontal="right" vertical="center"/>
    </xf>
    <xf numFmtId="43" fontId="6" fillId="0" borderId="39" xfId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4" fontId="4" fillId="0" borderId="22" xfId="0" applyNumberFormat="1" applyFont="1" applyBorder="1" applyAlignment="1">
      <alignment horizontal="right" vertical="center"/>
    </xf>
    <xf numFmtId="4" fontId="11" fillId="0" borderId="34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36" xfId="0" applyFont="1" applyBorder="1" applyAlignment="1">
      <alignment vertical="center"/>
    </xf>
    <xf numFmtId="3" fontId="6" fillId="0" borderId="37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 wrapText="1"/>
    </xf>
    <xf numFmtId="3" fontId="6" fillId="0" borderId="39" xfId="0" applyNumberFormat="1" applyFont="1" applyBorder="1" applyAlignment="1">
      <alignment horizontal="right" vertical="center"/>
    </xf>
    <xf numFmtId="0" fontId="5" fillId="0" borderId="36" xfId="0" applyFont="1" applyBorder="1" applyAlignment="1">
      <alignment vertical="center" wrapText="1"/>
    </xf>
    <xf numFmtId="3" fontId="6" fillId="0" borderId="44" xfId="0" applyNumberFormat="1" applyFont="1" applyBorder="1" applyAlignment="1">
      <alignment horizontal="right" vertical="center"/>
    </xf>
    <xf numFmtId="3" fontId="6" fillId="0" borderId="44" xfId="2" applyNumberFormat="1" applyFont="1" applyBorder="1" applyAlignment="1">
      <alignment horizontal="right" vertical="center"/>
    </xf>
    <xf numFmtId="3" fontId="6" fillId="0" borderId="37" xfId="2" applyNumberFormat="1" applyFont="1" applyBorder="1" applyAlignment="1">
      <alignment horizontal="right" vertical="center"/>
    </xf>
    <xf numFmtId="0" fontId="5" fillId="0" borderId="38" xfId="0" applyFont="1" applyBorder="1" applyAlignment="1">
      <alignment vertical="center"/>
    </xf>
    <xf numFmtId="164" fontId="6" fillId="0" borderId="39" xfId="1" applyNumberFormat="1" applyFont="1" applyBorder="1" applyAlignment="1">
      <alignment horizontal="right" vertical="center"/>
    </xf>
    <xf numFmtId="3" fontId="6" fillId="0" borderId="45" xfId="0" applyNumberFormat="1" applyFont="1" applyBorder="1" applyAlignment="1">
      <alignment horizontal="right" vertical="center"/>
    </xf>
    <xf numFmtId="3" fontId="6" fillId="0" borderId="45" xfId="2" applyNumberFormat="1" applyFont="1" applyBorder="1" applyAlignment="1">
      <alignment horizontal="right" vertical="center"/>
    </xf>
    <xf numFmtId="3" fontId="6" fillId="0" borderId="39" xfId="2" applyNumberFormat="1" applyFont="1" applyBorder="1" applyAlignment="1">
      <alignment horizontal="right" vertical="center"/>
    </xf>
    <xf numFmtId="3" fontId="4" fillId="0" borderId="39" xfId="2" applyNumberFormat="1" applyFont="1" applyBorder="1" applyAlignment="1">
      <alignment horizontal="right" vertical="center"/>
    </xf>
    <xf numFmtId="0" fontId="5" fillId="0" borderId="40" xfId="0" applyFont="1" applyBorder="1" applyAlignment="1">
      <alignment vertical="center"/>
    </xf>
    <xf numFmtId="3" fontId="6" fillId="0" borderId="41" xfId="2" applyNumberFormat="1" applyFont="1" applyBorder="1" applyAlignment="1">
      <alignment horizontal="right" vertical="center"/>
    </xf>
    <xf numFmtId="0" fontId="5" fillId="0" borderId="46" xfId="0" applyFont="1" applyBorder="1" applyAlignment="1">
      <alignment vertical="center"/>
    </xf>
    <xf numFmtId="3" fontId="6" fillId="0" borderId="47" xfId="2" applyNumberFormat="1" applyFont="1" applyBorder="1" applyAlignment="1">
      <alignment horizontal="right" vertical="center"/>
    </xf>
    <xf numFmtId="3" fontId="6" fillId="0" borderId="48" xfId="2" applyNumberFormat="1" applyFont="1" applyBorder="1" applyAlignment="1">
      <alignment horizontal="right" vertical="center"/>
    </xf>
    <xf numFmtId="0" fontId="7" fillId="0" borderId="1" xfId="2" applyFont="1" applyBorder="1" applyAlignment="1">
      <alignment vertical="center"/>
    </xf>
    <xf numFmtId="3" fontId="4" fillId="0" borderId="22" xfId="2" applyNumberFormat="1" applyFont="1" applyBorder="1" applyAlignment="1">
      <alignment horizontal="right" vertical="center"/>
    </xf>
    <xf numFmtId="0" fontId="7" fillId="0" borderId="46" xfId="0" applyFont="1" applyBorder="1" applyAlignment="1">
      <alignment vertical="center" wrapText="1"/>
    </xf>
    <xf numFmtId="3" fontId="4" fillId="0" borderId="47" xfId="0" applyNumberFormat="1" applyFont="1" applyBorder="1" applyAlignment="1">
      <alignment horizontal="right" vertical="center"/>
    </xf>
    <xf numFmtId="3" fontId="4" fillId="0" borderId="48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3" fontId="4" fillId="0" borderId="2" xfId="2" applyNumberFormat="1" applyFont="1" applyBorder="1" applyAlignment="1">
      <alignment horizontal="right" vertical="center"/>
    </xf>
    <xf numFmtId="3" fontId="4" fillId="0" borderId="43" xfId="2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" fontId="0" fillId="0" borderId="51" xfId="0" applyNumberFormat="1" applyBorder="1"/>
    <xf numFmtId="4" fontId="0" fillId="0" borderId="18" xfId="0" applyNumberFormat="1" applyBorder="1" applyAlignment="1">
      <alignment horizontal="center"/>
    </xf>
    <xf numFmtId="4" fontId="0" fillId="0" borderId="28" xfId="0" applyNumberFormat="1" applyBorder="1" applyAlignment="1">
      <alignment horizontal="center"/>
    </xf>
    <xf numFmtId="4" fontId="11" fillId="0" borderId="25" xfId="0" applyNumberFormat="1" applyFont="1" applyBorder="1" applyAlignment="1">
      <alignment horizontal="center" vertical="center"/>
    </xf>
    <xf numFmtId="0" fontId="5" fillId="0" borderId="52" xfId="0" applyFont="1" applyBorder="1" applyAlignment="1">
      <alignment horizontal="left" vertical="center" wrapText="1"/>
    </xf>
    <xf numFmtId="4" fontId="6" fillId="0" borderId="53" xfId="0" applyNumberFormat="1" applyFont="1" applyBorder="1" applyAlignment="1">
      <alignment horizontal="right" vertical="center"/>
    </xf>
    <xf numFmtId="165" fontId="6" fillId="0" borderId="54" xfId="1" applyNumberFormat="1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 applyBorder="1"/>
    <xf numFmtId="0" fontId="0" fillId="3" borderId="0" xfId="0" applyFill="1"/>
    <xf numFmtId="4" fontId="0" fillId="3" borderId="0" xfId="0" applyNumberFormat="1" applyFill="1" applyBorder="1"/>
    <xf numFmtId="4" fontId="0" fillId="3" borderId="0" xfId="0" applyNumberFormat="1" applyFill="1"/>
    <xf numFmtId="0" fontId="1" fillId="3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horizontal="center" vertical="center"/>
    </xf>
    <xf numFmtId="4" fontId="1" fillId="3" borderId="0" xfId="0" applyNumberFormat="1" applyFont="1" applyFill="1" applyBorder="1" applyAlignment="1">
      <alignment vertical="center"/>
    </xf>
    <xf numFmtId="4" fontId="0" fillId="3" borderId="0" xfId="0" applyNumberForma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4" fontId="9" fillId="3" borderId="0" xfId="0" applyNumberFormat="1" applyFont="1" applyFill="1" applyAlignment="1">
      <alignment horizontal="right" vertical="center"/>
    </xf>
    <xf numFmtId="0" fontId="16" fillId="3" borderId="0" xfId="0" applyFont="1" applyFill="1" applyAlignment="1">
      <alignment horizontal="right" vertical="center"/>
    </xf>
    <xf numFmtId="0" fontId="17" fillId="3" borderId="0" xfId="0" applyFont="1" applyFill="1" applyAlignment="1">
      <alignment horizontal="right" vertical="center"/>
    </xf>
    <xf numFmtId="3" fontId="18" fillId="3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horizontal="right" vertical="center"/>
    </xf>
    <xf numFmtId="0" fontId="19" fillId="3" borderId="0" xfId="0" applyFont="1" applyFill="1" applyAlignment="1">
      <alignment horizontal="right" vertical="center"/>
    </xf>
    <xf numFmtId="0" fontId="7" fillId="3" borderId="0" xfId="2" applyFont="1" applyFill="1" applyBorder="1" applyAlignment="1">
      <alignment vertical="center"/>
    </xf>
    <xf numFmtId="3" fontId="4" fillId="3" borderId="0" xfId="2" applyNumberFormat="1" applyFont="1" applyFill="1" applyBorder="1" applyAlignment="1">
      <alignment horizontal="right" vertical="center"/>
    </xf>
    <xf numFmtId="4" fontId="12" fillId="3" borderId="0" xfId="0" applyNumberFormat="1" applyFont="1" applyFill="1" applyAlignment="1">
      <alignment horizontal="right" vertical="center"/>
    </xf>
    <xf numFmtId="0" fontId="13" fillId="3" borderId="0" xfId="0" applyFont="1" applyFill="1" applyAlignment="1">
      <alignment horizontal="right" vertical="center"/>
    </xf>
    <xf numFmtId="4" fontId="14" fillId="3" borderId="0" xfId="0" applyNumberFormat="1" applyFont="1" applyFill="1" applyAlignment="1">
      <alignment horizontal="right" vertical="center"/>
    </xf>
    <xf numFmtId="0" fontId="4" fillId="3" borderId="0" xfId="0" applyFont="1" applyFill="1" applyBorder="1" applyAlignment="1">
      <alignment horizontal="center" vertical="center"/>
    </xf>
    <xf numFmtId="4" fontId="0" fillId="3" borderId="0" xfId="0" applyNumberFormat="1" applyFill="1" applyBorder="1" applyAlignment="1"/>
    <xf numFmtId="0" fontId="0" fillId="3" borderId="0" xfId="0" applyFill="1" applyAlignment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 applyAlignment="1">
      <alignment vertical="center" wrapText="1"/>
    </xf>
    <xf numFmtId="0" fontId="12" fillId="3" borderId="0" xfId="0" applyFont="1" applyFill="1" applyAlignment="1">
      <alignment horizontal="center" vertical="center" wrapText="1"/>
    </xf>
    <xf numFmtId="4" fontId="0" fillId="3" borderId="0" xfId="0" applyNumberForma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vertical="center"/>
    </xf>
    <xf numFmtId="0" fontId="2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4" borderId="0" xfId="0" applyFill="1" applyAlignment="1">
      <alignment vertical="center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6" borderId="0" xfId="0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7" borderId="55" xfId="0" applyFont="1" applyFill="1" applyBorder="1" applyAlignment="1">
      <alignment horizontal="right"/>
    </xf>
    <xf numFmtId="0" fontId="1" fillId="0" borderId="56" xfId="0" applyFont="1" applyBorder="1" applyAlignment="1">
      <alignment horizontal="right"/>
    </xf>
    <xf numFmtId="0" fontId="1" fillId="0" borderId="57" xfId="0" applyFont="1" applyBorder="1" applyAlignment="1">
      <alignment horizontal="right"/>
    </xf>
    <xf numFmtId="0" fontId="1" fillId="0" borderId="58" xfId="0" applyFont="1" applyBorder="1" applyAlignment="1">
      <alignment horizontal="right"/>
    </xf>
    <xf numFmtId="0" fontId="0" fillId="0" borderId="28" xfId="0" applyBorder="1" applyAlignment="1">
      <alignment horizontal="right"/>
    </xf>
    <xf numFmtId="0" fontId="1" fillId="7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7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49" fontId="1" fillId="0" borderId="14" xfId="0" applyNumberFormat="1" applyFont="1" applyBorder="1" applyAlignment="1">
      <alignment horizontal="right"/>
    </xf>
    <xf numFmtId="49" fontId="1" fillId="0" borderId="12" xfId="0" applyNumberFormat="1" applyFont="1" applyBorder="1" applyAlignment="1">
      <alignment horizontal="right"/>
    </xf>
    <xf numFmtId="0" fontId="0" fillId="4" borderId="33" xfId="0" applyFill="1" applyBorder="1" applyAlignment="1">
      <alignment horizontal="right"/>
    </xf>
    <xf numFmtId="0" fontId="0" fillId="4" borderId="25" xfId="0" applyFill="1" applyBorder="1" applyAlignment="1">
      <alignment horizontal="right"/>
    </xf>
    <xf numFmtId="49" fontId="0" fillId="4" borderId="25" xfId="0" applyNumberFormat="1" applyFill="1" applyBorder="1" applyAlignment="1">
      <alignment horizontal="right"/>
    </xf>
    <xf numFmtId="0" fontId="0" fillId="4" borderId="34" xfId="0" applyFill="1" applyBorder="1" applyAlignment="1">
      <alignment horizontal="right"/>
    </xf>
    <xf numFmtId="0" fontId="0" fillId="4" borderId="0" xfId="0" applyFill="1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  <xf numFmtId="49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 wrapText="1"/>
    </xf>
    <xf numFmtId="0" fontId="20" fillId="8" borderId="1" xfId="0" applyFont="1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49" fontId="0" fillId="4" borderId="0" xfId="0" applyNumberFormat="1" applyFill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Fill="1" applyAlignment="1" applyProtection="1">
      <alignment horizontal="left" vertical="center" wrapText="1"/>
      <protection locked="0"/>
    </xf>
    <xf numFmtId="0" fontId="23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" fillId="7" borderId="59" xfId="0" applyFont="1" applyFill="1" applyBorder="1" applyAlignment="1">
      <alignment horizontal="left" vertical="center"/>
    </xf>
    <xf numFmtId="0" fontId="1" fillId="7" borderId="60" xfId="0" applyFont="1" applyFill="1" applyBorder="1" applyAlignment="1">
      <alignment horizontal="left" vertical="center"/>
    </xf>
    <xf numFmtId="0" fontId="1" fillId="7" borderId="61" xfId="0" applyFont="1" applyFill="1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1" fillId="7" borderId="62" xfId="0" applyFont="1" applyFill="1" applyBorder="1" applyAlignment="1">
      <alignment horizontal="left" vertical="center"/>
    </xf>
    <xf numFmtId="0" fontId="1" fillId="0" borderId="63" xfId="0" applyFont="1" applyBorder="1" applyAlignment="1">
      <alignment horizontal="left" vertical="center"/>
    </xf>
    <xf numFmtId="0" fontId="1" fillId="0" borderId="64" xfId="0" applyFont="1" applyBorder="1" applyAlignment="1">
      <alignment horizontal="left" vertical="center"/>
    </xf>
    <xf numFmtId="49" fontId="1" fillId="0" borderId="64" xfId="0" applyNumberFormat="1" applyFont="1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1" fillId="7" borderId="65" xfId="0" applyFont="1" applyFill="1" applyBorder="1" applyAlignment="1">
      <alignment horizontal="left" vertical="center"/>
    </xf>
    <xf numFmtId="0" fontId="0" fillId="0" borderId="66" xfId="0" applyBorder="1" applyAlignment="1">
      <alignment horizontal="left" vertical="center"/>
    </xf>
    <xf numFmtId="0" fontId="0" fillId="0" borderId="67" xfId="0" applyBorder="1" applyAlignment="1">
      <alignment horizontal="left" vertical="center"/>
    </xf>
    <xf numFmtId="3" fontId="0" fillId="0" borderId="67" xfId="0" applyNumberFormat="1" applyBorder="1" applyAlignment="1">
      <alignment horizontal="left" vertical="center"/>
    </xf>
    <xf numFmtId="0" fontId="0" fillId="0" borderId="67" xfId="0" applyBorder="1" applyAlignment="1">
      <alignment horizontal="left" vertical="center" wrapText="1"/>
    </xf>
    <xf numFmtId="49" fontId="0" fillId="0" borderId="67" xfId="0" applyNumberFormat="1" applyBorder="1" applyAlignment="1">
      <alignment horizontal="left" vertical="center"/>
    </xf>
    <xf numFmtId="49" fontId="0" fillId="0" borderId="67" xfId="0" applyNumberFormat="1" applyBorder="1" applyAlignment="1">
      <alignment horizontal="left" vertical="center" wrapText="1"/>
    </xf>
    <xf numFmtId="3" fontId="0" fillId="0" borderId="67" xfId="0" applyNumberFormat="1" applyBorder="1" applyAlignment="1">
      <alignment horizontal="left" vertical="center" wrapText="1"/>
    </xf>
    <xf numFmtId="0" fontId="0" fillId="0" borderId="67" xfId="0" applyBorder="1" applyAlignment="1">
      <alignment vertical="center"/>
    </xf>
    <xf numFmtId="0" fontId="0" fillId="0" borderId="67" xfId="0" applyBorder="1" applyAlignment="1">
      <alignment vertical="center" wrapText="1"/>
    </xf>
    <xf numFmtId="0" fontId="1" fillId="7" borderId="65" xfId="0" applyFont="1" applyFill="1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25" fillId="0" borderId="67" xfId="0" applyFont="1" applyBorder="1" applyAlignment="1">
      <alignment horizontal="left" vertical="center"/>
    </xf>
    <xf numFmtId="0" fontId="0" fillId="0" borderId="63" xfId="0" applyBorder="1" applyAlignment="1">
      <alignment horizontal="left" vertical="center"/>
    </xf>
    <xf numFmtId="0" fontId="0" fillId="9" borderId="0" xfId="0" applyFill="1" applyAlignment="1" applyProtection="1">
      <alignment horizontal="left" vertical="center"/>
      <protection locked="0"/>
    </xf>
    <xf numFmtId="0" fontId="24" fillId="0" borderId="0" xfId="0" applyFont="1" applyAlignment="1" applyProtection="1">
      <alignment horizontal="left" vertical="center"/>
      <protection locked="0"/>
    </xf>
    <xf numFmtId="0" fontId="30" fillId="0" borderId="0" xfId="0" applyFont="1" applyAlignment="1" applyProtection="1">
      <alignment horizontal="left" vertical="center"/>
      <protection locked="0"/>
    </xf>
    <xf numFmtId="0" fontId="31" fillId="0" borderId="0" xfId="0" applyFont="1" applyAlignment="1" applyProtection="1">
      <alignment horizontal="left" vertical="center"/>
      <protection locked="0"/>
    </xf>
    <xf numFmtId="0" fontId="26" fillId="0" borderId="0" xfId="0" applyFont="1" applyAlignment="1" applyProtection="1">
      <alignment horizontal="left" vertical="center"/>
      <protection locked="0"/>
    </xf>
    <xf numFmtId="0" fontId="20" fillId="8" borderId="0" xfId="0" applyFont="1" applyFill="1" applyAlignment="1">
      <alignment horizontal="left" vertical="center"/>
    </xf>
    <xf numFmtId="166" fontId="20" fillId="8" borderId="1" xfId="0" applyNumberFormat="1" applyFont="1" applyFill="1" applyBorder="1" applyAlignment="1">
      <alignment horizontal="left" vertical="center"/>
    </xf>
    <xf numFmtId="49" fontId="20" fillId="8" borderId="1" xfId="0" applyNumberFormat="1" applyFont="1" applyFill="1" applyBorder="1" applyAlignment="1">
      <alignment horizontal="left" vertical="center"/>
    </xf>
    <xf numFmtId="3" fontId="20" fillId="8" borderId="1" xfId="0" applyNumberFormat="1" applyFont="1" applyFill="1" applyBorder="1" applyAlignment="1">
      <alignment horizontal="left" vertical="center"/>
    </xf>
    <xf numFmtId="4" fontId="20" fillId="8" borderId="1" xfId="0" applyNumberFormat="1" applyFont="1" applyFill="1" applyBorder="1" applyAlignment="1">
      <alignment horizontal="left" vertical="center"/>
    </xf>
    <xf numFmtId="14" fontId="0" fillId="0" borderId="0" xfId="0" applyNumberFormat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4" fontId="0" fillId="0" borderId="0" xfId="0" applyNumberFormat="1" applyAlignment="1" applyProtection="1">
      <alignment horizontal="left" vertical="center"/>
      <protection locked="0"/>
    </xf>
    <xf numFmtId="3" fontId="0" fillId="0" borderId="0" xfId="0" applyNumberFormat="1" applyAlignment="1" applyProtection="1">
      <alignment horizontal="left" vertical="center"/>
      <protection locked="0"/>
    </xf>
    <xf numFmtId="3" fontId="24" fillId="0" borderId="0" xfId="0" applyNumberFormat="1" applyFont="1" applyAlignment="1" applyProtection="1">
      <alignment horizontal="left" vertical="center"/>
      <protection locked="0"/>
    </xf>
    <xf numFmtId="0" fontId="24" fillId="9" borderId="0" xfId="0" applyFont="1" applyFill="1" applyAlignment="1" applyProtection="1">
      <alignment horizontal="left" vertical="center"/>
      <protection locked="0"/>
    </xf>
    <xf numFmtId="14" fontId="0" fillId="9" borderId="0" xfId="0" applyNumberFormat="1" applyFill="1" applyAlignment="1" applyProtection="1">
      <alignment horizontal="left" vertical="center"/>
      <protection locked="0"/>
    </xf>
    <xf numFmtId="49" fontId="0" fillId="9" borderId="0" xfId="0" applyNumberFormat="1" applyFill="1" applyAlignment="1" applyProtection="1">
      <alignment horizontal="left" vertical="center"/>
      <protection locked="0"/>
    </xf>
    <xf numFmtId="4" fontId="0" fillId="9" borderId="0" xfId="0" applyNumberFormat="1" applyFill="1" applyAlignment="1" applyProtection="1">
      <alignment horizontal="left" vertical="center"/>
      <protection locked="0"/>
    </xf>
    <xf numFmtId="3" fontId="0" fillId="9" borderId="0" xfId="0" applyNumberFormat="1" applyFill="1" applyAlignment="1" applyProtection="1">
      <alignment horizontal="left" vertical="center"/>
      <protection locked="0"/>
    </xf>
    <xf numFmtId="14" fontId="24" fillId="0" borderId="0" xfId="0" applyNumberFormat="1" applyFont="1" applyAlignment="1" applyProtection="1">
      <alignment horizontal="left" vertical="center"/>
      <protection locked="0"/>
    </xf>
    <xf numFmtId="49" fontId="24" fillId="0" borderId="0" xfId="0" applyNumberFormat="1" applyFont="1" applyAlignment="1" applyProtection="1">
      <alignment horizontal="left" vertical="center"/>
      <protection locked="0"/>
    </xf>
    <xf numFmtId="4" fontId="24" fillId="0" borderId="0" xfId="0" applyNumberFormat="1" applyFont="1" applyAlignment="1" applyProtection="1">
      <alignment horizontal="left" vertical="center"/>
      <protection locked="0"/>
    </xf>
    <xf numFmtId="0" fontId="23" fillId="0" borderId="0" xfId="0" applyFont="1" applyAlignment="1">
      <alignment horizontal="left" vertical="center" wrapText="1"/>
    </xf>
    <xf numFmtId="4" fontId="23" fillId="0" borderId="0" xfId="0" applyNumberFormat="1" applyFont="1" applyAlignment="1">
      <alignment horizontal="left" vertical="center"/>
    </xf>
    <xf numFmtId="4" fontId="23" fillId="0" borderId="0" xfId="0" applyNumberFormat="1" applyFont="1" applyAlignment="1" applyProtection="1">
      <alignment horizontal="left" vertical="center"/>
      <protection locked="0"/>
    </xf>
    <xf numFmtId="3" fontId="23" fillId="0" borderId="0" xfId="0" applyNumberFormat="1" applyFont="1" applyAlignment="1" applyProtection="1">
      <alignment horizontal="left" vertical="center"/>
      <protection locked="0"/>
    </xf>
    <xf numFmtId="0" fontId="23" fillId="0" borderId="0" xfId="0" applyFont="1" applyFill="1" applyAlignment="1" applyProtection="1">
      <alignment horizontal="left" vertical="center"/>
      <protection locked="0"/>
    </xf>
    <xf numFmtId="14" fontId="23" fillId="0" borderId="0" xfId="0" applyNumberFormat="1" applyFont="1" applyAlignment="1" applyProtection="1">
      <alignment horizontal="left" vertical="center"/>
      <protection locked="0"/>
    </xf>
    <xf numFmtId="3" fontId="23" fillId="0" borderId="0" xfId="0" applyNumberFormat="1" applyFont="1" applyAlignment="1">
      <alignment horizontal="left" vertical="center"/>
    </xf>
    <xf numFmtId="0" fontId="24" fillId="0" borderId="0" xfId="0" applyFont="1" applyFill="1" applyAlignment="1" applyProtection="1">
      <alignment horizontal="left" vertical="center"/>
      <protection locked="0"/>
    </xf>
    <xf numFmtId="0" fontId="0" fillId="0" borderId="0" xfId="0" applyFill="1" applyAlignment="1" applyProtection="1">
      <alignment horizontal="left" vertical="center"/>
      <protection locked="0"/>
    </xf>
    <xf numFmtId="14" fontId="0" fillId="0" borderId="0" xfId="0" applyNumberFormat="1" applyFill="1" applyAlignment="1" applyProtection="1">
      <alignment horizontal="left" vertical="center"/>
      <protection locked="0"/>
    </xf>
    <xf numFmtId="49" fontId="0" fillId="0" borderId="0" xfId="0" applyNumberFormat="1" applyFill="1" applyAlignment="1" applyProtection="1">
      <alignment horizontal="left" vertical="center"/>
      <protection locked="0"/>
    </xf>
    <xf numFmtId="4" fontId="0" fillId="0" borderId="0" xfId="0" applyNumberFormat="1" applyFill="1" applyAlignment="1" applyProtection="1">
      <alignment horizontal="left" vertical="center"/>
      <protection locked="0"/>
    </xf>
    <xf numFmtId="3" fontId="0" fillId="0" borderId="0" xfId="0" applyNumberFormat="1" applyFill="1" applyAlignment="1" applyProtection="1">
      <alignment horizontal="left" vertical="center"/>
      <protection locked="0"/>
    </xf>
    <xf numFmtId="0" fontId="0" fillId="0" borderId="0" xfId="0" applyFill="1" applyAlignment="1">
      <alignment horizontal="left" vertical="center"/>
    </xf>
    <xf numFmtId="0" fontId="26" fillId="0" borderId="0" xfId="0" applyFont="1" applyFill="1" applyAlignment="1" applyProtection="1">
      <alignment horizontal="left" vertical="center"/>
      <protection locked="0"/>
    </xf>
    <xf numFmtId="3" fontId="24" fillId="0" borderId="0" xfId="0" applyNumberFormat="1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27" fillId="0" borderId="0" xfId="0" applyFont="1" applyFill="1" applyAlignment="1" applyProtection="1">
      <alignment horizontal="left" vertical="center"/>
      <protection locked="0"/>
    </xf>
    <xf numFmtId="0" fontId="27" fillId="0" borderId="0" xfId="0" applyFont="1" applyFill="1" applyAlignment="1" applyProtection="1">
      <alignment horizontal="left" vertical="center" wrapText="1"/>
      <protection locked="0"/>
    </xf>
    <xf numFmtId="49" fontId="0" fillId="0" borderId="0" xfId="0" applyNumberFormat="1" applyFill="1" applyAlignment="1" applyProtection="1">
      <alignment horizontal="left" vertical="center" wrapText="1"/>
      <protection locked="0"/>
    </xf>
    <xf numFmtId="4" fontId="0" fillId="0" borderId="0" xfId="0" applyNumberFormat="1" applyFill="1" applyAlignment="1" applyProtection="1">
      <alignment horizontal="left" vertical="center" wrapText="1"/>
      <protection locked="0"/>
    </xf>
    <xf numFmtId="3" fontId="0" fillId="0" borderId="0" xfId="0" applyNumberFormat="1" applyFill="1" applyAlignment="1" applyProtection="1">
      <alignment horizontal="left" vertical="center" wrapText="1"/>
      <protection locked="0"/>
    </xf>
    <xf numFmtId="14" fontId="0" fillId="0" borderId="0" xfId="0" applyNumberFormat="1" applyFill="1" applyAlignment="1" applyProtection="1">
      <alignment horizontal="left" vertical="center" wrapText="1"/>
      <protection locked="0"/>
    </xf>
    <xf numFmtId="14" fontId="24" fillId="0" borderId="0" xfId="0" applyNumberFormat="1" applyFont="1" applyFill="1" applyAlignment="1" applyProtection="1">
      <alignment horizontal="left" vertical="center"/>
      <protection locked="0"/>
    </xf>
    <xf numFmtId="49" fontId="24" fillId="0" borderId="0" xfId="0" applyNumberFormat="1" applyFont="1" applyFill="1" applyAlignment="1" applyProtection="1">
      <alignment horizontal="left" vertical="center"/>
      <protection locked="0"/>
    </xf>
    <xf numFmtId="4" fontId="24" fillId="0" borderId="0" xfId="0" applyNumberFormat="1" applyFont="1" applyFill="1" applyAlignment="1" applyProtection="1">
      <alignment horizontal="left" vertical="center"/>
      <protection locked="0"/>
    </xf>
    <xf numFmtId="0" fontId="28" fillId="0" borderId="0" xfId="0" applyFont="1" applyFill="1" applyAlignment="1">
      <alignment horizontal="left" vertical="center" wrapText="1"/>
    </xf>
    <xf numFmtId="0" fontId="27" fillId="0" borderId="0" xfId="0" applyFont="1" applyFill="1" applyAlignment="1">
      <alignment horizontal="left" vertical="center" wrapText="1"/>
    </xf>
    <xf numFmtId="0" fontId="24" fillId="0" borderId="0" xfId="0" applyFont="1" applyFill="1" applyAlignment="1">
      <alignment horizontal="left" vertical="center"/>
    </xf>
    <xf numFmtId="0" fontId="26" fillId="0" borderId="0" xfId="0" applyFont="1" applyFill="1" applyAlignment="1">
      <alignment horizontal="left" vertical="center" wrapText="1"/>
    </xf>
    <xf numFmtId="0" fontId="29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26" fillId="0" borderId="0" xfId="0" applyFont="1" applyFill="1" applyAlignment="1">
      <alignment horizontal="left" vertical="center"/>
    </xf>
    <xf numFmtId="0" fontId="26" fillId="0" borderId="0" xfId="0" applyFont="1" applyFill="1" applyAlignment="1" applyProtection="1">
      <alignment horizontal="left" vertical="center" wrapText="1"/>
      <protection locked="0"/>
    </xf>
    <xf numFmtId="0" fontId="29" fillId="0" borderId="0" xfId="0" applyFont="1" applyFill="1" applyAlignment="1" applyProtection="1">
      <alignment horizontal="left" vertical="center" wrapText="1"/>
      <protection locked="0"/>
    </xf>
    <xf numFmtId="0" fontId="29" fillId="0" borderId="0" xfId="0" applyFont="1" applyFill="1" applyAlignment="1" applyProtection="1">
      <alignment horizontal="left" vertical="center"/>
      <protection locked="0"/>
    </xf>
    <xf numFmtId="0" fontId="28" fillId="0" borderId="0" xfId="0" applyFont="1" applyFill="1" applyAlignment="1" applyProtection="1">
      <alignment horizontal="left" vertical="center" wrapText="1"/>
      <protection locked="0"/>
    </xf>
    <xf numFmtId="0" fontId="28" fillId="0" borderId="0" xfId="0" applyFont="1" applyFill="1" applyAlignment="1" applyProtection="1">
      <alignment horizontal="left" vertical="center"/>
      <protection locked="0"/>
    </xf>
    <xf numFmtId="0" fontId="3" fillId="0" borderId="0" xfId="0" applyFont="1" applyFill="1" applyAlignment="1" applyProtection="1">
      <alignment horizontal="left" vertical="center" wrapText="1"/>
      <protection locked="0"/>
    </xf>
    <xf numFmtId="0" fontId="0" fillId="9" borderId="0" xfId="0" applyFill="1" applyAlignment="1">
      <alignment horizontal="left" vertical="center"/>
    </xf>
    <xf numFmtId="0" fontId="20" fillId="9" borderId="0" xfId="0" applyFont="1" applyFill="1" applyAlignment="1" applyProtection="1">
      <alignment horizontal="left" vertical="center"/>
      <protection locked="0"/>
    </xf>
    <xf numFmtId="49" fontId="23" fillId="0" borderId="0" xfId="0" applyNumberFormat="1" applyFont="1" applyFill="1" applyAlignment="1" applyProtection="1">
      <alignment horizontal="left" vertical="center"/>
      <protection locked="0"/>
    </xf>
    <xf numFmtId="0" fontId="23" fillId="0" borderId="0" xfId="0" applyFont="1" applyAlignment="1" applyProtection="1">
      <alignment horizontal="left" vertical="center" wrapText="1"/>
      <protection locked="0"/>
    </xf>
    <xf numFmtId="49" fontId="23" fillId="0" borderId="0" xfId="0" applyNumberFormat="1" applyFont="1" applyAlignment="1" applyProtection="1">
      <alignment horizontal="left" vertical="center"/>
      <protection locked="0"/>
    </xf>
    <xf numFmtId="0" fontId="1" fillId="4" borderId="32" xfId="0" applyFont="1" applyFill="1" applyBorder="1" applyAlignment="1">
      <alignment horizontal="left" vertical="center"/>
    </xf>
    <xf numFmtId="0" fontId="1" fillId="7" borderId="68" xfId="0" applyFont="1" applyFill="1" applyBorder="1" applyAlignment="1">
      <alignment horizontal="left" vertical="center"/>
    </xf>
    <xf numFmtId="0" fontId="1" fillId="4" borderId="69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67" fontId="0" fillId="0" borderId="0" xfId="0" applyNumberFormat="1"/>
    <xf numFmtId="0" fontId="23" fillId="0" borderId="0" xfId="0" applyFont="1" applyFill="1" applyAlignment="1">
      <alignment horizontal="left" vertical="center"/>
    </xf>
    <xf numFmtId="14" fontId="23" fillId="0" borderId="0" xfId="0" applyNumberFormat="1" applyFont="1" applyFill="1" applyAlignment="1">
      <alignment horizontal="left" vertical="center"/>
    </xf>
    <xf numFmtId="4" fontId="0" fillId="0" borderId="0" xfId="0" applyNumberFormat="1" applyFill="1" applyAlignment="1">
      <alignment horizontal="left" vertical="center"/>
    </xf>
    <xf numFmtId="3" fontId="0" fillId="0" borderId="0" xfId="0" applyNumberFormat="1" applyFill="1" applyAlignment="1">
      <alignment horizontal="left" vertical="center"/>
    </xf>
    <xf numFmtId="0" fontId="23" fillId="0" borderId="0" xfId="0" applyFont="1" applyFill="1" applyAlignment="1">
      <alignment horizontal="left" vertical="center" wrapText="1"/>
    </xf>
    <xf numFmtId="4" fontId="23" fillId="0" borderId="0" xfId="0" applyNumberFormat="1" applyFont="1" applyFill="1" applyAlignment="1">
      <alignment horizontal="left" vertical="center"/>
    </xf>
    <xf numFmtId="3" fontId="23" fillId="0" borderId="0" xfId="0" applyNumberFormat="1" applyFont="1" applyFill="1" applyAlignment="1">
      <alignment horizontal="left" vertical="center"/>
    </xf>
    <xf numFmtId="4" fontId="21" fillId="0" borderId="0" xfId="0" applyNumberFormat="1" applyFont="1"/>
    <xf numFmtId="0" fontId="0" fillId="0" borderId="0" xfId="0" applyFill="1" applyAlignment="1">
      <alignment horizontal="right"/>
    </xf>
    <xf numFmtId="49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 wrapText="1"/>
    </xf>
    <xf numFmtId="14" fontId="0" fillId="0" borderId="0" xfId="0" applyNumberFormat="1" applyFill="1" applyAlignment="1">
      <alignment horizontal="right"/>
    </xf>
    <xf numFmtId="0" fontId="0" fillId="0" borderId="70" xfId="0" applyFill="1" applyBorder="1" applyAlignment="1">
      <alignment horizontal="right"/>
    </xf>
    <xf numFmtId="0" fontId="0" fillId="0" borderId="63" xfId="0" applyFill="1" applyBorder="1" applyAlignment="1">
      <alignment horizontal="right"/>
    </xf>
    <xf numFmtId="0" fontId="23" fillId="0" borderId="0" xfId="0" applyFont="1" applyFill="1" applyAlignment="1">
      <alignment horizontal="left"/>
    </xf>
    <xf numFmtId="14" fontId="0" fillId="3" borderId="67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14" fontId="0" fillId="3" borderId="64" xfId="0" applyNumberFormat="1" applyFill="1" applyBorder="1" applyAlignment="1">
      <alignment horizontal="right"/>
    </xf>
    <xf numFmtId="4" fontId="0" fillId="0" borderId="2" xfId="0" applyNumberFormat="1" applyFill="1" applyBorder="1"/>
    <xf numFmtId="4" fontId="0" fillId="0" borderId="1" xfId="0" applyNumberFormat="1" applyFill="1" applyBorder="1"/>
    <xf numFmtId="4" fontId="0" fillId="0" borderId="9" xfId="0" applyNumberFormat="1" applyFill="1" applyBorder="1"/>
    <xf numFmtId="4" fontId="1" fillId="0" borderId="10" xfId="0" applyNumberFormat="1" applyFont="1" applyFill="1" applyBorder="1" applyAlignment="1">
      <alignment vertical="center"/>
    </xf>
    <xf numFmtId="3" fontId="0" fillId="0" borderId="0" xfId="0" applyNumberFormat="1" applyAlignment="1">
      <alignment horizontal="left" vertical="center" wrapText="1"/>
    </xf>
    <xf numFmtId="2" fontId="23" fillId="0" borderId="0" xfId="0" applyNumberFormat="1" applyFont="1" applyFill="1" applyAlignment="1">
      <alignment horizontal="left" vertical="center"/>
    </xf>
    <xf numFmtId="4" fontId="23" fillId="0" borderId="0" xfId="0" applyNumberFormat="1" applyFont="1" applyFill="1" applyAlignment="1" applyProtection="1">
      <alignment horizontal="left" vertical="center"/>
      <protection locked="0"/>
    </xf>
    <xf numFmtId="3" fontId="23" fillId="0" borderId="0" xfId="0" applyNumberFormat="1" applyFont="1" applyFill="1" applyAlignment="1" applyProtection="1">
      <alignment horizontal="left" vertical="center"/>
      <protection locked="0"/>
    </xf>
    <xf numFmtId="14" fontId="23" fillId="0" borderId="0" xfId="0" applyNumberFormat="1" applyFont="1" applyFill="1" applyAlignment="1" applyProtection="1">
      <alignment horizontal="left" vertical="center"/>
      <protection locked="0"/>
    </xf>
    <xf numFmtId="0" fontId="1" fillId="7" borderId="71" xfId="0" applyFont="1" applyFill="1" applyBorder="1" applyAlignment="1">
      <alignment horizontal="left" vertical="center"/>
    </xf>
    <xf numFmtId="0" fontId="33" fillId="0" borderId="46" xfId="0" applyFont="1" applyBorder="1" applyAlignment="1">
      <alignment horizontal="justify" vertical="justify" wrapText="1"/>
    </xf>
    <xf numFmtId="0" fontId="1" fillId="7" borderId="72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7" borderId="73" xfId="0" applyFont="1" applyFill="1" applyBorder="1" applyAlignment="1">
      <alignment horizontal="left" vertical="center"/>
    </xf>
    <xf numFmtId="0" fontId="23" fillId="0" borderId="0" xfId="0" applyFont="1" applyAlignment="1">
      <alignment horizontal="left"/>
    </xf>
    <xf numFmtId="0" fontId="1" fillId="7" borderId="9" xfId="0" applyFont="1" applyFill="1" applyBorder="1" applyAlignment="1">
      <alignment horizontal="left" vertical="center"/>
    </xf>
    <xf numFmtId="0" fontId="0" fillId="0" borderId="0" xfId="0" applyAlignment="1"/>
    <xf numFmtId="14" fontId="23" fillId="0" borderId="0" xfId="0" applyNumberFormat="1" applyFont="1" applyAlignment="1" applyProtection="1">
      <alignment horizontal="right"/>
      <protection locked="0"/>
    </xf>
    <xf numFmtId="0" fontId="23" fillId="0" borderId="0" xfId="0" applyFont="1" applyAlignment="1" applyProtection="1">
      <alignment horizontal="center"/>
      <protection locked="0"/>
    </xf>
    <xf numFmtId="0" fontId="24" fillId="0" borderId="0" xfId="0" applyFont="1" applyAlignment="1">
      <alignment vertical="center"/>
    </xf>
    <xf numFmtId="4" fontId="21" fillId="4" borderId="0" xfId="0" applyNumberFormat="1" applyFont="1" applyFill="1" applyAlignment="1" applyProtection="1">
      <alignment horizontal="left" vertical="center"/>
      <protection locked="0"/>
    </xf>
    <xf numFmtId="4" fontId="21" fillId="10" borderId="0" xfId="0" applyNumberFormat="1" applyFont="1" applyFill="1" applyAlignment="1" applyProtection="1">
      <alignment horizontal="left" vertical="center"/>
      <protection locked="0"/>
    </xf>
    <xf numFmtId="0" fontId="9" fillId="11" borderId="0" xfId="0" applyFont="1" applyFill="1" applyAlignment="1" applyProtection="1">
      <alignment horizontal="left" vertical="center" wrapText="1"/>
      <protection locked="0"/>
    </xf>
    <xf numFmtId="0" fontId="0" fillId="11" borderId="0" xfId="0" applyFill="1" applyAlignment="1" applyProtection="1">
      <alignment horizontal="left" vertical="center" wrapText="1"/>
      <protection locked="0"/>
    </xf>
    <xf numFmtId="0" fontId="0" fillId="11" borderId="0" xfId="0" applyFill="1" applyAlignment="1" applyProtection="1">
      <alignment horizontal="left" vertical="center"/>
      <protection locked="0"/>
    </xf>
    <xf numFmtId="0" fontId="23" fillId="11" borderId="0" xfId="0" applyFont="1" applyFill="1" applyAlignment="1" applyProtection="1">
      <alignment horizontal="left" vertical="center"/>
      <protection locked="0"/>
    </xf>
    <xf numFmtId="3" fontId="0" fillId="11" borderId="0" xfId="0" applyNumberFormat="1" applyFill="1" applyAlignment="1">
      <alignment horizontal="left" vertical="center"/>
    </xf>
    <xf numFmtId="3" fontId="0" fillId="11" borderId="0" xfId="0" applyNumberFormat="1" applyFill="1" applyAlignment="1" applyProtection="1">
      <alignment horizontal="left" vertical="center"/>
      <protection locked="0"/>
    </xf>
    <xf numFmtId="4" fontId="0" fillId="11" borderId="0" xfId="0" applyNumberFormat="1" applyFill="1" applyAlignment="1" applyProtection="1">
      <alignment horizontal="left" vertical="center"/>
      <protection locked="0"/>
    </xf>
    <xf numFmtId="4" fontId="0" fillId="12" borderId="0" xfId="0" applyNumberFormat="1" applyFill="1" applyAlignment="1">
      <alignment horizontal="left" vertical="center"/>
    </xf>
    <xf numFmtId="0" fontId="23" fillId="0" borderId="0" xfId="0" applyFont="1" applyFill="1" applyAlignment="1" applyProtection="1">
      <alignment horizontal="left" vertical="center" wrapText="1"/>
      <protection locked="0"/>
    </xf>
    <xf numFmtId="0" fontId="23" fillId="11" borderId="0" xfId="0" applyFont="1" applyFill="1" applyAlignment="1" applyProtection="1">
      <alignment horizontal="left" vertical="center" wrapText="1"/>
      <protection locked="0"/>
    </xf>
    <xf numFmtId="0" fontId="1" fillId="13" borderId="74" xfId="0" applyFont="1" applyFill="1" applyBorder="1"/>
    <xf numFmtId="0" fontId="0" fillId="0" borderId="0" xfId="0" applyAlignment="1">
      <alignment horizontal="center"/>
    </xf>
    <xf numFmtId="0" fontId="1" fillId="13" borderId="75" xfId="0" applyFont="1" applyFill="1" applyBorder="1" applyAlignment="1">
      <alignment horizontal="left"/>
    </xf>
    <xf numFmtId="43" fontId="1" fillId="13" borderId="75" xfId="0" applyNumberFormat="1" applyFont="1" applyFill="1" applyBorder="1"/>
    <xf numFmtId="0" fontId="0" fillId="0" borderId="76" xfId="0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" fontId="1" fillId="0" borderId="17" xfId="0" applyNumberFormat="1" applyFont="1" applyBorder="1" applyAlignment="1">
      <alignment horizontal="center" vertical="center"/>
    </xf>
    <xf numFmtId="4" fontId="1" fillId="0" borderId="24" xfId="0" applyNumberFormat="1" applyFont="1" applyBorder="1" applyAlignment="1">
      <alignment horizontal="center" vertical="center"/>
    </xf>
    <xf numFmtId="4" fontId="1" fillId="0" borderId="31" xfId="0" applyNumberFormat="1" applyFont="1" applyBorder="1" applyAlignment="1">
      <alignment horizontal="center" vertical="center"/>
    </xf>
    <xf numFmtId="4" fontId="1" fillId="0" borderId="32" xfId="0" applyNumberFormat="1" applyFont="1" applyBorder="1" applyAlignment="1">
      <alignment horizontal="center" vertical="center"/>
    </xf>
    <xf numFmtId="4" fontId="1" fillId="0" borderId="33" xfId="0" applyNumberFormat="1" applyFont="1" applyBorder="1" applyAlignment="1">
      <alignment horizontal="center" vertical="center"/>
    </xf>
    <xf numFmtId="4" fontId="1" fillId="0" borderId="34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" fontId="1" fillId="0" borderId="14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4" fontId="1" fillId="0" borderId="11" xfId="0" applyNumberFormat="1" applyFont="1" applyBorder="1" applyAlignment="1">
      <alignment horizontal="center"/>
    </xf>
    <xf numFmtId="4" fontId="0" fillId="0" borderId="23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19" xfId="0" applyNumberFormat="1" applyBorder="1" applyAlignment="1">
      <alignment horizontal="center"/>
    </xf>
    <xf numFmtId="4" fontId="0" fillId="0" borderId="35" xfId="0" applyNumberFormat="1" applyBorder="1" applyAlignment="1">
      <alignment horizont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24" xfId="0" applyNumberFormat="1" applyFont="1" applyBorder="1" applyAlignment="1">
      <alignment horizontal="center" vertical="center"/>
    </xf>
    <xf numFmtId="4" fontId="11" fillId="0" borderId="31" xfId="0" applyNumberFormat="1" applyFont="1" applyBorder="1" applyAlignment="1">
      <alignment horizontal="center" vertical="center"/>
    </xf>
    <xf numFmtId="4" fontId="11" fillId="0" borderId="32" xfId="0" applyNumberFormat="1" applyFont="1" applyBorder="1" applyAlignment="1">
      <alignment horizontal="center" vertical="center"/>
    </xf>
    <xf numFmtId="4" fontId="11" fillId="0" borderId="33" xfId="0" applyNumberFormat="1" applyFont="1" applyBorder="1" applyAlignment="1">
      <alignment horizontal="center" vertical="center"/>
    </xf>
    <xf numFmtId="4" fontId="11" fillId="0" borderId="34" xfId="0" applyNumberFormat="1" applyFont="1" applyBorder="1" applyAlignment="1">
      <alignment horizontal="center" vertical="center"/>
    </xf>
    <xf numFmtId="4" fontId="1" fillId="0" borderId="23" xfId="0" applyNumberFormat="1" applyFont="1" applyBorder="1" applyAlignment="1">
      <alignment horizontal="center" vertical="center"/>
    </xf>
    <xf numFmtId="4" fontId="1" fillId="0" borderId="13" xfId="0" applyNumberFormat="1" applyFont="1" applyBorder="1" applyAlignment="1">
      <alignment horizontal="center" vertical="center"/>
    </xf>
    <xf numFmtId="3" fontId="18" fillId="0" borderId="50" xfId="0" applyNumberFormat="1" applyFont="1" applyBorder="1" applyAlignment="1">
      <alignment horizontal="justify" vertical="justify" wrapText="1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" fontId="1" fillId="0" borderId="28" xfId="0" applyNumberFormat="1" applyFont="1" applyBorder="1" applyAlignment="1">
      <alignment horizontal="center" vertical="center"/>
    </xf>
    <xf numFmtId="4" fontId="1" fillId="0" borderId="25" xfId="0" applyNumberFormat="1" applyFont="1" applyBorder="1" applyAlignment="1">
      <alignment horizontal="center" vertical="center"/>
    </xf>
    <xf numFmtId="4" fontId="1" fillId="0" borderId="14" xfId="0" applyNumberFormat="1" applyFont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3" fontId="4" fillId="0" borderId="49" xfId="0" applyNumberFormat="1" applyFont="1" applyBorder="1" applyAlignment="1">
      <alignment horizontal="center" vertical="center"/>
    </xf>
    <xf numFmtId="3" fontId="4" fillId="0" borderId="43" xfId="0" applyNumberFormat="1" applyFont="1" applyBorder="1" applyAlignment="1">
      <alignment horizontal="center" vertical="center"/>
    </xf>
    <xf numFmtId="4" fontId="0" fillId="0" borderId="23" xfId="0" applyNumberFormat="1" applyBorder="1" applyAlignment="1">
      <alignment horizontal="center"/>
    </xf>
    <xf numFmtId="4" fontId="0" fillId="0" borderId="1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34" fillId="0" borderId="0" xfId="0" applyFont="1" applyAlignment="1">
      <alignment horizontal="left" vertical="center"/>
    </xf>
  </cellXfs>
  <cellStyles count="3">
    <cellStyle name="Normal" xfId="0" builtinId="0"/>
    <cellStyle name="Normal 3" xfId="2" xr:uid="{9696299A-2EC4-4872-9AF7-9390DD1F565C}"/>
    <cellStyle name="Vírgula" xfId="1" builtinId="3"/>
  </cellStyles>
  <dxfs count="5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369094</xdr:colOff>
      <xdr:row>1</xdr:row>
      <xdr:rowOff>226219</xdr:rowOff>
    </xdr:from>
    <xdr:to>
      <xdr:col>7</xdr:col>
      <xdr:colOff>726811</xdr:colOff>
      <xdr:row>4</xdr:row>
      <xdr:rowOff>73484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5353D4-3EBA-43C7-A151-B425A5FA9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0969" y="607219"/>
          <a:ext cx="3024717" cy="99026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059501" refreshedDate="46111.443534143516" createdVersion="7" refreshedVersion="7" minRefreshableVersion="3" recordCount="503" xr:uid="{26115C3E-BC74-406D-BEAD-AB22F411DC7F}">
  <cacheSource type="worksheet">
    <worksheetSource ref="A1:AK504" sheet="2_CONTROLE_ESTOQUE"/>
  </cacheSource>
  <cacheFields count="33">
    <cacheField name="CODIGO" numFmtId="0">
      <sharedItems containsBlank="1"/>
    </cacheField>
    <cacheField name="LEI" numFmtId="0">
      <sharedItems containsBlank="1" count="3">
        <s v="13.769/2004"/>
        <s v="18.175/2024"/>
        <m/>
      </sharedItems>
    </cacheField>
    <cacheField name="PA (16 digitos)" numFmtId="0">
      <sharedItems containsBlank="1"/>
    </cacheField>
    <cacheField name="PA (12 digitos)" numFmtId="0">
      <sharedItems containsBlank="1"/>
    </cacheField>
    <cacheField name="DATA AUTUACAO PA" numFmtId="14">
      <sharedItems containsNonDate="0" containsDate="1" containsString="0" containsBlank="1" minDate="2003-11-12T00:00:00" maxDate="2025-08-26T00:00:00"/>
    </cacheField>
    <cacheField name="STATUS PA" numFmtId="0">
      <sharedItems containsBlank="1" count="3">
        <s v="DEFERIDO"/>
        <m/>
        <s v="ANALISE"/>
      </sharedItems>
    </cacheField>
    <cacheField name="INTERESSADO" numFmtId="0">
      <sharedItems containsBlank="1" longText="1"/>
    </cacheField>
    <cacheField name="CNPJ" numFmtId="0">
      <sharedItems containsBlank="1"/>
    </cacheField>
    <cacheField name="CPF" numFmtId="0">
      <sharedItems containsBlank="1"/>
    </cacheField>
    <cacheField name="ENDEREÇO" numFmtId="0">
      <sharedItems containsBlank="1" longText="1"/>
    </cacheField>
    <cacheField name="SETOR OUC" numFmtId="0">
      <sharedItems containsBlank="1" count="5">
        <s v="FARIA LIMA"/>
        <s v="HÉLIO PELEGRINO"/>
        <m/>
        <s v="PINHEIROS"/>
        <s v="OLIMPÍADAS"/>
      </sharedItems>
    </cacheField>
    <cacheField name="REQUERIMENTO" numFmtId="0">
      <sharedItems containsBlank="1" count="4">
        <s v="VINCULACAO"/>
        <s v="DESVINCULACAO"/>
        <s v="ALTERACAO"/>
        <m/>
      </sharedItems>
    </cacheField>
    <cacheField name="CONTRIBUINTE - SQ" numFmtId="0">
      <sharedItems containsBlank="1" containsMixedTypes="1" containsNumber="1" containsInteger="1" minValue="299047" maxValue="299047"/>
    </cacheField>
    <cacheField name="CONTRIBUINTE - L" numFmtId="0">
      <sharedItems containsBlank="1" longText="1"/>
    </cacheField>
    <cacheField name="ÁREA DO TERRENO" numFmtId="0">
      <sharedItems containsBlank="1" containsMixedTypes="1" containsNumber="1" minValue="287.82" maxValue="61055.85"/>
    </cacheField>
    <cacheField name="USO DA ACA" numFmtId="0">
      <sharedItems containsBlank="1"/>
    </cacheField>
    <cacheField name="ACA-R" numFmtId="0">
      <sharedItems containsString="0" containsBlank="1" containsNumber="1" minValue="0" maxValue="34278.239999999998"/>
    </cacheField>
    <cacheField name="ACA-NR" numFmtId="0">
      <sharedItems containsString="0" containsBlank="1" containsNumber="1" minValue="0" maxValue="48214.75"/>
    </cacheField>
    <cacheField name="ACA-TOTAL" numFmtId="4">
      <sharedItems containsString="0" containsBlank="1" containsNumber="1" minValue="0" maxValue="48214.75"/>
    </cacheField>
    <cacheField name="TIPO DE CONTRAPARTIDA" numFmtId="0">
      <sharedItems containsBlank="1"/>
    </cacheField>
    <cacheField name="VALOR R$" numFmtId="0">
      <sharedItems containsString="0" containsBlank="1" containsNumber="1" containsInteger="1" minValue="2365682" maxValue="2365682"/>
    </cacheField>
    <cacheField name="CEPAC ACA" numFmtId="0">
      <sharedItems containsString="0" containsBlank="1" containsNumber="1" containsInteger="1" minValue="0" maxValue="53572"/>
    </cacheField>
    <cacheField name="CEPAC PARAMETROS" numFmtId="0">
      <sharedItems containsString="0" containsBlank="1" containsNumber="1" containsInteger="1" minValue="0" maxValue="5014"/>
    </cacheField>
    <cacheField name="TOTAL CEPAC" numFmtId="3">
      <sharedItems containsBlank="1" containsMixedTypes="1" containsNumber="1" containsInteger="1" minValue="0" maxValue="53572"/>
    </cacheField>
    <cacheField name="CERTIDAO" numFmtId="0">
      <sharedItems containsBlank="1"/>
    </cacheField>
    <cacheField name="SITUACAO" numFmtId="0">
      <sharedItems containsBlank="1" count="4">
        <s v="VALIDA"/>
        <s v="CANCELADA"/>
        <m/>
        <s v="ANALISE"/>
      </sharedItems>
    </cacheField>
    <cacheField name="DATA CERTIDAO " numFmtId="0">
      <sharedItems containsNonDate="0" containsDate="1" containsString="0" containsBlank="1" minDate="2004-09-30T00:00:00" maxDate="2025-12-03T00:00:00"/>
    </cacheField>
    <cacheField name="NUVEM m² - R" numFmtId="0">
      <sharedItems containsNonDate="0" containsString="0" containsBlank="1"/>
    </cacheField>
    <cacheField name="NUVEM m² -nR" numFmtId="0">
      <sharedItems containsNonDate="0" containsString="0" containsBlank="1"/>
    </cacheField>
    <cacheField name="NUVEM m²" numFmtId="0">
      <sharedItems containsString="0" containsBlank="1" containsNumber="1" minValue="0" maxValue="424"/>
    </cacheField>
    <cacheField name="NUVEM CEPAC" numFmtId="0">
      <sharedItems containsString="0" containsBlank="1" containsNumber="1" containsInteger="1" minValue="0" maxValue="3292"/>
    </cacheField>
    <cacheField name="OBS" numFmtId="0">
      <sharedItems containsBlank="1" longText="1"/>
    </cacheField>
    <cacheField name="RESP/DAT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3">
  <r>
    <s v="FL-0095"/>
    <x v="0"/>
    <m/>
    <s v="2013-0325611-4"/>
    <d v="2013-11-01T00:00:00"/>
    <x v="0"/>
    <s v="SAO JOSE DESENVOLVIMENTO IMOBILIARIO 33 LTDA."/>
    <s v="10174781/0001-94;"/>
    <m/>
    <s v="RUA FREDERIC CHOPIN, 20;"/>
    <x v="0"/>
    <x v="0"/>
    <s v="083207;"/>
    <s v="0135-1;"/>
    <n v="287.82"/>
    <s v="R"/>
    <n v="863.46"/>
    <m/>
    <n v="863.46"/>
    <s v="CEPAC (título)"/>
    <m/>
    <n v="785"/>
    <m/>
    <n v="785"/>
    <s v="FL-001/2014"/>
    <x v="0"/>
    <d v="2014-01-06T00:00:00"/>
    <m/>
    <m/>
    <m/>
    <m/>
    <s v="CERTIDÃO 04/12/SMDU/CTLU"/>
    <s v="AMANDA/08/07/2025"/>
  </r>
  <r>
    <s v="FL-0148"/>
    <x v="0"/>
    <m/>
    <s v="2005-0320407-9"/>
    <d v="2005-12-16T00:00:00"/>
    <x v="0"/>
    <s v="CONCEITO CONSTRUTORA E PARTICIPACOES LTDA."/>
    <s v="71657464/0001-13;"/>
    <m/>
    <s v="AVENIDA BRIGADEIRO FARIA LIMA; RUA TABAPUA; RUA JOSE GONCALVES OLIVEIRA"/>
    <x v="1"/>
    <x v="0"/>
    <s v="229008;"/>
    <s v="0075-1; 0027-1; 0024-7; 0025-8; 0023-9; 0026-9; 0022-0; 0021-2; 0019-0; 0043-3; 0076-1; 0077--8; 0014-6;"/>
    <n v="2878.34"/>
    <s v="NR"/>
    <m/>
    <n v="780.87"/>
    <n v="780.87"/>
    <s v="CEPAC (título)"/>
    <m/>
    <n v="975"/>
    <n v="173"/>
    <n v="1148"/>
    <s v="FL-004/2006"/>
    <x v="0"/>
    <d v="2006-10-26T00:00:00"/>
    <m/>
    <m/>
    <m/>
    <m/>
    <s v="CERTIDÃO COMPLEMENTAR (DE QUAL?)"/>
    <s v="AMANDA/08/07/2025"/>
  </r>
  <r>
    <s v="FL-0211"/>
    <x v="0"/>
    <m/>
    <s v="2003-0295416-0"/>
    <d v="2003-11-12T00:00:00"/>
    <x v="0"/>
    <s v="VR EMPREENDIMENTOS PARTICIPACOES E SERVICOS; SAINT PATRICK INCORPORADORA E PARTICIPACOES LTDA; SANTA CRUZ FOMENTO COMERCIAL LTDA.; CINCINATI HOLDINGS LTDA.; ESCALA EMPREENDIMENTOS E PARTICIPACOES LTDA.; VISBELA EMPREENDIMENTOS E PARTICIPACOES LTDA.; BANDO BMD LTDA.;"/>
    <s v="01150594/0001-80; 97355069/0001-70; 50117142/0001-01; 09092729/0001-00; 00338747/0001-54; 04036914/0001-63; 60892304/0001-32;"/>
    <m/>
    <s v="AVENIDA BRIGADEIRO FARIA LIMA;"/>
    <x v="2"/>
    <x v="0"/>
    <s v="015057;"/>
    <s v="0009-4;"/>
    <n v="9372"/>
    <m/>
    <m/>
    <m/>
    <n v="0"/>
    <s v="CEPAC (título)"/>
    <m/>
    <m/>
    <n v="2343"/>
    <n v="2343"/>
    <s v="FL-022/2010"/>
    <x v="1"/>
    <d v="2010-10-05T00:00:00"/>
    <m/>
    <m/>
    <m/>
    <m/>
    <m/>
    <s v="AMANDA/08/07/2025"/>
  </r>
  <r>
    <s v="FL-0211"/>
    <x v="0"/>
    <m/>
    <s v="2014-0161140-7"/>
    <d v="2014-06-09T00:00:00"/>
    <x v="0"/>
    <s v="VR EMPREENDIMENTOS PARTICIPACOES E SERVICOS; SAINT PATRICK INCORPORADORA E PARTICIPACOES LTDA; SANTA CRUZ FOMENTO COMERCIAL LTDA.; CINCINATI HOLDINGS LTDA.; ESCALA EMPREENDIMENTOS E PARTICIPACOES LTDA.; VISBELA EMPREENDIMENTOS E PARTICIPACOES LTDA.; BANDO BMD LTDA.;"/>
    <s v="01150594/0001-80; 97355069/0001-70; 50117142/0001-01; 09092729/0001-00; 00338747/0001-54; 04036914/0001-63; 60892304/0001-32;"/>
    <m/>
    <s v="AVENIDA BRIGADEIRO FARIA LIMA;"/>
    <x v="2"/>
    <x v="1"/>
    <s v="015057;"/>
    <s v="0009-4;"/>
    <n v="9372"/>
    <m/>
    <m/>
    <m/>
    <n v="0"/>
    <s v="CEPAC (título)"/>
    <m/>
    <m/>
    <n v="2343"/>
    <n v="2343"/>
    <s v="DV-001/2015"/>
    <x v="0"/>
    <d v="2015-04-01T00:00:00"/>
    <m/>
    <m/>
    <m/>
    <m/>
    <m/>
    <m/>
  </r>
  <r>
    <s v="FL-0217"/>
    <x v="0"/>
    <m/>
    <s v="2003-0324486-7"/>
    <d v="2003-12-12T00:00:00"/>
    <x v="0"/>
    <s v="BL EMPREENDIMENTOS SPE LTDA"/>
    <s v="07467969/0001-16;"/>
    <m/>
    <s v="RUA DOUTOR RENATO PAES DE BARROS; RUA BENEDITO LAPIN;"/>
    <x v="1"/>
    <x v="0"/>
    <s v="016166;"/>
    <s v="0018-7; 0019-5; 0020-9; 0021-7; 0042-1;"/>
    <n v="1600"/>
    <s v="R"/>
    <n v="4800"/>
    <m/>
    <n v="4800"/>
    <s v="CEPAC (título)"/>
    <m/>
    <n v="1920"/>
    <m/>
    <n v="1920"/>
    <s v="FL-001/2006"/>
    <x v="0"/>
    <d v="2006-02-16T00:00:00"/>
    <m/>
    <m/>
    <m/>
    <m/>
    <m/>
    <s v="PRISCILA/12/05/2025"/>
  </r>
  <r>
    <s v="FL-0218"/>
    <x v="0"/>
    <m/>
    <s v="2003-0325166-9"/>
    <d v="2003-12-15T00:00:00"/>
    <x v="0"/>
    <s v="BOLSA DE IMÓVEIS DESENVOLVIMENTO IMOBILIÁRIO LTDA; TECNUM &amp; CORPORATE EMPREENDIMENTOS IMOBILIÁRIOS LTDA; QUALITY BUILDING EMPREENDIMENTOS E PARTICIPAÇÕES LTDA"/>
    <s v="04913697/0001-42;64596046/0001-00;01490046/0001-07"/>
    <m/>
    <s v="RUA LEOPOLDO COUTO DE MAGALHÃES JUNIOR, 1.387"/>
    <x v="0"/>
    <x v="0"/>
    <s v="299019;"/>
    <s v="0084-9; 0085-7; 0080-6; 0051-2; 0004-0; 0062-8;"/>
    <n v="1646.88"/>
    <s v="R"/>
    <n v="4940.97"/>
    <m/>
    <n v="4940.97"/>
    <s v="CEPAC (título)"/>
    <m/>
    <n v="3801"/>
    <m/>
    <n v="3801"/>
    <s v="FL-012/2007"/>
    <x v="0"/>
    <d v="2007-09-24T00:00:00"/>
    <m/>
    <m/>
    <m/>
    <m/>
    <m/>
    <s v="LUCIANA/16/05/2025"/>
  </r>
  <r>
    <s v="FL-0221"/>
    <x v="0"/>
    <s v="7810.2020/0001473-9"/>
    <m/>
    <m/>
    <x v="0"/>
    <s v="RAUL SABBAGA CHEDE"/>
    <m/>
    <m/>
    <s v="RUA CANÁRIO; RUA INHAMBU; RUA CORONEL HUMAITÁ"/>
    <x v="1"/>
    <x v="0"/>
    <s v="041038;"/>
    <s v="0022-4; 0028-3; 0033-1; 0036-4; 0050-1; 0051-8; 0052-6"/>
    <n v="6245.44"/>
    <s v="R"/>
    <m/>
    <m/>
    <n v="0"/>
    <s v="CEPAC (título)"/>
    <m/>
    <n v="8070"/>
    <m/>
    <n v="8070"/>
    <m/>
    <x v="0"/>
    <d v="2004-12-09T00:00:00"/>
    <m/>
    <m/>
    <m/>
    <m/>
    <s v="PROCESS INICIAL 2003-0.327.160-0 - CERTIDÃO  24//04/SEMPLA - EMITIDA POR SEMPLA - PAGTO PARTE CONTRAPARTIDA FINANCEIRA - PARTE CEPAC - "/>
    <s v="LUCIANA/16/05/2025"/>
  </r>
  <r>
    <s v="FL-0230"/>
    <x v="0"/>
    <m/>
    <s v="2004-0096854-8"/>
    <d v="2004-04-16T00:00:00"/>
    <x v="0"/>
    <s v="ATALANTA PARTICIPAÇÕES E PROPRIEDADES LTDA"/>
    <s v="04791780/0001-96;"/>
    <m/>
    <s v="RUA IRACI, 707; ESQUINA COM A RUA HUNGRIA"/>
    <x v="0"/>
    <x v="0"/>
    <s v="083231;"/>
    <s v="0049-7; 0050-0; 0051-9; 0052-7; 0053-5; 0054-3; 0055-1; 0056-1; 0057-8; 0058-6; 0059-4; 0060-8"/>
    <n v="684.7"/>
    <s v="NR"/>
    <m/>
    <n v="2033"/>
    <n v="2033"/>
    <s v="OODC (dinheiro)"/>
    <n v="2365682"/>
    <m/>
    <m/>
    <n v="0"/>
    <m/>
    <x v="0"/>
    <d v="2004-09-30T00:00:00"/>
    <m/>
    <m/>
    <m/>
    <m/>
    <s v="Pago R$ 2.365.682,00, conforme despacho da CTLU CERTIDÃO 17/04/SEMPLA"/>
    <s v="LUCIANA/16/05/2025"/>
  </r>
  <r>
    <s v="FL-0235"/>
    <x v="0"/>
    <m/>
    <s v="2004-0294005-5"/>
    <d v="2004-12-15T00:00:00"/>
    <x v="0"/>
    <s v="PALMARES EMPREENDIMENTOS E PARTICIPAÇÕES S/A"/>
    <s v="47218250/0001-66;"/>
    <m/>
    <s v="AVENIDA BRIGADEIRO FARIA LIMA, 173; AVENIDA PEDROSO DE MORAES, 1.271 E 1.323"/>
    <x v="3"/>
    <x v="0"/>
    <s v="083007;"/>
    <s v="0040-4; 0044-7; 0046-3;"/>
    <n v="2862.48"/>
    <s v="NR"/>
    <m/>
    <m/>
    <n v="0"/>
    <s v="CEPAC (título)"/>
    <m/>
    <m/>
    <n v="254"/>
    <n v="254"/>
    <s v="FL-010/2009"/>
    <x v="0"/>
    <d v="2009-03-16T00:00:00"/>
    <m/>
    <m/>
    <m/>
    <m/>
    <m/>
    <s v="LUCIANA/16/05/2025"/>
  </r>
  <r>
    <s v="FL-0236"/>
    <x v="0"/>
    <m/>
    <s v="2005-0022151-7"/>
    <d v="2005-02-02T00:00:00"/>
    <x v="0"/>
    <s v="DESTINY DE PARTICIPAÇÃO LTDA"/>
    <s v="05574820/0001-00;"/>
    <m/>
    <s v="RUA CORONEL ARTHUR DE PAULA FERREIRA, 185, 191, 195, 203, 209, 215, 227, 237; RUA MONTE APRAZÍVEL, 410, 416"/>
    <x v="1"/>
    <x v="0"/>
    <s v="041282;"/>
    <s v="0030-1; 00031-1; 0004-2; 0101-4;"/>
    <n v="1767"/>
    <s v="R"/>
    <n v="1185"/>
    <m/>
    <n v="1185"/>
    <s v="CEPAC (título)"/>
    <m/>
    <n v="790"/>
    <m/>
    <n v="790"/>
    <s v="FL-008/2009"/>
    <x v="0"/>
    <d v="2009-03-02T00:00:00"/>
    <m/>
    <m/>
    <m/>
    <m/>
    <m/>
    <s v="LUCIANA/16/05/2025"/>
  </r>
  <r>
    <s v="FL-0237"/>
    <x v="0"/>
    <m/>
    <s v="2004-0299325-6"/>
    <d v="2004-12-23T00:00:00"/>
    <x v="0"/>
    <s v="FADLO HAIDAR EMPREENDIMENTO IMOBILIÁRIO SPE LTDA"/>
    <s v="08541185/0001-53;"/>
    <m/>
    <s v="RUA FADLO AIDAR"/>
    <x v="1"/>
    <x v="0"/>
    <s v="299077;"/>
    <s v="0264-1;"/>
    <n v="2443.3000000000002"/>
    <s v="R"/>
    <n v="4886.6000000000004"/>
    <m/>
    <n v="4886.6000000000004"/>
    <s v="CEPAC (título)"/>
    <m/>
    <n v="1955"/>
    <m/>
    <n v="1955"/>
    <s v="FL-017/2008"/>
    <x v="0"/>
    <d v="2008-11-12T00:00:00"/>
    <m/>
    <m/>
    <m/>
    <m/>
    <m/>
    <s v="LUCIANA/16/05/2025"/>
  </r>
  <r>
    <s v="FL-0238"/>
    <x v="0"/>
    <m/>
    <s v="2004-0158467-0"/>
    <d v="2004-06-25T00:00:00"/>
    <x v="0"/>
    <s v="NAÇÕES UNIDAS EMPREENDIMENTO IMOBILIÁRIO LTDA"/>
    <s v="05095230/0001-03;"/>
    <m/>
    <s v="rua gomes de carvalho, 1996"/>
    <x v="0"/>
    <x v="0"/>
    <s v="299038;"/>
    <s v="0008-6; 0009-4; 0020-5; 0040-1;"/>
    <n v="5796.4"/>
    <s v="NR"/>
    <m/>
    <n v="17389.2"/>
    <n v="17389.2"/>
    <s v="CEPAC (título)"/>
    <m/>
    <n v="19322"/>
    <n v="773"/>
    <n v="20095"/>
    <s v="FL-002/2008"/>
    <x v="0"/>
    <d v="2008-03-18T00:00:00"/>
    <m/>
    <m/>
    <m/>
    <m/>
    <m/>
    <s v="LUCIANA/16/05/2025"/>
  </r>
  <r>
    <s v="FL-0242"/>
    <x v="0"/>
    <m/>
    <s v="2007-0186164-5"/>
    <d v="2007-06-12T00:00:00"/>
    <x v="0"/>
    <s v="WTORRE CJ EMPREENDIMENTO IMOBILIARIO S/A."/>
    <s v="59535849/0001-02;"/>
    <m/>
    <s v="AVENIDA NAÇÕES UNIDAS ESQUINA COM RUA EUGENIO DE MEDEIROS"/>
    <x v="3"/>
    <x v="0"/>
    <s v="083103;"/>
    <s v="0064-6;"/>
    <n v="8457.39"/>
    <s v="NR"/>
    <m/>
    <n v="14386.38"/>
    <n v="14386.38"/>
    <s v="CEPAC (título)"/>
    <m/>
    <n v="8463"/>
    <m/>
    <n v="8463"/>
    <s v="FL-017/2007"/>
    <x v="0"/>
    <d v="2007-12-17T00:00:00"/>
    <m/>
    <m/>
    <m/>
    <m/>
    <m/>
    <s v="AMANDA/13/05/2025"/>
  </r>
  <r>
    <s v="FL-0245"/>
    <x v="0"/>
    <m/>
    <s v="2007-0337168-8"/>
    <d v="2007-10-29T00:00:00"/>
    <x v="0"/>
    <s v="CICLAME INCORPORADORA LTDA; ASTROEMERIA INCORPORADORA LTDA;"/>
    <s v="07697863/0001-09; 07698130/0001-99"/>
    <m/>
    <s v="RUA CLAUDIO SOARES E RUA VALERIO DE CARVALHO"/>
    <x v="3"/>
    <x v="0"/>
    <s v="015073;"/>
    <s v="0120-0; 0067-0; 0078-6; 0084-0; 0085-9;"/>
    <n v="5266.57"/>
    <s v="NR"/>
    <m/>
    <m/>
    <n v="0"/>
    <s v="CEPAC (título)"/>
    <m/>
    <m/>
    <n v="453"/>
    <n v="453"/>
    <s v="FL-002/2010"/>
    <x v="0"/>
    <d v="2010-01-07T00:00:00"/>
    <m/>
    <m/>
    <m/>
    <m/>
    <s v="COMPLEMENTA CERTIDÕES 112/97/SEMPLA - ACA DE 13.493,442 - Certidão 05/10/CTLU (Consumo de ACA)"/>
    <s v="AMANDA/13/05/2025"/>
  </r>
  <r>
    <s v="FL-0247"/>
    <x v="0"/>
    <m/>
    <s v="2008-0090243-9"/>
    <d v="2008-03-24T00:00:00"/>
    <x v="0"/>
    <s v="JORGE THOMAZ WEIL; PEDRO SYLVIO WEIL"/>
    <m/>
    <s v="678506778-20; 039696658-68;"/>
    <s v="RUA DIOGO MOREIRA, 75 E 87"/>
    <x v="3"/>
    <x v="0"/>
    <s v="015092;"/>
    <s v="0034-7; 0009-6;"/>
    <n v="621.11"/>
    <s v="NR"/>
    <m/>
    <n v="1863.33"/>
    <n v="1863.33"/>
    <s v="CEPAC (título)"/>
    <m/>
    <n v="1036"/>
    <m/>
    <n v="1036"/>
    <s v="FL-006/2009"/>
    <x v="0"/>
    <d v="2009-02-27T00:00:00"/>
    <m/>
    <m/>
    <m/>
    <m/>
    <m/>
    <s v="AMANDA/13/05/2025"/>
  </r>
  <r>
    <s v="FL-0248"/>
    <x v="0"/>
    <m/>
    <s v="2005-0014951-4"/>
    <d v="2005-01-24T00:00:00"/>
    <x v="0"/>
    <s v="FVM DESENVOLVIMENTO IMOBILIARIO LTDA."/>
    <s v="08169300/0001-00;"/>
    <m/>
    <s v="RUA ALVORADA"/>
    <x v="1"/>
    <x v="0"/>
    <s v="299177;"/>
    <s v="0072-9; 0070-2; 0036-2;"/>
    <n v="800"/>
    <s v="R"/>
    <n v="2400"/>
    <m/>
    <n v="2400"/>
    <s v="CEPAC (título)"/>
    <m/>
    <n v="960"/>
    <n v="70"/>
    <n v="1030"/>
    <s v="FL-014/2009"/>
    <x v="0"/>
    <d v="2009-07-14T00:00:00"/>
    <m/>
    <m/>
    <m/>
    <m/>
    <s v="QUANTIDADE DE CEPAC PARA ACA E PARÂMETROS EXTRAÍDO DA PLANILHA PUBLICADA"/>
    <s v="AMANDA/13/05/2025"/>
  </r>
  <r>
    <s v="FL-0253"/>
    <x v="0"/>
    <s v="7810.2022/0001829-0"/>
    <m/>
    <m/>
    <x v="0"/>
    <s v="2509 FUNDO DE INVESTIMENTO IMOBILIÁRIO – FII; ADMINISTRADORA PMV LTDA;"/>
    <s v="19419994/0001-03; 05083840/0001-89;"/>
    <m/>
    <s v="RUA FUNCHAL 160; AVENIDA CHEDID JAFET 75; AVENIDA PRESIDENTE JUSCELINO KUBITSCHECK 1909; RUA PEQUETIBA, 170;"/>
    <x v="4"/>
    <x v="0"/>
    <s v="299027;"/>
    <s v="0006-1;"/>
    <n v="38803.440000000002"/>
    <s v="R"/>
    <n v="1074.8599999999999"/>
    <m/>
    <n v="1074.8599999999999"/>
    <s v="CEPAC (título)"/>
    <m/>
    <n v="0"/>
    <n v="0"/>
    <n v="0"/>
    <s v="FL-001/2024"/>
    <x v="0"/>
    <d v="2024-08-13T00:00:00"/>
    <m/>
    <m/>
    <m/>
    <m/>
    <m/>
    <s v="PRISCILA/11/09/2025"/>
  </r>
  <r>
    <s v="FL-0302"/>
    <x v="0"/>
    <m/>
    <s v="2005-0020668-2"/>
    <d v="2005-02-01T00:00:00"/>
    <x v="0"/>
    <s v="EVEN CONSTRUTORA E INCORPORADORA LTDA; PINHEIROS DESENVOLVIMENTO IMOBILIARIO LTDA;"/>
    <s v="43470988/0001-65; 07241467/0001-72;"/>
    <m/>
    <s v="RUA FREDERICO HERMANN JUNIOR; RUA NICOLAU GAGLIARDI"/>
    <x v="3"/>
    <x v="0"/>
    <s v="083233;"/>
    <s v="0004-2;"/>
    <n v="7589.9"/>
    <s v="R"/>
    <n v="22769.7"/>
    <m/>
    <n v="22769.7"/>
    <s v="CEPAC (título)"/>
    <m/>
    <n v="8133"/>
    <m/>
    <n v="8133"/>
    <s v="FL-002/2006"/>
    <x v="0"/>
    <d v="2006-03-10T00:00:00"/>
    <m/>
    <m/>
    <m/>
    <m/>
    <m/>
    <s v="AMANDA/13/05/2025"/>
  </r>
  <r>
    <s v="FL-0303"/>
    <x v="0"/>
    <m/>
    <s v="2005-0020911-8"/>
    <d v="2005-01-02T00:00:00"/>
    <x v="0"/>
    <s v="CIPESA ENGENHARIA S/A"/>
    <s v="12272753/0001-32;"/>
    <m/>
    <s v="RUA BENEDITO LAPIN; RUA BANDEIRA PAULISTA;"/>
    <x v="1"/>
    <x v="0"/>
    <s v="016167;"/>
    <s v="0091-2; 0090-4; 0089-0; 0088-2; 0087-4; 0131-5; 0132-3;"/>
    <n v="1404.76"/>
    <s v="R"/>
    <n v="4212.33"/>
    <m/>
    <n v="4212.33"/>
    <s v="CEPAC (título)"/>
    <m/>
    <n v="1685"/>
    <m/>
    <n v="1685"/>
    <s v="FL-006/2006"/>
    <x v="0"/>
    <d v="2006-11-29T00:00:00"/>
    <m/>
    <m/>
    <m/>
    <m/>
    <m/>
    <s v="GIULIA/13/05/2025"/>
  </r>
  <r>
    <s v="FL-0304"/>
    <x v="0"/>
    <m/>
    <s v="2005-0021493-6"/>
    <d v="2005-02-02T00:00:00"/>
    <x v="0"/>
    <s v="QUEIROZ GALVAO CYRELA EMPREENDIMENTOS E PARTICIPACOES S/A"/>
    <s v="06878430/0001-97;"/>
    <m/>
    <s v="RUA HORACIO LAFER, 120;"/>
    <x v="1"/>
    <x v="0"/>
    <s v="299014;"/>
    <s v="0014-5;0016-1;0019-6; 0099-6; 0100-1;"/>
    <n v="2375"/>
    <s v="R"/>
    <n v="7125"/>
    <m/>
    <n v="7125"/>
    <s v="CEPAC (título)"/>
    <m/>
    <n v="2850"/>
    <m/>
    <n v="2850"/>
    <s v="FL-003/2006"/>
    <x v="0"/>
    <d v="2006-06-29T00:00:00"/>
    <m/>
    <m/>
    <m/>
    <m/>
    <m/>
    <s v="GIULIA/13/05/2025"/>
  </r>
  <r>
    <s v="FL-0305"/>
    <x v="0"/>
    <m/>
    <s v="2005-0256976-6"/>
    <d v="2005-10-18T00:00:00"/>
    <x v="0"/>
    <s v="F. REIS ADMINISTRACAO DE IMOVEIS LTDA"/>
    <s v="00076468/0001-60;"/>
    <m/>
    <s v="RUA DAS OLIMPIADAS, 242;"/>
    <x v="4"/>
    <x v="0"/>
    <s v="299050;"/>
    <s v="0085-0;"/>
    <n v="1040"/>
    <s v="NR"/>
    <m/>
    <n v="2079.1"/>
    <n v="2079.1"/>
    <s v="CEPAC (título)"/>
    <m/>
    <n v="2311"/>
    <m/>
    <n v="2311"/>
    <s v="FL-005/2006"/>
    <x v="0"/>
    <d v="2006-10-26T00:00:00"/>
    <m/>
    <m/>
    <m/>
    <m/>
    <m/>
    <s v="GIULIA/13/05/2025"/>
  </r>
  <r>
    <s v="FL-0306"/>
    <x v="0"/>
    <m/>
    <s v="2005-0324078-4"/>
    <d v="2005-12-21T00:00:00"/>
    <x v="0"/>
    <s v="BOLSA DE IMOVEIS DESENVOLVIMENTO IMOBILIARIO LTDA"/>
    <s v="04913697/0001-42;"/>
    <m/>
    <s v="RUA LEOPOLDO COUTO DE MAGALHAES JUNIOR, 1.151;"/>
    <x v="0"/>
    <x v="0"/>
    <s v="299020;"/>
    <s v="0026-4; 0140-6; 0150-3; "/>
    <n v="1500"/>
    <s v="R"/>
    <n v="4500"/>
    <m/>
    <n v="4500"/>
    <s v="CEPAC (título)"/>
    <m/>
    <n v="3462"/>
    <m/>
    <n v="3462"/>
    <s v="FL-008/2007"/>
    <x v="0"/>
    <d v="2007-06-21T00:00:00"/>
    <m/>
    <m/>
    <m/>
    <m/>
    <m/>
    <s v="GIULIA/13/05/2025"/>
  </r>
  <r>
    <s v="FL-0308"/>
    <x v="0"/>
    <m/>
    <s v="2006-0079215-0"/>
    <d v="2006-03-22T00:00:00"/>
    <x v="0"/>
    <s v="BRALDECAR EMPREENDIMENTOS LTDA"/>
    <s v="55033252/0001-09;"/>
    <m/>
    <s v="AVENIDA PRESIDENTE JUSCELINO KUBITSCHEK, 1327;"/>
    <x v="4"/>
    <x v="2"/>
    <s v="299028;"/>
    <s v="0478-9;"/>
    <n v="4475"/>
    <s v="NR"/>
    <m/>
    <n v="13425"/>
    <n v="13425"/>
    <s v="CEPAC (título)"/>
    <m/>
    <n v="14917"/>
    <m/>
    <n v="14917"/>
    <s v="FL-014/2007"/>
    <x v="0"/>
    <d v="2007-11-13T00:00:00"/>
    <m/>
    <m/>
    <m/>
    <m/>
    <s v="CANCELA A CERTIDÃO FL-010/2007"/>
    <s v="GIULIA/13/05/2025"/>
  </r>
  <r>
    <s v="FL-0308"/>
    <x v="0"/>
    <m/>
    <s v="2006-0079215-0"/>
    <d v="2006-03-22T00:00:00"/>
    <x v="0"/>
    <s v="BRALDECAR EMPREENDIMENTOS LTDA"/>
    <s v="55033252/0001-09;"/>
    <m/>
    <s v="AVENIDA PRESIDENTE JUSCELINO KUBITSCHEK, 1327;"/>
    <x v="4"/>
    <x v="0"/>
    <s v="299028;"/>
    <s v="0478-9;"/>
    <n v="4475"/>
    <s v="NR"/>
    <m/>
    <n v="13425"/>
    <n v="13425"/>
    <s v="CEPAC (título)"/>
    <m/>
    <n v="11127"/>
    <m/>
    <n v="11127"/>
    <s v="FL-010/2007"/>
    <x v="1"/>
    <d v="2007-08-16T00:00:00"/>
    <m/>
    <m/>
    <m/>
    <m/>
    <s v="CANCELADA PELA CERTIDÃO FL014/2007"/>
    <s v="GIULIA/13/05/2025"/>
  </r>
  <r>
    <s v="FL-0314"/>
    <x v="0"/>
    <m/>
    <s v="2007-0139265-3"/>
    <d v="2007-04-26T00:00:00"/>
    <x v="0"/>
    <s v="KALAPALO EMPREENDIMENTOS IMOBILIÁRIOS LTDA; GLIESE INCOPORADORA LTDA"/>
    <s v="07936960/0001-07; 08352433/0001-13;"/>
    <m/>
    <s v="RUA INHAMBU; AVEMIDA JURITI; AVENIDA HÉLIO PELEGRINO; RUA TUIM;"/>
    <x v="1"/>
    <x v="0"/>
    <s v="041063;"/>
    <s v="0004-4; 0005-2; 0003-6; 0002-8; 0023-0;"/>
    <n v="6865"/>
    <s v="R"/>
    <n v="20584.62"/>
    <m/>
    <n v="20584.62"/>
    <s v="CEPAC (título)"/>
    <m/>
    <n v="13530"/>
    <m/>
    <n v="13530"/>
    <s v="FL-008/2010"/>
    <x v="0"/>
    <d v="2010-03-24T00:00:00"/>
    <m/>
    <m/>
    <m/>
    <m/>
    <m/>
    <s v="VITOR/15/05/2025"/>
  </r>
  <r>
    <s v="FL-0314"/>
    <x v="0"/>
    <m/>
    <s v="2007-0139265-3"/>
    <d v="2007-04-26T00:00:00"/>
    <x v="0"/>
    <s v="KALAPALO EMPREENDIMENTOS IMOBILIÁRIOS LTDA; GLIESE INCOPORADORA LTDA"/>
    <s v="07936960/0001-07; 08352433/0001-13;"/>
    <m/>
    <s v="RUA INHAMBU; AVEMIDA JURITI; AVENIDA HÉLIO PELEGRINO; RUA TUIM;"/>
    <x v="1"/>
    <x v="0"/>
    <s v="041063;"/>
    <s v="0004-4; 0005-2; 0003-6; 0002-8; 0023-0;"/>
    <n v="6865"/>
    <s v="R"/>
    <m/>
    <m/>
    <n v="0"/>
    <s v="CEPAC (título)"/>
    <m/>
    <m/>
    <n v="4554"/>
    <n v="4554"/>
    <s v="FL-008/2008"/>
    <x v="0"/>
    <d v="2008-06-10T00:00:00"/>
    <m/>
    <m/>
    <m/>
    <m/>
    <m/>
    <s v="VITOR/15/05/2025"/>
  </r>
  <r>
    <s v="FL-0315"/>
    <x v="0"/>
    <m/>
    <s v="2007-0179306-2"/>
    <d v="2007-06-04T00:00:00"/>
    <x v="0"/>
    <s v="CAPH INCORPORADORA LTDA"/>
    <s v="08701394/0001-17;"/>
    <m/>
    <s v="AVENIDA DOUTOR CARDOSO DE MELO Nº 585"/>
    <x v="1"/>
    <x v="0"/>
    <s v="299104;"/>
    <s v="0027-6; 0025-1; 0024-1; 0065-9; 0066-7; 0067-5; 0116-7; 0113-2; 0051-9; 0052-7; 0070-5; 0115-9;"/>
    <n v="5800"/>
    <s v="R"/>
    <n v="15501.12"/>
    <m/>
    <n v="15501.12"/>
    <s v="CEPAC (título)"/>
    <m/>
    <n v="5737"/>
    <m/>
    <n v="5737"/>
    <s v="FL-011/2008"/>
    <x v="0"/>
    <d v="2008-09-05T00:00:00"/>
    <m/>
    <m/>
    <m/>
    <m/>
    <m/>
    <s v="VITOR/15/05/2025"/>
  </r>
  <r>
    <s v="FL-0316"/>
    <x v="0"/>
    <m/>
    <s v="2007-0235144-6"/>
    <d v="2007-07-25T00:00:00"/>
    <x v="0"/>
    <s v="CETUS EVEN EMPREENDIMENTOS IMOBILIÁRIOS LTDA"/>
    <s v="08747241/0001-00;"/>
    <m/>
    <s v="RUA ARAGUARI Nº 472"/>
    <x v="1"/>
    <x v="0"/>
    <s v="041078;"/>
    <s v="0087-3; 0026-1; 0025-3; 0054-7;"/>
    <n v="1641.4"/>
    <s v="R"/>
    <n v="4915.3999999999996"/>
    <m/>
    <n v="4915.3999999999996"/>
    <s v="CEPAC (título)"/>
    <m/>
    <n v="4372"/>
    <m/>
    <n v="4372"/>
    <s v="FL-016/2007"/>
    <x v="0"/>
    <d v="2007-12-07T00:00:00"/>
    <m/>
    <m/>
    <m/>
    <m/>
    <m/>
    <s v="VITOR/15/05/2025"/>
  </r>
  <r>
    <s v="FL-0317"/>
    <x v="0"/>
    <m/>
    <s v="2008-0078866-0"/>
    <d v="2008-03-12T00:00:00"/>
    <x v="0"/>
    <s v="F. REIS ADMINISTRAÇÃO DE IMÓVEIS LTDA"/>
    <s v="00076468/0001-60;"/>
    <m/>
    <s v="AVENIDA DOUTOR CARDOSO DE MELO Nº 1038"/>
    <x v="4"/>
    <x v="0"/>
    <s v="299080;"/>
    <s v="0079-7; 0004-5;"/>
    <n v="1000"/>
    <s v="NR"/>
    <m/>
    <n v="2000"/>
    <n v="2000"/>
    <s v="CEPAC (título)"/>
    <m/>
    <n v="2167"/>
    <m/>
    <n v="2167"/>
    <s v="FL-009/2008"/>
    <x v="0"/>
    <d v="2008-06-25T00:00:00"/>
    <m/>
    <m/>
    <m/>
    <m/>
    <m/>
    <s v="VITOR/15/05/2025"/>
  </r>
  <r>
    <s v="FL-0318"/>
    <x v="0"/>
    <s v="7810.2022/0000813-9"/>
    <m/>
    <d v="2019-09-06T00:00:00"/>
    <x v="0"/>
    <s v="FLPP FARIA LIMA PRIME PROPERTIES S/A"/>
    <s v="07349852/0001-38;"/>
    <m/>
    <s v="AV. BRIGADEIRO FARIA LIMA, 3732"/>
    <x v="0"/>
    <x v="0"/>
    <s v="299020;"/>
    <s v="0269-0;"/>
    <n v="13458.64"/>
    <s v="NR"/>
    <m/>
    <n v="33109.949999999997"/>
    <n v="33109.949999999997"/>
    <s v="CEPAC (título)"/>
    <m/>
    <n v="47291"/>
    <n v="2775"/>
    <n v="50066"/>
    <s v="FL-007/2022"/>
    <x v="0"/>
    <d v="2022-07-30T00:00:00"/>
    <m/>
    <m/>
    <m/>
    <m/>
    <m/>
    <s v="GIULIA/29/05/2025"/>
  </r>
  <r>
    <s v="FL-0318"/>
    <x v="0"/>
    <s v="7810.2019/0000820-6"/>
    <m/>
    <d v="2019-09-06T00:00:00"/>
    <x v="0"/>
    <s v="FLPP FARIA LIMA PRIME PROPERTIES S/A"/>
    <s v="07349852/0001-38;"/>
    <m/>
    <s v="AV. BRIGADEIRO FARIA LIMA, RUA LEOPOLDO COUTO DE MAGALHÃES, RUA LÍCIO NOGUEIRA E RUA FERNANDES DE ABREU"/>
    <x v="0"/>
    <x v="0"/>
    <s v="299020;"/>
    <s v="0037-1; 0039-6; 0053-1; 0045-0; 0060-4; 0040-1; 0038-8; 0236-4; 0170-8; 0141-4; 0164-3; 0166-1; 0036-1; 0268-2;"/>
    <n v="13034.02"/>
    <s v="NR"/>
    <m/>
    <n v="33109.96"/>
    <n v="33109.96"/>
    <s v="CEPAC (título)"/>
    <m/>
    <n v="47291"/>
    <n v="2775"/>
    <n v="50066"/>
    <s v="FL-006/2021"/>
    <x v="1"/>
    <d v="2021-10-07T00:00:00"/>
    <m/>
    <m/>
    <m/>
    <m/>
    <m/>
    <s v="GIULIA/29/05/2025"/>
  </r>
  <r>
    <s v="FL-0318"/>
    <x v="0"/>
    <m/>
    <s v="2007-0397221-5"/>
    <d v="2007-12-28T00:00:00"/>
    <x v="0"/>
    <s v="FLPP FARIA LIMA PRIME PROPERTIES S/A"/>
    <s v="07349852/0001-38;"/>
    <m/>
    <s v="AV. BRIGADEIRO FARIA LIMA, RUA LEOPOLDO COUTO DE MAGALHÃES, RUA LÍCIO NOGUEIRA E RUA FERNANDES DE ABREU"/>
    <x v="0"/>
    <x v="0"/>
    <s v="299020;"/>
    <s v="0037-1; 0039-6; 0053-1; 0045-0; 0060-4; 0040-1; 0038-8; 0236-4; 0170-8; 0141-4; 0164-3; 0166-1; 0036-1; 0268-2;"/>
    <n v="13034.02"/>
    <s v="NR"/>
    <m/>
    <n v="33109.96"/>
    <n v="33109.96"/>
    <s v="CEPAC (título)"/>
    <m/>
    <n v="47291"/>
    <n v="5014"/>
    <n v="52305"/>
    <s v="FL-008/2018"/>
    <x v="1"/>
    <d v="2018-08-13T00:00:00"/>
    <m/>
    <m/>
    <m/>
    <m/>
    <s v="DUPLO CHECK SO VAI ATE ESTA CERTIDAO ( AS FL-006/2021 E FL-008/2018 NÃO APARECEM)"/>
    <s v="GIULIA/29/05/2025"/>
  </r>
  <r>
    <s v="FL-0318"/>
    <x v="0"/>
    <m/>
    <s v="2007-0397221-5"/>
    <d v="2007-12-28T00:00:00"/>
    <x v="0"/>
    <s v="FLPP FARIA LIMA PRIME PROPERTIES S/A"/>
    <s v="07349852/0001-38;"/>
    <m/>
    <s v="AV. BRIGADEIRO FARIA LIMA, RUA LEOPOLDO COUTO DE MAGALHÃES, RUA LÍCIO NOGUEIRA E RUA FERNANDES DE ABREU"/>
    <x v="0"/>
    <x v="0"/>
    <s v="299020;"/>
    <s v="0037-1; 0039-6; 0053-1; 0060-4; 0040-1; 0038-8; 0236-4; 0170-8; 0141-4; 0164-3; 0166-1; 0036-1; 0164-3;"/>
    <n v="12121.78"/>
    <s v="NR"/>
    <m/>
    <n v="33109.96"/>
    <n v="33109.96"/>
    <s v="CEPAC (título)"/>
    <m/>
    <n v="47899"/>
    <n v="2382"/>
    <n v="50281"/>
    <s v="FL-009/2014"/>
    <x v="1"/>
    <d v="2014-09-12T00:00:00"/>
    <m/>
    <m/>
    <m/>
    <m/>
    <m/>
    <s v="GIULIA/29/05/2025"/>
  </r>
  <r>
    <s v="FL-0318"/>
    <x v="0"/>
    <m/>
    <s v="2007-0397221-5"/>
    <d v="2007-12-28T00:00:00"/>
    <x v="0"/>
    <s v="FLPP FARIA LIMA PRIME PROPERTIES S/A, RANANA PARTICIPAÇÕES L TDA , EYRE EMPREENDIMENTOS E PARTICIPAÇÕES L TDA, CEFILI-CONSTRUÇÕES E ENGENHARIA L TDA;"/>
    <s v="07349852/0001-38; 04652521/0001-84; 05033236/0001-48; 61620654/0001-02;"/>
    <m/>
    <s v="AV. BRIGADEIRO FARIA LIMA, RUA LEOPOLDO COUTO DE MAGALHÃES, RUA LÍCIO NOGUEIRA E RUA FERNANDES DE ABREU"/>
    <x v="0"/>
    <x v="0"/>
    <s v="299020;"/>
    <s v="0037-1; 0053-1; 0060-4; 0040-1; 0038-8; 0170-8; 0141-4; 0164-3; 0078-7; 0163-5; 0082-5; 0081-0; 0080-9; 0079-5; 0132-5; 0039-6; 0045-0; 0052-3; 0168-6; 0136-8; 0135-1; 0134-1; 0003-5; 0153-8; 0006-1; 0008-6; 0092-2; 0093-0; 0137-6; 0138-4; "/>
    <n v="11748.75"/>
    <s v="NR"/>
    <m/>
    <n v="33109.96"/>
    <n v="33109.96"/>
    <s v="CEPAC (título)"/>
    <m/>
    <n v="2737"/>
    <m/>
    <n v="2737"/>
    <s v="FL-014/2010"/>
    <x v="1"/>
    <d v="2010-05-21T00:00:00"/>
    <m/>
    <m/>
    <m/>
    <m/>
    <s v="Complementa a certidão FL-004/2009"/>
    <s v="GIULIA/29/05/2025"/>
  </r>
  <r>
    <s v="FL-0318"/>
    <x v="0"/>
    <m/>
    <s v="2007-0397221-5"/>
    <d v="2007-12-28T00:00:00"/>
    <x v="0"/>
    <s v="FLPP EMPREENDIMENTOS _x000a_IMOBILIÁRIOS S/A"/>
    <s v="07349852/0001-38;"/>
    <m/>
    <s v="AV. BRIGADEIRO FARIA LIMA, RUA LEOPOLDO COUTO DE MAGALHÃES, RUA LÍCIO NOGUEIRA E RUA FERNANDES DE ABREU"/>
    <x v="0"/>
    <x v="0"/>
    <s v="299020;"/>
    <s v="0037-1; 0053-1; 0060-4; 0040-1; 0038-8;  0078-7; 0163-5; 0082-5; 0081-0; 0080-9; 0079-5; 0132-5; 0039-6; 0045-0; 0052-3; 0168-6; 0136-8; 0135-1; 0134-1; 0003-5; 0153-8; 0006-1; 0008-6; 0092-2; 0093-0; 0137-6; 0138-4; "/>
    <n v="9352.25"/>
    <s v="NR"/>
    <m/>
    <n v="28056.75"/>
    <n v="28056.75"/>
    <s v="CEPAC (título)"/>
    <m/>
    <n v="45886"/>
    <m/>
    <n v="45886"/>
    <s v="FL-004/2009"/>
    <x v="1"/>
    <d v="2009-02-18T00:00:00"/>
    <m/>
    <m/>
    <m/>
    <m/>
    <m/>
    <s v="GIULIA/29/05/2025"/>
  </r>
  <r>
    <s v="FL-0318"/>
    <x v="0"/>
    <m/>
    <s v="2007-0397221-5"/>
    <d v="2007-12-28T00:00:00"/>
    <x v="0"/>
    <s v="FLPP SERVIÇOS DE COBRANÇA E DE _x000a_INFORMAÇÕES CADASTRAIS"/>
    <s v="07349852/0001-38;"/>
    <m/>
    <s v="AV. BRIGADEIRO FARIA LIMA, RUA LEOPOLDO COUTO DE MAGALHÃES, RUA LÍCIO NOGUEIRA E RUA FERNANDES DE ABREU"/>
    <x v="0"/>
    <x v="0"/>
    <s v="299020;"/>
    <s v="0037-1; 0053-1; 0060-4; 0040-1; 0038-8;  0078-7; 0163-5; 0082-5; 0081-0; 0080-9; 0079-5; 0132-5; 0045-0; 0052-3; 0168-6; 0136-8; 0135-1; 0134-1; 0003-5; 0153-8; 0006-1; 0008-6; 0092-2; 0093-0; 0137-6; 0138-4; "/>
    <n v="9177.25"/>
    <s v="NR"/>
    <m/>
    <n v="27531.55"/>
    <n v="27531.55"/>
    <s v="CEPAC (título)"/>
    <m/>
    <n v="45886"/>
    <m/>
    <n v="45886"/>
    <s v="FL-001/2008"/>
    <x v="1"/>
    <d v="2008-02-15T00:00:00"/>
    <m/>
    <m/>
    <m/>
    <m/>
    <m/>
    <s v="GIULIA/29/05/2025"/>
  </r>
  <r>
    <s v="FL-0319"/>
    <x v="0"/>
    <m/>
    <s v="2010-0089023-2"/>
    <d v="2010-03-30T00:00:00"/>
    <x v="0"/>
    <s v="YUNY GTIS ATILIO INNOCENTI EMPREENDIMENTOS LTDA"/>
    <s v="09234157/0001-56;"/>
    <m/>
    <s v="RUA PROFESSOR ATILIO INNOCENTI, 165 E 193, RUA LEOPOLDO COUTO MAGALHAES JUNIOR 797 E 807 E RUA BELCHIOR SOARES, 28, 40, 50, 56, 64, 68, 78, 187, 197, 225 E 237;"/>
    <x v="1"/>
    <x v="2"/>
    <s v="299021;"/>
    <s v="0135-4; 0133-8; 0061-7; 0060-9; 0062-5; 0064-1; 0066-8; 0067-6; 0068-4; 0069-2; 0071-4; 0072-2; 0070-6; 0065-1; 0063-3;"/>
    <n v="3669.12"/>
    <s v="NR"/>
    <m/>
    <n v="11007.36"/>
    <n v="11007.36"/>
    <s v="CEPAC (título)"/>
    <m/>
    <n v="9540"/>
    <m/>
    <n v="9540"/>
    <s v="FL-016/2010"/>
    <x v="0"/>
    <d v="2010-07-22T00:00:00"/>
    <m/>
    <m/>
    <m/>
    <m/>
    <s v="NO DUPLO CHECK, consta a diferença. Porém, a presente certidão cancelou sua anteiror, então crieo que nossa planilha revela o que realmente ocorreu. PARA AVALIAÇÃO GT - incluir no relatório_x000a__x000a_CANCELA A CERTIDÃO FL-012/2009"/>
    <s v="GIULIA/29/05/2025"/>
  </r>
  <r>
    <s v="FL-0319"/>
    <x v="0"/>
    <m/>
    <s v="2010-0089023-2"/>
    <d v="2010-03-30T00:00:00"/>
    <x v="0"/>
    <s v="YUNY GTIS ATILIO INNOCENTI EMPREENDIMENTOS E PARTICIPACOES LTDA"/>
    <s v="09234157/0001-56;"/>
    <m/>
    <s v="RUA PROFESSOR ATILIO INNOCENTI, 165 E 193 E RUA BELCHIOR SOARES, 40, 50, 56, 64, 68, 78, 187, 197 E 225;"/>
    <x v="1"/>
    <x v="2"/>
    <s v="299021;"/>
    <s v="0135-4; 0133-8; 0064-1; 0066-8; 0067-6; 0068-4; 0069-2; 0071-4; 0072-2; 0070-6; 0065-1; "/>
    <n v="3096.86"/>
    <s v="NR"/>
    <m/>
    <n v="9290.58"/>
    <n v="9290.58"/>
    <s v="CEPAC (título)"/>
    <m/>
    <n v="8672"/>
    <m/>
    <n v="8672"/>
    <s v="FL-012/2009"/>
    <x v="1"/>
    <d v="2009-05-22T00:00:00"/>
    <m/>
    <m/>
    <m/>
    <m/>
    <s v="CANCELA A CERTIDÃO FL-018/2008 | CANCELADA PELA CERTIDÃO FL-016/2010"/>
    <s v="GIULIA/29/05/2025"/>
  </r>
  <r>
    <s v="FL-0319"/>
    <x v="0"/>
    <m/>
    <s v="2010-0089023-2"/>
    <d v="2010-03-30T00:00:00"/>
    <x v="0"/>
    <s v="YUNY GTIS ATILIO INNOCENTI EMPREENDIMENTOS E PARTICIPACOES LTDA"/>
    <s v="09234157/0001-56;"/>
    <m/>
    <s v="RUA PROFESSOR ATILIO INNOCENTI"/>
    <x v="1"/>
    <x v="0"/>
    <s v="299021;"/>
    <s v="0135-4; 0133-8;"/>
    <n v="2198.69"/>
    <s v="NR"/>
    <m/>
    <n v="6596.07"/>
    <n v="6596.07"/>
    <s v="CEPAC (título)"/>
    <m/>
    <n v="6597"/>
    <m/>
    <n v="6597"/>
    <s v="FL-018/2008"/>
    <x v="1"/>
    <d v="2008-11-18T00:00:00"/>
    <m/>
    <m/>
    <m/>
    <m/>
    <s v="CANCELADA PELA CERTIDÃO FL-012/2009"/>
    <s v="GIULIA/29/05/2025"/>
  </r>
  <r>
    <s v="FL-0320"/>
    <x v="0"/>
    <m/>
    <s v="2008-0013203-0"/>
    <d v="2008-01-15T00:00:00"/>
    <x v="0"/>
    <s v="PANAMBY ADMINISTRACAO E PARTICIPACOES LTDA"/>
    <s v="00000000/0000-00;"/>
    <m/>
    <s v="AVENIDA BRIGADEIRO FARIA LIMA, 2.992"/>
    <x v="0"/>
    <x v="0"/>
    <s v="299003;"/>
    <s v="0167-4; 0386-3; "/>
    <n v="1602"/>
    <s v="NR"/>
    <m/>
    <n v="52.38"/>
    <n v="52.38"/>
    <s v="CEPAC (título)"/>
    <m/>
    <n v="88"/>
    <m/>
    <n v="88"/>
    <s v="FL-003/2008"/>
    <x v="0"/>
    <d v="2008-04-03T00:00:00"/>
    <m/>
    <m/>
    <m/>
    <m/>
    <m/>
    <s v="GIULIA/27/05/2025"/>
  </r>
  <r>
    <s v="FL-0321"/>
    <x v="0"/>
    <m/>
    <s v="2008-0077732-4"/>
    <d v="2008-03-11T00:00:00"/>
    <x v="0"/>
    <s v="GAFISA S/A"/>
    <s v="01545826/0001-07;"/>
    <m/>
    <s v=" RUAS LEOPOLDO COUTO DE MAGALHAES X LOPES NETO E JUSSEAPE"/>
    <x v="0"/>
    <x v="2"/>
    <s v="299016;"/>
    <s v="0003-9; 0032-2; 0030-6; 0031-4; 0072-1; 0073-1; 0033-0; 0010-1; 0004-7; 0005-5;  0021-7; 0006-3; 0007-1; 0050-0; 0008-1; 0053-5; 0051-9; 0052-7;"/>
    <n v="4920"/>
    <s v="R"/>
    <n v="14760"/>
    <m/>
    <n v="14760"/>
    <s v="CEPAC (título)"/>
    <m/>
    <n v="11767"/>
    <m/>
    <n v="11767"/>
    <s v="FL-027/2010"/>
    <x v="0"/>
    <d v="2010-11-18T00:00:00"/>
    <m/>
    <m/>
    <m/>
    <m/>
    <s v="OLHAR NO PROCESSO - DUPLO CHECK BEM DIVERGENTE DAS CERTIDÕES_x000a_distribuição de cepac feito pela planilha de duplo check_x000a_CANCELA A CERTIDÃO FL-005/2008"/>
    <s v="GIULIA/27/05/2025"/>
  </r>
  <r>
    <s v="FL-0321"/>
    <x v="0"/>
    <m/>
    <s v="2008-0077732-4"/>
    <d v="2008-03-11T00:00:00"/>
    <x v="0"/>
    <s v="GAFISA S/A"/>
    <s v="01545826/0001-07;"/>
    <m/>
    <s v=" RUAS LEOPOLDO COUTO DE MAGALHAES X  LOPES NETO E JUSSEAPE"/>
    <x v="0"/>
    <x v="0"/>
    <s v="299016;"/>
    <s v="0003-9; 0032-2; 0030-6; 0031-4; 0072-1; 0073-1; 0033-0; 0010-1; 0004-7; 0005-5;  0021-7; 0006-3; 0007-1; 0050-0; 0008-1; 0053-5; 0051-9; 0052-7;"/>
    <n v="4920"/>
    <s v="R"/>
    <n v="14760"/>
    <m/>
    <n v="14760"/>
    <s v="CEPAC (título)"/>
    <m/>
    <n v="10597"/>
    <n v="935"/>
    <n v="11532"/>
    <s v="FL-005/2008"/>
    <x v="1"/>
    <d v="2009-08-13T00:00:00"/>
    <m/>
    <m/>
    <m/>
    <m/>
    <s v="distribuição de cepac feito pela planilha de duplo check_x000a_DADOS OBTIDOS DO APOSTILAMENTO DA CERTIDÃO INICIALMENTE ELABORADA._x000a_CANCELADA PELA CERTIDÃO FL-027/2010"/>
    <s v="GIULIA/27/05/2025"/>
  </r>
  <r>
    <s v="FL-0322"/>
    <x v="0"/>
    <m/>
    <s v="2008-0179067-7"/>
    <d v="2008-06-13T00:00:00"/>
    <x v="0"/>
    <s v="EDIFÍCIO CIDADE JARDIM SPE EMPREENDIMENTO IMOBILIÁRIO L TOA"/>
    <s v="09043077/0001-13;"/>
    <m/>
    <s v="AVENIDA CIDADE JARDIM E RUA MARIO FERRAZ"/>
    <x v="0"/>
    <x v="0"/>
    <s v="299004;"/>
    <s v="0018-4; 0017-6; 0016-8; 0112-1; 0015-1;"/>
    <n v="3396.06"/>
    <s v="NR"/>
    <m/>
    <m/>
    <m/>
    <s v="CEPAC (título)"/>
    <m/>
    <n v="118"/>
    <m/>
    <n v="118"/>
    <s v="FL-002/2009"/>
    <x v="0"/>
    <d v="2009-01-23T00:00:00"/>
    <m/>
    <m/>
    <m/>
    <m/>
    <s v="ACA NO DUPLO CHECK 8432,13"/>
    <s v="GIULIA/27/05/2025"/>
  </r>
  <r>
    <s v="FL-0322"/>
    <x v="0"/>
    <m/>
    <s v="2008-0179067-7"/>
    <d v="2008-06-13T00:00:00"/>
    <x v="0"/>
    <s v="EDIFÍCIO CIDADE JARDIM SPE EMPREENDIMENTO IMOBILIÁRIO L TOA"/>
    <s v="09043077/0001-13;"/>
    <m/>
    <s v="AVENIDA CIDADE JARDIM E RUA MARIO FERRAZ"/>
    <x v="0"/>
    <x v="0"/>
    <s v="299004;"/>
    <s v="0015-1;"/>
    <n v="3396.06"/>
    <s v="NR"/>
    <m/>
    <n v="1756.05"/>
    <n v="1756.05"/>
    <s v="CEPAC (título)"/>
    <m/>
    <n v="2049"/>
    <m/>
    <n v="2049"/>
    <s v="FL-015/2008"/>
    <x v="0"/>
    <d v="2008-09-10T00:00:00"/>
    <m/>
    <m/>
    <m/>
    <m/>
    <s v="ACA NO DUPLO CHECK 1.756,05"/>
    <s v="GIULIA/27/05/2025"/>
  </r>
  <r>
    <s v="FL-0322"/>
    <x v="0"/>
    <m/>
    <s v="2008-0078461-4"/>
    <d v="2008-03-12T00:00:00"/>
    <x v="0"/>
    <s v="EDIFICIO CIDADE JARDIM SPE EMPREENDIMENTO IMOBILIARIO LTDA"/>
    <s v="09043077/0001-13;"/>
    <m/>
    <s v="AVENIDA CIDADE JARDIM E RUA MARIO FERRAZ"/>
    <x v="0"/>
    <x v="0"/>
    <s v="299004;"/>
    <s v="0018-4; 0017-6; 0016-8; 0112-1; "/>
    <n v="2810.71"/>
    <s v="NR"/>
    <m/>
    <n v="8432.1299999999992"/>
    <n v="8432.1299999999992"/>
    <s v="CEPAC (título)"/>
    <m/>
    <n v="9838"/>
    <m/>
    <n v="9838"/>
    <s v="FL-007/2008"/>
    <x v="0"/>
    <d v="2008-04-15T00:00:00"/>
    <m/>
    <m/>
    <m/>
    <m/>
    <m/>
    <s v="GIULIA/27/05/2025"/>
  </r>
  <r>
    <s v="FL-0323"/>
    <x v="0"/>
    <m/>
    <s v="2008-0078866-0"/>
    <d v="2008-03-12T00:00:00"/>
    <x v="0"/>
    <s v="JK 16 EMPREENDIMENTO IMOBILIÁRIO S/A; ATINS EMPREENDIMENTOS IMOBILIÁRIOS LTDA"/>
    <s v="08977210/0001-46; 04621184/0001-68"/>
    <m/>
    <s v="RUA RAMOS BATISTA; RUA IAIÁ GARCIA; AVENIDA JUSCELINO KUBITSCHEK"/>
    <x v="0"/>
    <x v="0"/>
    <s v="299022;"/>
    <s v="0194-4; 0089-1; 0041-7; 0150-2;0079-4; 0176-6; 0177-4; 0156-1; 0155-3; 0168-5; 0169-3; 0128-6; 0151-0;"/>
    <n v="2879.74"/>
    <s v="NR"/>
    <m/>
    <n v="8639.2199999999993"/>
    <n v="8639.2199999999993"/>
    <s v="CEPAC (título)"/>
    <m/>
    <n v="14975"/>
    <n v="1920"/>
    <n v="16895"/>
    <s v="FL-009/2009"/>
    <x v="0"/>
    <d v="2009-03-12T00:00:00"/>
    <m/>
    <m/>
    <m/>
    <m/>
    <s v="PROPORÇÃO DE CEPACS EXTRAÍDA DO DUPLO CHECK. CONTOU NESTE DOCUMENTO O ANO ERRADO DA CERTIDÃO"/>
    <s v="LUCIANA/02/06/2025"/>
  </r>
  <r>
    <s v="FL-0324"/>
    <x v="0"/>
    <m/>
    <s v="2008-0118467-0"/>
    <d v="2008-04-17T00:00:00"/>
    <x v="0"/>
    <s v="ANTONIO MARZOLA LAUDINO; DYLCEIA STEIN MARZOLA LAUDINO"/>
    <m/>
    <s v="288575778-72; 214478588-08"/>
    <s v="AVENIDA CARDOSO DE MELO, 1336"/>
    <x v="4"/>
    <x v="2"/>
    <s v="299080;"/>
    <s v="0080-0;"/>
    <n v="2000"/>
    <s v="NR"/>
    <m/>
    <n v="4000"/>
    <n v="4000"/>
    <s v="CEPAC (título)"/>
    <m/>
    <n v="3334"/>
    <m/>
    <n v="3334"/>
    <s v="FL-014/2008"/>
    <x v="0"/>
    <d v="2008-09-05T00:00:00"/>
    <m/>
    <m/>
    <m/>
    <m/>
    <m/>
    <m/>
  </r>
  <r>
    <s v="FL-0325"/>
    <x v="0"/>
    <m/>
    <s v="2008-0118470-0"/>
    <d v="2008-04-17T00:00:00"/>
    <x v="0"/>
    <s v="BNI ONIX DESENVOLVIMENTO IMOBILIÁRIO LTDA"/>
    <s v="08913617/0001-00;"/>
    <m/>
    <s v="RUA CASA DO ATOR; RUA ALVORADA; RUA CARMONTELLE"/>
    <x v="4"/>
    <x v="2"/>
    <s v="299074;"/>
    <s v="0022-5; 0023-6; 0024-4; 0026-0; 0028-7; 0018-1; 0091-0; 0092-9; 0075-6; 0074-0; 0095-3; 0096-1; 0032-5; 0025-2; 0027-9;"/>
    <n v="2829.97"/>
    <s v="NR"/>
    <m/>
    <n v="5636.64"/>
    <n v="5636.64"/>
    <s v="CEPAC (título)"/>
    <m/>
    <n v="3754"/>
    <m/>
    <n v="3754"/>
    <s v="FL-012/2008"/>
    <x v="1"/>
    <d v="2008-09-05T00:00:00"/>
    <m/>
    <m/>
    <m/>
    <m/>
    <m/>
    <s v="LUCIANA/02/06/2025"/>
  </r>
  <r>
    <s v="FL-0325"/>
    <x v="0"/>
    <m/>
    <s v="2008-0118470-0"/>
    <d v="2008-04-17T00:00:00"/>
    <x v="0"/>
    <s v="BNI ONIX DESENVOLVIMENTO IMOBILIÁRIO LTDA"/>
    <s v="08913617/0001-00;"/>
    <m/>
    <s v="RUA CASA DO ATOR; RUA ALVORADA; RUA CARMONTELLE"/>
    <x v="4"/>
    <x v="0"/>
    <s v="299074;"/>
    <s v="0022-5; 0023-6; 0024-4; 0026-0; 0028-7; 0018-1; 0091-0; 0092-9; 0075-6; 0074-0; 0095-3; 0096-1; 0032-5; 0025-2; 0027-9; "/>
    <n v="2822.68"/>
    <s v="NR"/>
    <m/>
    <n v="5636.64"/>
    <n v="5636.64"/>
    <s v="CEPAC (título)"/>
    <m/>
    <n v="3757"/>
    <m/>
    <n v="3757"/>
    <s v="FL-001/2009"/>
    <x v="1"/>
    <d v="2009-01-08T00:00:00"/>
    <m/>
    <m/>
    <m/>
    <m/>
    <m/>
    <s v="LUCIANA/02/06/2025"/>
  </r>
  <r>
    <s v="FL-0325"/>
    <x v="0"/>
    <m/>
    <s v="2008-0118470-0"/>
    <d v="2008-04-17T00:00:00"/>
    <x v="0"/>
    <s v="BNI ONIX DESENVOLVIMENTO IMOBILIÁRIO LTDA"/>
    <s v="08913617/0001-00;"/>
    <m/>
    <s v="RUA CASA DO ATOR; RUA ALVORADA; RUA CARMONTELLE"/>
    <x v="4"/>
    <x v="0"/>
    <s v="299074;"/>
    <s v="0022-5; 0023-6; 0024-4; 0026-0; 0028-7; 0018-1; 0091-0; 0092-9; 0075-6; 0074-0; 0095-3; 0096-1; 0032-5; 0025-2; 0027-9; 0021-1; 0020-1; 0090-2; 0089-9;"/>
    <n v="3513"/>
    <s v="NR"/>
    <m/>
    <n v="5636.64"/>
    <n v="5636.64"/>
    <s v="CEPAC (título)"/>
    <m/>
    <n v="4112"/>
    <m/>
    <n v="4112"/>
    <s v="FL-023/2010"/>
    <x v="0"/>
    <d v="2010-10-27T00:00:00"/>
    <m/>
    <m/>
    <m/>
    <m/>
    <m/>
    <s v="LUCIANA/02/06/2025"/>
  </r>
  <r>
    <s v="FL-0326"/>
    <x v="0"/>
    <m/>
    <s v="2008-0174584-1"/>
    <d v="2008-06-10T00:00:00"/>
    <x v="0"/>
    <s v="BNI ESMERALDA DESENVOLVIMENTO IMOBILIÁRIO LTDA"/>
    <s v="09253260/0001-43;"/>
    <m/>
    <s v="RUA OLIMPÍADAS, 134"/>
    <x v="4"/>
    <x v="0"/>
    <s v="299050;"/>
    <s v="0036-2;"/>
    <n v="1600"/>
    <s v="NR"/>
    <m/>
    <n v="2920"/>
    <n v="2920"/>
    <s v="CEPAC (título)"/>
    <m/>
    <n v="3245"/>
    <m/>
    <n v="3245"/>
    <s v="FL-013/2008"/>
    <x v="0"/>
    <d v="2008-09-05T00:00:00"/>
    <m/>
    <m/>
    <m/>
    <m/>
    <m/>
    <s v="LUCIANA/02/06/2025"/>
  </r>
  <r>
    <s v="FL-0328"/>
    <x v="0"/>
    <m/>
    <s v="2008-0212890-0"/>
    <d v="2008-07-16T00:00:00"/>
    <x v="0"/>
    <s v="LEOPOLDO GREEN EMPREENDIMENTOS E PARTICIPAÇÕES LTDA"/>
    <s v="09233161/0001-08;"/>
    <m/>
    <s v="RUA LEOPOLDO COUTO DE MAGALHÃES JUNIOR; RUA CLODOMIRO AMAZONAS; RUA HORÁCIO LÁFER"/>
    <x v="1"/>
    <x v="0"/>
    <s v="299018;"/>
    <s v="0001-1; 0002-1; 0003-8; 0004-6; 0005-4; 0006-2; 0009-7; 001-7; 001-5; 0042-9; 003-7; 0044-5; 005-8; 0052-6; 0053-4; 0054-2; 0055-0; 0056-9; 0057-7; 0058-5; 0078-1; 0079-8; 0080-1; 0081-1; 0082-1; 0096-8; "/>
    <n v="9076.94"/>
    <s v="NR"/>
    <m/>
    <n v="27230.82"/>
    <n v="27230.82"/>
    <s v="CEPAC (título)"/>
    <m/>
    <n v="23601"/>
    <m/>
    <n v="23601"/>
    <s v="FL-010/2008"/>
    <x v="0"/>
    <d v="2008-09-03T00:00:00"/>
    <m/>
    <m/>
    <m/>
    <m/>
    <m/>
    <s v="LUCIANA/02/06/2025"/>
  </r>
  <r>
    <s v="FL-0329"/>
    <x v="0"/>
    <m/>
    <s v="2008-0141637-6"/>
    <d v="2008-05-12T00:00:00"/>
    <x v="0"/>
    <s v="GAFISA S/A"/>
    <s v="01545826/0001-07;"/>
    <m/>
    <s v="RUA ARAGUARI, 415"/>
    <x v="1"/>
    <x v="0"/>
    <s v="041079;"/>
    <s v="0009-6; 0049-5; 0050-9; 0051-7;"/>
    <n v="1505.01"/>
    <s v="R"/>
    <n v="4515.03"/>
    <m/>
    <n v="4515.03"/>
    <s v="CEPAC (título)"/>
    <m/>
    <n v="3011"/>
    <n v="1051"/>
    <n v="4062"/>
    <s v="FL-016/2008"/>
    <x v="0"/>
    <d v="2008-09-29T00:00:00"/>
    <m/>
    <m/>
    <m/>
    <m/>
    <s v="DISTRIBUIÇÃO DE CEPAC EFETUADA CONFORME DESCRITO NO DUPLO CHECK"/>
    <s v="LUCIANA/06/06/2025"/>
  </r>
  <r>
    <s v="FL-0331"/>
    <x v="0"/>
    <m/>
    <s v="2005-0257352-6"/>
    <d v="2005-10-18T00:00:00"/>
    <x v="0"/>
    <s v="VIP INCORPORACOES IMOBILIARIAS LTDA; BANCO OURINVEST S.A., NA QUALIDADE DE INSTITUIÇÃO ADMINISTRADORA DO FUNDO DE INVESTIMENTO IMOBILIARIO PREMIER REALTY"/>
    <s v="04950732/0001-01; 78632767/0001-20;"/>
    <m/>
    <s v="RUA UBERABINHA X RUA QUATA X RUA TEREZA DE CAPUA X AVENIDA HELIO PELLEGRINO"/>
    <x v="1"/>
    <x v="0"/>
    <s v="299085;"/>
    <s v="0065-1;"/>
    <n v="5293.34"/>
    <s v="NR"/>
    <m/>
    <n v="14658.78"/>
    <n v="14658.78"/>
    <s v="CEPAC (título)"/>
    <m/>
    <n v="9773"/>
    <n v="3260"/>
    <n v="13033"/>
    <s v="FL-016/2009"/>
    <x v="0"/>
    <d v="2009-08-19T00:00:00"/>
    <m/>
    <m/>
    <m/>
    <m/>
    <s v="DIVISÃO DE CEPACS CONFORME PLANILHA PUBLICADA."/>
    <s v="AMANDA/23/05/2025"/>
  </r>
  <r>
    <s v="FL-0332"/>
    <x v="0"/>
    <m/>
    <s v="2007-0176532-8"/>
    <d v="2007-06-01T00:00:00"/>
    <x v="0"/>
    <s v="BES EMPREENDIMENTOS E PARTIPACOES S/C LTDA.;"/>
    <s v="04572018/0001-19;"/>
    <m/>
    <s v="RUA DIOGO JACOME, 806"/>
    <x v="1"/>
    <x v="0"/>
    <s v="041059;"/>
    <s v="0121-4; 0028-5; 0026-9; 0027-7;"/>
    <n v="1317.32"/>
    <s v="NR"/>
    <m/>
    <n v="781.91"/>
    <n v="781.91"/>
    <s v="CEPAC (título)"/>
    <m/>
    <n v="782"/>
    <m/>
    <n v="782"/>
    <s v="FL-007/2009"/>
    <x v="0"/>
    <d v="2009-03-02T00:00:00"/>
    <m/>
    <m/>
    <m/>
    <m/>
    <m/>
    <s v="AMANDA/23/05/2025"/>
  </r>
  <r>
    <s v="FL-0332"/>
    <x v="0"/>
    <m/>
    <s v="2017-0030693-2"/>
    <d v="2017-02-17T00:00:00"/>
    <x v="0"/>
    <s v="SAL ADMINISTRACAO E INCORPORACAO LTDA.; BES EMPREENDIMENTOS E PARTICIPACOES LTDA.; MHB ADMINISTRACAO E PARCIPACOES LTDA.;"/>
    <s v="11731233/0001-80; 04572018/0001-19; 06538651/0001-16;"/>
    <m/>
    <s v="RUA DIOGO JACOME, 786"/>
    <x v="1"/>
    <x v="2"/>
    <s v="041059;"/>
    <s v="0120-6; 0121-4; 0027-7; 0026-9; 0028-5; 0033-1; 0122-2; 0024-2; 0032-3; 0025-0; 0002-1; 0068-4; 0069-2; 0070-6; 0071-4; 0072-2; 0073-0; 0074-9; 0075-7; 0076-5; 0077-3; 0078-1; 0079-1; 0080-3; 0081-1; 0066-8; 0017-1; "/>
    <n v="7424.21"/>
    <s v="NR"/>
    <m/>
    <n v="2034.23"/>
    <n v="2034.23"/>
    <s v="CEPAC (título)"/>
    <m/>
    <n v="1143"/>
    <m/>
    <n v="1143"/>
    <s v="FL-004/2017"/>
    <x v="1"/>
    <d v="2017-03-18T00:00:00"/>
    <m/>
    <m/>
    <m/>
    <m/>
    <s v="CANCELADA PELA CERTIDÃO FL-007/2017"/>
    <s v="AMANDA/28/05/2025"/>
  </r>
  <r>
    <s v="FL-0332"/>
    <x v="0"/>
    <m/>
    <s v="2017-0030693-2"/>
    <d v="2017-02-17T00:00:00"/>
    <x v="0"/>
    <s v="SAL ADMINISTRACAO E INCORPORADORA LTDA.; BES EMPREENDIMENTOS E PARTICIPACOES LTDA.; MHB ADMINISTRACAO E PARTICIPACOES LTDA."/>
    <s v="11731233/0001-80; 04572018/0001-19; 06538651/0001-16;"/>
    <m/>
    <s v="RUA DIOGO JACOME 786"/>
    <x v="1"/>
    <x v="2"/>
    <s v="041059;"/>
    <s v="0120-6; 0121-4; 0027-7; 0026-9; 0028-5; 0033-1; 0122-2; 0024-2; 0032-3; 0025-0; 0002-1; 0068-4; 0069-2; 0070-6; 0071-4; 0072-2; 0073-0; 0074-9; 0075-7; 0076-5; 0077-3; 0078-1; 0079-1; 0080-3; 0081-1; 0066-8; 0017-1; "/>
    <n v="7424.21"/>
    <s v="NR"/>
    <m/>
    <n v="2034.23"/>
    <n v="2034.23"/>
    <s v="CEPAC (título)"/>
    <m/>
    <n v="1143"/>
    <m/>
    <n v="1143"/>
    <s v="FL-007/2017"/>
    <x v="0"/>
    <d v="2017-06-24T00:00:00"/>
    <m/>
    <m/>
    <m/>
    <m/>
    <s v="CANCELA A CERTIDÃO FL-004/2017"/>
    <s v="AMANDA/28/05/2025"/>
  </r>
  <r>
    <s v="FL-0333"/>
    <x v="0"/>
    <m/>
    <s v="2008-0082363-6"/>
    <d v="2008-03-14T00:00:00"/>
    <x v="0"/>
    <s v="LABRADOR INVESTIMENTOS IMOBILIARIOS LTDA.;"/>
    <s v="08303517/0001-61; "/>
    <m/>
    <s v="AVENIDA HELIO PELEGRINO X RUA SILVANIA X RUA DOUTOR ERNANI PEREIRA"/>
    <x v="1"/>
    <x v="0"/>
    <s v="041076; "/>
    <s v="0004-1; 0007-6; 0008-4; 0016-5; 0017-3; 0018-1; 0019-1; 0020-3; 0021-1; 0022-1; 0023-8; 0024-6; 0028-9; 0029-7; 0047-5; 0050-5; "/>
    <n v="4429.0200000000004"/>
    <s v="R"/>
    <m/>
    <m/>
    <n v="0"/>
    <s v="CEPAC (título)"/>
    <m/>
    <m/>
    <n v="2953"/>
    <n v="2953"/>
    <s v="FL-019/2008"/>
    <x v="0"/>
    <d v="2008-12-02T00:00:00"/>
    <m/>
    <m/>
    <m/>
    <m/>
    <s v="COMPLEMENTADA PELA CERTIDÃO FL-017/2009"/>
    <s v="AMANDA/28/05/2025"/>
  </r>
  <r>
    <s v="FL-0333"/>
    <x v="0"/>
    <m/>
    <s v="2008-0082363-6"/>
    <d v="2008-03-14T00:00:00"/>
    <x v="0"/>
    <s v="LABRADOR INVESTIMENTOS IMOBILIARIOS LTDA.;"/>
    <s v="08303517/0001-61; "/>
    <m/>
    <s v="AVENIDA HELIO PELEGRINO X RUA SILVANIA X RUA DOUTOR ERNANI PEREIRA"/>
    <x v="1"/>
    <x v="0"/>
    <s v="041076; "/>
    <s v="0004-1; 0007-6; 0008-4; 0016-5; 0017-3; 0018-1; 0019-1; 0020-3; 0021-1; 0022-1; 0023-8; 0024-6; 0028-9; 0029-7; 0047-5; 0050-5; "/>
    <n v="4429.0200000000004"/>
    <s v="R"/>
    <n v="13287.05"/>
    <m/>
    <n v="13287.05"/>
    <s v="CEPAC (título)"/>
    <m/>
    <n v="8268"/>
    <m/>
    <n v="8268"/>
    <s v="FL-017/2009"/>
    <x v="0"/>
    <d v="2009-09-08T00:00:00"/>
    <m/>
    <m/>
    <m/>
    <m/>
    <s v="COMPLEMENTA A CERTIDAO FL-019/2008"/>
    <s v="AMANDA/28/05/2025"/>
  </r>
  <r>
    <s v="FL-0334"/>
    <x v="0"/>
    <m/>
    <s v="2007-0396554-5"/>
    <d v="2007-12-28T00:00:00"/>
    <x v="0"/>
    <s v="JHS-F INCORPORACOES S/A."/>
    <s v="05345215/0001-68;"/>
    <m/>
    <s v="AVENIDA HELIO PELEGRINO 480"/>
    <x v="1"/>
    <x v="0"/>
    <s v="041283;"/>
    <s v="0001-2; 0002-0; 0003-9; 0004-7; 0005-5; 0017-9; 0018-7; 0027-6; 0028-4; 0029-2; 0040-3; 0041-1; 0042-1; 0042-1; 0043-8; 0044-6; 0045-4; 0046-2; 0047-0; 0052-7; 0053-5; 0054-3;"/>
    <n v="4619.3"/>
    <s v="R"/>
    <n v="13857.9"/>
    <m/>
    <n v="13857.9"/>
    <s v="CEPAC (título)"/>
    <m/>
    <n v="8623"/>
    <n v="3080"/>
    <n v="11703"/>
    <s v="FL-020/2008"/>
    <x v="0"/>
    <d v="2008-12-12T00:00:00"/>
    <m/>
    <m/>
    <m/>
    <m/>
    <s v="QUANTIDADE DE CEPACS ALTERADA PELA RETI-RATI (VALOR DIVERGENTE DA PLANILHA PUBLICADA DE ESTOQUE CONSUMIDO)"/>
    <s v="AMANDA/28/05/2025"/>
  </r>
  <r>
    <s v="FL-0335"/>
    <x v="0"/>
    <m/>
    <s v="2010-0211141-9"/>
    <d v="2010-08-03T00:00:00"/>
    <x v="0"/>
    <s v="ESSER GENERAL EMPREENDIMENTOS IMOBILIARIOS LTDA.;"/>
    <s v="09083269/0001-53;"/>
    <m/>
    <s v="RUA CARDEAL ARCOVERDE, 2811"/>
    <x v="3"/>
    <x v="0"/>
    <s v="015073;"/>
    <s v="0025-5;"/>
    <n v="1485"/>
    <s v="NR"/>
    <m/>
    <n v="1881.9"/>
    <n v="1881.9"/>
    <s v="CEPAC (título)"/>
    <m/>
    <n v="1107"/>
    <m/>
    <n v="1107"/>
    <s v="FL-001/2011"/>
    <x v="0"/>
    <d v="2011-01-04T00:00:00"/>
    <m/>
    <m/>
    <m/>
    <m/>
    <m/>
    <s v="AMANDA/28/05/2025"/>
  </r>
  <r>
    <s v="FL-0336"/>
    <x v="0"/>
    <m/>
    <s v="2008-0241666-3"/>
    <d v="2008-08-12T00:00:00"/>
    <x v="0"/>
    <s v="REGINA HELENA CHEDE MARIANI; MAGALY DIAS DE SOUZA MARIANI; PAULO SERGIO INNECCO PINTUCCI; MARIA JOSE LANGONE; ESPOLIO DE MARCO FLAVIO INNECCO PINTUCCI; SONIA MARIA VITA PINTUCCI; BRUNO VITA PINTUCCI; BIANCA VITA PINTUCCI; HESA 6 - INVESTIMENTOS IMOBILIARIOS; UPCON DESENVOLVIMENTO IMOBILIARIO LTDA.;"/>
    <s v="09343343/0001-23; 08168657/0001-74;"/>
    <s v="222355908-53; 042669528-30; 372756408-30; 395374558-15; 372756238-20; 073217238-10; 304572074-17; 041038004-10;"/>
    <s v="RUA CANARIO, 148 E 160"/>
    <x v="1"/>
    <x v="0"/>
    <s v="041038;"/>
    <s v="0024-0; 0041-1;"/>
    <n v="1080"/>
    <s v="R"/>
    <n v="3420"/>
    <m/>
    <n v="3420"/>
    <s v="CEPAC (título)"/>
    <m/>
    <n v="2160"/>
    <n v="720"/>
    <n v="2880"/>
    <s v="FL-003/2009"/>
    <x v="0"/>
    <d v="2009-02-12T00:00:00"/>
    <m/>
    <m/>
    <m/>
    <m/>
    <s v="DISTRIBUIÇÃO DE CEPACS RETIRADA DA TABELA PUBLICADA DE ESTOQUE CONSUMIDO"/>
    <s v="AMANDA/28/05/2025"/>
  </r>
  <r>
    <s v="FL-0338"/>
    <x v="0"/>
    <m/>
    <s v="2009-0100238-7"/>
    <d v="2009-04-02T00:00:00"/>
    <x v="0"/>
    <s v="RPB EMPREENDIMENTOS E PARTICIPACOES S/A.;"/>
    <s v="08312116/0001-78;"/>
    <m/>
    <s v="RUA DOUTOR RENATO PAES DE BARROS, 901; RUA PAULA DE OLIVEIRA, 68, 78, 94, 98, 114, 118"/>
    <x v="1"/>
    <x v="0"/>
    <s v="016139;"/>
    <s v="0100-3; 0035-1; 0036-8; 0037-6; 0038-4; 0039-2; 0040-6;"/>
    <n v="1955.04"/>
    <s v="R"/>
    <n v="5865.12"/>
    <m/>
    <n v="5865.12"/>
    <s v="CEPAC (título)"/>
    <m/>
    <n v="2347"/>
    <m/>
    <n v="2347"/>
    <s v="FL-011/2009"/>
    <x v="0"/>
    <d v="2009-04-16T00:00:00"/>
    <m/>
    <m/>
    <m/>
    <m/>
    <m/>
    <s v="AMANDA/28/05/2025"/>
  </r>
  <r>
    <s v="FL-0339"/>
    <x v="0"/>
    <m/>
    <s v="2008-0254707-5"/>
    <d v="2008-08-25T00:00:00"/>
    <x v="0"/>
    <s v="TIGER EVEN EMPREENDIMENTOS IMOBILIARIOS LTDA.;"/>
    <s v="08868287/0001-88;"/>
    <m/>
    <s v="RUA ANNA CAMPOS MELAO; RUA NICOLAU GAGLIARDI; RUA DOUTOR CARLOS ALBERTO DO ESPIRITO SANTO; RUA COSTA CARVALHO"/>
    <x v="3"/>
    <x v="0"/>
    <s v="083224;"/>
    <s v="0001-2; 0002-0; 0003-9; 0004-7; 0005-5; 0006-3; 0007-1; 0008-1; 0009-8; 0010-1; 0011-1; 0012-8; 0013-6; 0014-4; 0015-2; 0016-0; 0017-9; 0018-7; 0019-5; 0020-9; 0021-7; 0022-5; 0023-3; 0024-1; 0025-1; 0026-8; 0027-6; 0028-4; 0029-2; 0030-6; 0031-4; 0032-2; 0033-0; 0034-9; 0035-7; 0036-5; 0037-3;"/>
    <n v="3002.51"/>
    <s v="R"/>
    <n v="9005.2099999999991"/>
    <m/>
    <n v="9005.2099999999991"/>
    <s v="CEPAC (título)"/>
    <m/>
    <n v="3002"/>
    <n v="100"/>
    <n v="3102"/>
    <s v="FL-013/2009"/>
    <x v="0"/>
    <d v="2009-06-19T00:00:00"/>
    <m/>
    <m/>
    <m/>
    <m/>
    <s v="DISTRIBUIÇÃO DE CEPACS RETIRADA DA TABELA PUBLICADA DE ESTOQUE CONSUMIDO"/>
    <s v="AMANDA/28/05/2025"/>
  </r>
  <r>
    <s v="FL-0340"/>
    <x v="0"/>
    <m/>
    <s v="2008-0196592-2"/>
    <d v="2008-07-01T00:00:00"/>
    <x v="0"/>
    <s v="SEMAITA EMPREENDIMENTOS IMOBILIARIOS LTDA.;"/>
    <s v="09099652/0001-08;"/>
    <m/>
    <s v="RUA CASA DO ATOR, 352, 358, 370, 378, 400, 408"/>
    <x v="1"/>
    <x v="0"/>
    <s v="299094;"/>
    <s v="0181-7; 0017-9; 0018-7; 0016-0; 0019-5;"/>
    <n v="2675"/>
    <s v="R"/>
    <n v="8024.6"/>
    <m/>
    <n v="8024.6"/>
    <s v="CEPAC (título)"/>
    <m/>
    <n v="2996"/>
    <m/>
    <n v="2996"/>
    <s v="FL-015/2009"/>
    <x v="0"/>
    <d v="2009-08-19T00:00:00"/>
    <m/>
    <m/>
    <m/>
    <m/>
    <m/>
    <s v="AMANDA/28/05/2025"/>
  </r>
  <r>
    <s v="FL-0341"/>
    <x v="0"/>
    <m/>
    <s v="2009-0245317-0"/>
    <d v="2009-08-21T00:00:00"/>
    <x v="0"/>
    <s v="YUNY APOLLO EMPREENDIMENTOS LTDA"/>
    <s v="10420745/0001-63;"/>
    <m/>
    <s v="RUA IRLANDINO SANDOVAL , 58, 68 E S/N"/>
    <x v="0"/>
    <x v="0"/>
    <s v="083053;"/>
    <s v="0098-6; 0099-4; 0158-3;"/>
    <n v="1602.36"/>
    <s v="R"/>
    <n v="4807.08"/>
    <m/>
    <n v="4807.08"/>
    <s v="CEPAC (título)"/>
    <m/>
    <n v="6009"/>
    <n v="1470"/>
    <n v="7479"/>
    <s v="FL-015/2011"/>
    <x v="0"/>
    <d v="2011-08-18T00:00:00"/>
    <m/>
    <m/>
    <m/>
    <m/>
    <s v="DESVINCULAÇÃO DOS 7.479 CEPACS (FL-002/14 DE 1/17/14 )"/>
    <s v="GIULIA/19/05/2025"/>
  </r>
  <r>
    <s v="FL-0342"/>
    <x v="0"/>
    <m/>
    <s v="2008-0237638-6"/>
    <d v="2008-08-07T00:00:00"/>
    <x v="0"/>
    <s v="ABITAR SPE EMPREENDIMENTOS IMOBILIARIOS S/A , ODEBRECHT S/A, EDUARDO AUGUSTO VIEIRA LEME , YOLANDA LA TORRE FEOLA, DONATA FEOLA FREIRE, JOANNA FEOLA LATORRE"/>
    <s v="09397320/0001-00; 05144757/0001-72; "/>
    <s v="065692318-04; 014144438-03; 267067267-00; 307724048-36"/>
    <s v="RUA LEMOS MONTEIRO, 138, 120, 106, 88, 98, 74, 78, RUA AGOSTINHO CANTÚ, 24, 32, 40, 44, 52, 58, 62, 72, 88, 7 4, 94, 100, 106 E RUA DESEMBAGADOR ARMANDO FAIRBANKS 39, 43, 53, 59, 63, 71, 71-F, 75, 79 E 85"/>
    <x v="3"/>
    <x v="0"/>
    <s v="200053;"/>
    <s v="0016-7; 0045-0; 0044-2; 0017-5; 0030-2; 0027-2; 0015-9; 0014-0; 0032-8; 0031-0; 0012-4; 0006-1; 0007-8; 0036-1; 0018-3; 0019-1; 0041-8; 0042-6; 0043-4; 0037-1; 0040-1; 0039-6; 0038-8"/>
    <n v="7387.67"/>
    <s v="NR"/>
    <m/>
    <n v="22163.01"/>
    <n v="22163.01"/>
    <s v="CEPAC (título)"/>
    <m/>
    <n v="11492"/>
    <n v="4680"/>
    <n v="16172"/>
    <s v="FL-021/2011"/>
    <x v="0"/>
    <d v="2011-10-18T00:00:00"/>
    <m/>
    <m/>
    <m/>
    <m/>
    <m/>
    <s v="GIULIA/19/05/2025"/>
  </r>
  <r>
    <s v="FL-0342"/>
    <x v="0"/>
    <m/>
    <s v="2008-0237638-6"/>
    <d v="2008-08-07T00:00:00"/>
    <x v="0"/>
    <s v="ABITAR SPE EMPREENDIMENTOS IMOBILIARIOS S/A , ODEBRECHT S/A, EDUARDO AUGUSTO VIEIRA LEME , YOLANDA LA TORRE FEOLA, DONATA FEOLA FREIRE, JOANNA FEOLA LATORRE"/>
    <s v="09397320/0001-00; 05144757/0001-72; "/>
    <s v="065692318-04; 014144438-03; 267067267-00; 307724048-36"/>
    <s v="RUA LEMOS MONTEIRO, 138, 120, 106, 88, 98, 74, 78, RUA AGOSTINHO CANTÚ, 24, 32, 40, 44, 52, 58, 62, 72, 88, 7 4, 94, 100, 106 E RUA DESEMBAGADOR ARMANDO FAIRBANKS 39, 43, 53, 59, 63, 71, 71-F, 75, 79 E 85"/>
    <x v="3"/>
    <x v="0"/>
    <s v="200053;"/>
    <s v="0016-7; 0045-0; 0044-2; 0017-5; 0030-2; 0027-2; 0015-9; 0014-0; 0032-8; 0031-0; 0012-4; 0006-1; 0007-8; 0036-1; 0018-3; 0019-1; 0041-8; 0042-6; 0043-4; 0037-1; 0040-1; 0039-6; 0038-8"/>
    <n v="7387.67"/>
    <s v="NR"/>
    <m/>
    <n v="22163.01"/>
    <n v="22163.01"/>
    <s v="CEPAC (título)"/>
    <m/>
    <n v="11492"/>
    <n v="4680"/>
    <n v="16172"/>
    <s v="FL-018/2011"/>
    <x v="1"/>
    <d v="2011-08-31T00:00:00"/>
    <m/>
    <m/>
    <m/>
    <m/>
    <s v="diz que esta cancelada , mas no processo &quot;valido&quot; ela nao aparece como tendo sido substituida"/>
    <s v="GIULIA/19/05/2025"/>
  </r>
  <r>
    <s v="FL-0342"/>
    <x v="0"/>
    <m/>
    <s v="2008-0237638-6"/>
    <d v="2008-08-07T00:00:00"/>
    <x v="0"/>
    <s v="ABITAR SPE EMPREENDIMENTOS IMOBILIARIOS S/A "/>
    <s v="09397320/0001-00; "/>
    <m/>
    <s v="RUA LEMOS MONTEIRO, 138, 120, 106, 88, 98, 74, 78, RUA AGOSTINHO CANTÚ, 24, 32, 40, 44, 52, 58, 62, 72 E RUA DESEMBAGADOR ARMANDO FAIRBANKS 39, 43, 53, 59, 63, 71, "/>
    <x v="3"/>
    <x v="0"/>
    <s v="200053;"/>
    <s v="0016-7; 0045-0; 0044-2; 0017-5; 0030-2; 0027-2; 0015-9; 0014-0; 0032-8; 0031-0; 0012-4; 0006-1; 0007-8; 0036-1; 0018-3; 0019-1;"/>
    <n v="6449.25"/>
    <s v="NR"/>
    <m/>
    <n v="19347.75"/>
    <n v="19347.75"/>
    <s v="CEPAC (título)"/>
    <m/>
    <n v="13258"/>
    <m/>
    <n v="13258"/>
    <s v="FL-018/2010"/>
    <x v="1"/>
    <d v="2011-08-24T00:00:00"/>
    <m/>
    <m/>
    <m/>
    <m/>
    <m/>
    <s v="GIULIA/19/05/2025"/>
  </r>
  <r>
    <s v="FL-0342"/>
    <x v="0"/>
    <m/>
    <s v="2008-0237638-6"/>
    <d v="2008-08-07T00:00:00"/>
    <x v="0"/>
    <s v="ABITAR SPE EMPREENDIMENTOS IMOBILIARIOS S/A "/>
    <s v="09397320/0001-00; "/>
    <m/>
    <s v="RUA LEMOS MONTEIRO, 138, 120, 106, 88, 98, 74, 78, RUA AGOSTINHO CANTÚ, 24, 32, E RUA DESEMBAGADOR ARMANDO FAIRBANKS 39, 43, 53, "/>
    <x v="3"/>
    <x v="0"/>
    <s v="200053;"/>
    <s v="0016-7; 0045-0; 0044-2; 0017-5; 0030-2; 0027-2; 0015-9; 0014-0; 0032-8; 0031-0; 0012-4; 0006-1; 0007-8; 0036-1; 0018-3; 0019-1;"/>
    <n v="3421.76"/>
    <s v="NR"/>
    <m/>
    <n v="19347.75"/>
    <n v="2372.04"/>
    <s v="CEPAC (título)"/>
    <m/>
    <n v="2649"/>
    <m/>
    <n v="2649"/>
    <s v="FL-018/2009"/>
    <x v="1"/>
    <d v="2011-08-24T00:00:00"/>
    <m/>
    <m/>
    <m/>
    <m/>
    <m/>
    <s v="GIULIA/19/05/2025"/>
  </r>
  <r>
    <s v="FL-0343"/>
    <x v="0"/>
    <m/>
    <s v="2008-0247707-7"/>
    <d v="2008-08-18T00:00:00"/>
    <x v="0"/>
    <s v="MPH EMPREENDIMENTO IMOBILIÁRIO LTDA,  HELFER COMÉRCIO E PARTICIPAÇÕES LTDA, "/>
    <s v="08486298/0001-01; 64907868/0001-52"/>
    <m/>
    <s v="RUA OLIMPÍADAS 360 E RUA FIDÊNCIO RAMOS 257"/>
    <x v="4"/>
    <x v="0"/>
    <m/>
    <s v="0083-4; 0065-6; 0039-7;"/>
    <n v="928"/>
    <s v="NR"/>
    <m/>
    <m/>
    <n v="0"/>
    <s v="CEPAC (título)"/>
    <m/>
    <m/>
    <n v="147"/>
    <n v="147"/>
    <s v="FL-019/2009"/>
    <x v="0"/>
    <d v="2009-09-30T00:00:00"/>
    <m/>
    <m/>
    <m/>
    <m/>
    <s v="PROPOSTA ADERIU SOMENTE PARA QUEBRA DE T.O. EM UMA PARTE DO TERRENO - INCIDENTE SOMENTE SOBRE O LOTE 0083"/>
    <s v="GIULIA/19/05/2025"/>
  </r>
  <r>
    <s v="FL-0344"/>
    <x v="0"/>
    <m/>
    <s v="2009-0075811-9"/>
    <d v="2009-03-11T00:00:00"/>
    <x v="0"/>
    <s v="VITACON EMPREENDIMENTOS LTDA"/>
    <s v="09361394/0001-88;"/>
    <m/>
    <s v="RUA DOUTOR CARDOSO DE MELO, 6226/630 E RUA GOMES DE CARVALHO"/>
    <x v="1"/>
    <x v="0"/>
    <s v="299101;"/>
    <s v="0093-0;"/>
    <n v="2499"/>
    <s v="MISTO"/>
    <n v="4662"/>
    <n v="2835"/>
    <n v="7497"/>
    <s v="CEPAC (título)"/>
    <m/>
    <n v="3755"/>
    <m/>
    <n v="3755"/>
    <s v="FL-011/2010"/>
    <x v="0"/>
    <d v="2010-05-04T00:00:00"/>
    <m/>
    <m/>
    <m/>
    <m/>
    <s v="COMPLEMENTA A CERTIDÃO FL-020/2009"/>
    <s v="GIULIA/19/05/2025"/>
  </r>
  <r>
    <s v="FL-0344"/>
    <x v="0"/>
    <m/>
    <s v="2009-0075811-9"/>
    <d v="2009-03-11T00:00:00"/>
    <x v="0"/>
    <s v="VITACON EMPREENDIMENTOS LTDA"/>
    <s v="09361394/0001-88;"/>
    <m/>
    <s v="RUA DOUTOR CARDOSO DE MELO, 6226/630 E RUA GOMES DE CARVALHO"/>
    <x v="1"/>
    <x v="0"/>
    <s v="299101;"/>
    <s v="0093-0;"/>
    <n v="2499"/>
    <s v="MISTO"/>
    <m/>
    <m/>
    <m/>
    <s v="CEPAC (título)"/>
    <m/>
    <m/>
    <n v="254"/>
    <n v="254"/>
    <s v="FL-020/2009"/>
    <x v="0"/>
    <d v="2009-10-28T00:00:00"/>
    <m/>
    <m/>
    <m/>
    <m/>
    <m/>
    <s v="GIULIA/19/05/2025"/>
  </r>
  <r>
    <s v="FL-0345"/>
    <x v="0"/>
    <m/>
    <s v="2009-0316661-1"/>
    <d v="2009-10-29T00:00:00"/>
    <x v="0"/>
    <s v="ZAMORA INCORPORAÇÃO LTDA"/>
    <s v="08628993/0001-52;"/>
    <m/>
    <s v="RUA GILBERTO SABINO, 171 , 177, 187, 197, 199, 207, 215, 221 RUA CAPRI, 60, 66, 68, 88"/>
    <x v="3"/>
    <x v="0"/>
    <s v="083100;"/>
    <s v="0080-4; 0077-4; 0076-6; 0025-1; 0027-8;  0028-6; 0029-4; 0075-8; 0018-9"/>
    <n v="3719.7"/>
    <s v="NR"/>
    <m/>
    <n v="11137.89"/>
    <n v="11137.89"/>
    <s v="CEPAC (título)"/>
    <m/>
    <n v="5775"/>
    <m/>
    <n v="5775"/>
    <s v="FL-021/2010"/>
    <x v="0"/>
    <d v="2010-10-10T00:00:00"/>
    <m/>
    <m/>
    <m/>
    <m/>
    <m/>
    <s v="GIULIA/19/05/2025"/>
  </r>
  <r>
    <s v="FL-0345"/>
    <x v="0"/>
    <m/>
    <s v="2009-0316661-1"/>
    <d v="2009-10-29T00:00:00"/>
    <x v="0"/>
    <s v="ZAMORA INCORPORAÇÃO LTDA"/>
    <s v="08628993/0001-52;"/>
    <m/>
    <s v="RUA GILBERTO SABINO, 171 , 177, 187, 197, 199, 207, 215, 221 RUA CAPRI, 60, 66, 68, 88"/>
    <x v="3"/>
    <x v="0"/>
    <s v="083100;"/>
    <s v="0080-4; 0077-4; 0076-6; 0025-1; 0027-8;  0028-6; 0029-4; 0075-8; 0018-9"/>
    <n v="3719.7"/>
    <s v="NR"/>
    <m/>
    <n v="11002.87"/>
    <n v="11002.87"/>
    <s v="CEPAC (título)"/>
    <m/>
    <n v="5700"/>
    <m/>
    <n v="5700"/>
    <s v="FL-001/2010"/>
    <x v="1"/>
    <d v="2010-01-04T00:00:00"/>
    <m/>
    <m/>
    <m/>
    <m/>
    <m/>
    <s v="GIULIA/19/05/2025"/>
  </r>
  <r>
    <s v="FL-0346"/>
    <x v="0"/>
    <m/>
    <s v="2009-0214443-6"/>
    <d v="2009-07-27T00:00:00"/>
    <x v="0"/>
    <s v="MAX CASA EMPREENDIMENTOS IMOBILIARIOSLTDA."/>
    <s v="10212829/0001-01;"/>
    <m/>
    <s v="RUA RUA FIANDEIRAS, 326 E RUA CLODOMIRO AMAZONAS, 1.378, 1.382, 1.384 E 1.386"/>
    <x v="1"/>
    <x v="0"/>
    <s v="299066;"/>
    <s v="0116-5; 0058-4;"/>
    <n v="2385.83"/>
    <s v="MISTO"/>
    <n v="1706.31"/>
    <n v="26.47"/>
    <n v="1732.78"/>
    <s v="CEPAC (título)"/>
    <m/>
    <n v="710"/>
    <m/>
    <n v="710"/>
    <s v="FL-007/2011"/>
    <x v="0"/>
    <d v="2011-03-24T00:00:00"/>
    <m/>
    <m/>
    <m/>
    <m/>
    <m/>
    <s v="GIULIA/19/05/2025"/>
  </r>
  <r>
    <s v="FL-0347"/>
    <x v="0"/>
    <m/>
    <s v="2009-0296830-7"/>
    <d v="2009-10-08T00:00:00"/>
    <x v="0"/>
    <s v="IUNI PARTICIPAÇÕES E SERVIÇOS S/A"/>
    <s v="08508931/0001-07;"/>
    <m/>
    <s v="RUA CARDEAL ARCOVERDE E PEDRO CRISTI"/>
    <x v="3"/>
    <x v="0"/>
    <s v="015055;"/>
    <s v="0005-2; 0006-0; 0007-9; 0008-7; 0040-0; 0041-9; 0042-7; 0043-5; 0044-3;"/>
    <n v="1403.56"/>
    <s v="NR"/>
    <m/>
    <n v="4210.68"/>
    <n v="4210.68"/>
    <s v="CEPAC (título)"/>
    <m/>
    <n v="2374"/>
    <n v="26"/>
    <n v="2400"/>
    <s v="FL-022/2009"/>
    <x v="0"/>
    <d v="2011-09-02T00:00:00"/>
    <m/>
    <m/>
    <m/>
    <m/>
    <s v="CONFERIR CERTIDÃO 022/2009 - INLCUIR DADOS, POIS ESTA CERTIDÃO SE TRATA DE RETI-RATI"/>
    <s v="GIULIA/19/05/2025"/>
  </r>
  <r>
    <s v="FL-0348"/>
    <x v="0"/>
    <m/>
    <s v="2009-0208614-2"/>
    <d v="2009-07-17T00:00:00"/>
    <x v="0"/>
    <s v="SP LAPIN EMPREENDIMENTOS IMOBILIARIOS LTDA."/>
    <s v="09026078/0001-50;"/>
    <m/>
    <s v="RUA BENEDITO LAPIN, 161"/>
    <x v="1"/>
    <x v="0"/>
    <s v="016167;"/>
    <s v="0039-4; 0065-3; 0066-1; 0067-1; 0068-6; 0092-0;"/>
    <n v="1274.78"/>
    <s v="R"/>
    <n v="3824.34"/>
    <m/>
    <n v="3824.34"/>
    <s v="CEPAC (título)"/>
    <m/>
    <n v="1530"/>
    <m/>
    <n v="1530"/>
    <s v="FL-009/2010"/>
    <x v="0"/>
    <d v="2010-03-24T00:00:00"/>
    <m/>
    <m/>
    <m/>
    <m/>
    <m/>
    <s v="GIULIA/19/05/2025"/>
  </r>
  <r>
    <s v="FL-0349"/>
    <x v="0"/>
    <m/>
    <s v="2009-0327976-9"/>
    <d v="2009-11-10T00:00:00"/>
    <x v="0"/>
    <s v="F. REIS ADMINISTRACAO DE IMOVEIS LTDA"/>
    <s v="00076468/0001-60;"/>
    <m/>
    <s v="RUA DOUTOR ALCEU DE CAMPOS RODRIGUES 126, RUA GUILHERME BANNITZ 201 E RUA DOUTOR JOAO CLIMACO PEREIRA 88"/>
    <x v="1"/>
    <x v="0"/>
    <s v="016146;"/>
    <s v="0059-7; 0039-2; 0065-1"/>
    <n v="2091.54"/>
    <s v="NR"/>
    <m/>
    <n v="4183.08"/>
    <n v="4183.08"/>
    <s v="CEPAC (título)"/>
    <m/>
    <n v="4184"/>
    <m/>
    <n v="4184"/>
    <s v="FL-007/2010"/>
    <x v="0"/>
    <d v="2010-03-11T00:00:00"/>
    <m/>
    <m/>
    <m/>
    <m/>
    <m/>
    <s v="GIULIA/19/05/2025"/>
  </r>
  <r>
    <s v="FL-0350"/>
    <x v="0"/>
    <m/>
    <s v="2009-0353717-2"/>
    <d v="2009-12-03T00:00:00"/>
    <x v="0"/>
    <s v="LEGACY EMPREENDIMENTOS IMOBILIARIOS LTDA"/>
    <s v="08691907/0001-56;"/>
    <m/>
    <s v="RUA PAES LEME, 136"/>
    <x v="3"/>
    <x v="0"/>
    <s v="083212;"/>
    <s v="0115-6;"/>
    <n v="1561.7"/>
    <s v="NR"/>
    <m/>
    <n v="3123.4"/>
    <n v="3123.4"/>
    <s v="CEPAC (título)"/>
    <m/>
    <n v="1736"/>
    <m/>
    <n v="1736"/>
    <s v="FL-003/2010"/>
    <x v="0"/>
    <d v="2010-01-07T00:00:00"/>
    <m/>
    <m/>
    <m/>
    <m/>
    <m/>
    <s v="GIULIA/19/05/2025"/>
  </r>
  <r>
    <s v="FL-0351"/>
    <x v="0"/>
    <m/>
    <s v="2009-0354976-6"/>
    <d v="2009-12-04T00:00:00"/>
    <x v="0"/>
    <s v="JOÃO SALLES FERREIRA ALVES; GISELDA BITTENCOURT FERREIRA ALVES; DIALOGO ENGENHARIA E CONSTRUÇÃO LTDA; OCNCIVIL CONSTRUTORA E INCORPORADORA LTDA; LUCIUS EMPREENDIMENTOS IMOBILIÁRIOS LTDA;"/>
    <s v="57132417/0001-25; 72951130/0001-10; 46213765/0001-10;"/>
    <s v="023483578-87; 149018338-80;"/>
    <s v="RUA SÃO TOMÉ Nº 73"/>
    <x v="4"/>
    <x v="0"/>
    <s v="299039;"/>
    <s v="0068-4;"/>
    <n v="1455"/>
    <s v="R"/>
    <n v="2910"/>
    <m/>
    <n v="2910"/>
    <s v="CEPAC (título)"/>
    <m/>
    <n v="1455"/>
    <m/>
    <n v="1455"/>
    <s v="FL-004/2010"/>
    <x v="0"/>
    <d v="2010-02-26T00:00:00"/>
    <m/>
    <m/>
    <m/>
    <m/>
    <m/>
    <s v="VITOR/19/05/2025"/>
  </r>
  <r>
    <s v="FL-0352"/>
    <x v="0"/>
    <m/>
    <s v="2009-0370036-7"/>
    <d v="2009-12-21T00:00:00"/>
    <x v="0"/>
    <s v="BERNE EMPREENDIMENTOS IMOBILIÁRIOS LTDA"/>
    <s v="09257400/0001-51;"/>
    <m/>
    <s v="RUA LEOPOLDO COUTO DE MAGALHÃES JÚNIOR"/>
    <x v="1"/>
    <x v="0"/>
    <s v="016134;"/>
    <s v="0002-0; 0032-0; 0001-2; 0031-4; 0030-6; 0029-2; 0017-9"/>
    <n v="1293"/>
    <s v="R"/>
    <n v="3879"/>
    <m/>
    <n v="3879"/>
    <s v="CEPAC (título)"/>
    <m/>
    <n v="1552"/>
    <m/>
    <n v="1552"/>
    <s v="FL-006/2010"/>
    <x v="0"/>
    <d v="2010-03-03T00:00:00"/>
    <m/>
    <m/>
    <m/>
    <m/>
    <m/>
    <s v="VITOR/19/05/2025"/>
  </r>
  <r>
    <s v="FL-0353"/>
    <x v="0"/>
    <m/>
    <s v="2008-0320243-8"/>
    <d v="2010-03-03T00:00:00"/>
    <x v="0"/>
    <s v="GREEN DESENVOLVIMENTO IMOBILIÁRIO LTDA"/>
    <s v="09253140/0001-46;"/>
    <m/>
    <s v="RUA GOMES DE CARVALHO Nº 850, 862 E 872"/>
    <x v="4"/>
    <x v="0"/>
    <s v="299082;"/>
    <s v="0007-9; 0074-5; 0075-3;"/>
    <n v="1500"/>
    <s v="R"/>
    <n v="3000"/>
    <m/>
    <n v="3000"/>
    <s v="CEPAC (título)"/>
    <m/>
    <n v="1500"/>
    <m/>
    <n v="1500"/>
    <s v="FL-005/2010"/>
    <x v="0"/>
    <d v="2010-03-03T00:00:00"/>
    <m/>
    <m/>
    <m/>
    <m/>
    <m/>
    <s v="VITOR/19/05/2025"/>
  </r>
  <r>
    <s v="FL-0354"/>
    <x v="0"/>
    <m/>
    <s v="2010-0025284-8"/>
    <d v="2010-05-13T00:00:00"/>
    <x v="0"/>
    <s v="EUGÊNIO DE MEDEIROS EMPREENDIMENTO IMOBILIÁRIO SPE S/A"/>
    <s v="08856152/0001-00;"/>
    <m/>
    <s v="RUA EUGÊNIO DE MEDEIROS Nº 303, 287, S/N, 263, 243, 235"/>
    <x v="3"/>
    <x v="0"/>
    <s v="083103;"/>
    <s v="0009-3; 0010-7; 0011-5; 0012-3; 0049-2; 0091-3;"/>
    <n v="5510.48"/>
    <s v="NR"/>
    <m/>
    <n v="16530.36"/>
    <n v="16530.36"/>
    <s v="CEPAC (título)"/>
    <m/>
    <n v="9076"/>
    <m/>
    <n v="9076"/>
    <s v="FL-013/2010"/>
    <x v="0"/>
    <d v="2010-05-13T00:00:00"/>
    <m/>
    <m/>
    <m/>
    <m/>
    <s v="ACA ESTÁ REGISTRADO NO CAMPO 'ACA R', PORÉM É 'ACA NR'"/>
    <s v="VITOR/19/05/2025"/>
  </r>
  <r>
    <s v="FL-0356"/>
    <x v="0"/>
    <m/>
    <s v="2009-0286284-3"/>
    <d v="2011-05-05T00:00:00"/>
    <x v="0"/>
    <s v="BOLSA DE IMÓVEIS DESENVOLVIMENTO IMOBILIÁRIO LTDA"/>
    <s v="04913697/0001-42;"/>
    <m/>
    <s v="RUA DOUTOR MÁRIO FERRAZ X RUA ADOLFO TABACOW X RUA ARAÇARI"/>
    <x v="0"/>
    <x v="0"/>
    <s v="299002;"/>
    <s v="0073-8; 0072-1; 0071-1; 0070-3; 0089-4; 0017-7; 0016-9"/>
    <n v="1283.1099999999999"/>
    <s v="R"/>
    <n v="3848.89"/>
    <m/>
    <n v="3848.89"/>
    <s v="CEPAC (título)"/>
    <m/>
    <n v="2961"/>
    <m/>
    <n v="2961"/>
    <s v="FL-009/2011"/>
    <x v="0"/>
    <d v="2011-05-05T00:00:00"/>
    <m/>
    <m/>
    <m/>
    <m/>
    <m/>
    <s v="VITOR/19/05/2025"/>
  </r>
  <r>
    <s v="FL-0357"/>
    <x v="0"/>
    <m/>
    <s v="2009-0226480-6"/>
    <d v="2009-08-05T00:00:00"/>
    <x v="0"/>
    <s v="EXTO HUMAITÁ EMPREENDIMENTOS IMOBILIÁRIOS SPE LTDA; CONSTRUTORA HUMAITÁ S/A"/>
    <s v="10829878/0001-98; 60675014/0001-37;"/>
    <m/>
    <s v="RUA ALVORADA Nº 109, 212, S/Nº E 153"/>
    <x v="1"/>
    <x v="0"/>
    <s v="299177;"/>
    <s v="0590-9; 0051-6;"/>
    <n v="2850"/>
    <s v="R"/>
    <n v="8548.0049999999992"/>
    <m/>
    <n v="8548.0049999999992"/>
    <s v="CEPAC (título)"/>
    <m/>
    <n v="3192"/>
    <m/>
    <n v="3192"/>
    <s v="FL-012/2010"/>
    <x v="0"/>
    <d v="2010-05-04T00:00:00"/>
    <m/>
    <m/>
    <m/>
    <m/>
    <m/>
    <s v="VITOR/19/05/2025"/>
  </r>
  <r>
    <s v="FL-0359"/>
    <x v="0"/>
    <m/>
    <s v="2010-0140132-4"/>
    <d v="2010-05-19T00:00:00"/>
    <x v="0"/>
    <s v="TS-4 FLT DESENVOLVIMENTO IMOBILIÁRIO LTDA"/>
    <s v="08074339/0001-44;"/>
    <m/>
    <s v="AVENIDA BRIGADEIRO FARIA LIMA, AVENIDA HORÁCIO LAFER E RUA LOPES NETO"/>
    <x v="0"/>
    <x v="0"/>
    <s v="299011;"/>
    <s v="0024-9; 0028-1; 0029-1; 0030-3; 0031-1; 0033-8; 0034-6; 0037-0; 0038-9; 0039-7; 0040-0; 0041-9; 0076-1; 0077-1; 0082-6; 0083-4; 0085-0; 0099-0; 0100-8; 0101-6; 0102-6; 0103-2; 0122-9; 0127-1; 0185-7; 0188-1; 0189-1; 0223-3; 0224-1; 0225-1; 0226-8;"/>
    <n v="10318.870000000001"/>
    <s v="NR"/>
    <m/>
    <n v="7189.1581999999999"/>
    <n v="7189.1581999999999"/>
    <s v="CEPAC (título)"/>
    <m/>
    <n v="5103"/>
    <m/>
    <n v="5103"/>
    <s v="FL-015/2010"/>
    <x v="0"/>
    <d v="2010-06-02T00:00:00"/>
    <m/>
    <m/>
    <m/>
    <m/>
    <m/>
    <s v="VITOR/19/05/2025"/>
  </r>
  <r>
    <s v="FL-0360"/>
    <x v="0"/>
    <m/>
    <s v="2010-0157728-7"/>
    <d v="2010-06-07T00:00:00"/>
    <x v="0"/>
    <s v="YUNY HALLEY EMPREENDIMENTOS S.A; WALTER FRANCISCO DE ABREU; MAIRA MILENA NEVES DE OLIVEIRA ABREU; JOSÉ FRANCISCO DE ABREU JÚNIOR; SILVIA MANCIO DE CAMARGO ABREU;"/>
    <s v="10420716/0001-56;"/>
    <s v="029206518-38; 194703928-94; 895624968-72; 245609338-41;"/>
    <s v="RUA CARDEAL ARCOVERDE Nº 2450, 2464, 2468, 2474 E 2478 E RUA BALTAZAR CARRASCO Nº 181"/>
    <x v="3"/>
    <x v="0"/>
    <s v="083035;"/>
    <s v="0050-3; 0023-6; 0012-0; 0013-9;"/>
    <n v="1249.9100000000001"/>
    <s v="NR"/>
    <m/>
    <n v="3749.73"/>
    <n v="3749.73"/>
    <s v="CEPAC (título)"/>
    <m/>
    <n v="2084"/>
    <m/>
    <n v="2084"/>
    <s v="FL-005/2011"/>
    <x v="1"/>
    <d v="2011-03-14T00:00:00"/>
    <m/>
    <m/>
    <m/>
    <m/>
    <m/>
    <s v="VITOR/29/05/2025"/>
  </r>
  <r>
    <s v="FL-0360"/>
    <x v="0"/>
    <m/>
    <s v="2010-0157728-7"/>
    <d v="2010-06-07T00:00:00"/>
    <x v="0"/>
    <s v="YUNY HALLEY EMPREENDIMENTOS S.A; WALTER FRANCISCO DE ABREU; MAIRA MILENA NEVES DE OLIVEIRA ABREU; JOSÉ FRANCISCO DE ABREU JÚNIOR; SILVIA MANCIO DE CAMARGO ABREU;"/>
    <s v="10420716/0001-56;"/>
    <s v="029206518-38; 194703928-94; 895624968-72; 245609338-41;"/>
    <s v="RUA CARDEAL ARCOVERDE Nº 2450, 2464, 2468, 2474 E 2478 E RUA BALTAZAR CARRASCO Nº 181"/>
    <x v="3"/>
    <x v="2"/>
    <s v="083035;"/>
    <s v="0050-3; 0023-6; 0012-0; 0013-9; 0053-8; 0054-6; 0055-4; 0056-2; 0057-0; 0058-9; 0059-7; 0060-0;"/>
    <n v="1644.53"/>
    <s v="NR"/>
    <m/>
    <n v="4933.59"/>
    <n v="4933.59"/>
    <s v="CEPAC (título)"/>
    <m/>
    <n v="2741"/>
    <m/>
    <n v="2741"/>
    <s v="FL-013/2011"/>
    <x v="1"/>
    <d v="2011-06-27T00:00:00"/>
    <m/>
    <m/>
    <m/>
    <m/>
    <s v="SUBSTITUI CERTIDÃO FL-005/2011, QUE FICA CANCELADA. REQUERIMENTO CLASSIFICADO COMO VINCULAÇÃO"/>
    <s v="VITOR/29/05/2025"/>
  </r>
  <r>
    <s v="FL-0360"/>
    <x v="0"/>
    <m/>
    <s v="2010-0157728-7"/>
    <d v="2010-06-07T00:00:00"/>
    <x v="0"/>
    <s v="YUNY HALLEY EMPREENDIMENTOS S.A; WALTER FRANCISCO DE ABREU; MAIRA MILENA NEVES DE OLIVEIRA ABREU; JOSÉ FRANCISCO DE ABREU JÚNIOR; SILVIA MANCIO DE CAMARGO ABREU;"/>
    <s v="10420716/0001-56;"/>
    <s v="029206518-38; 194703928-94; 895624968-72; 245609338-41;"/>
    <s v="RUA CARDEAL ARCOVERDE Nº 2450, 2464, 2468, 2474 E 2478 E RUA BALTAZAR CARRASCO Nº 181"/>
    <x v="3"/>
    <x v="2"/>
    <s v="083035;"/>
    <s v="0050-3; 0023-6; 0012-0; 0013-9; 0053-8; 0054-6; 0055-4; 0056-2; 0057-0; 0058-9; 0059-7; 0060-0;"/>
    <n v="1644.53"/>
    <s v="NR"/>
    <m/>
    <n v="4933.59"/>
    <n v="4933.59"/>
    <s v="CEPAC (título)"/>
    <m/>
    <n v="2741"/>
    <m/>
    <n v="2741"/>
    <s v="FL-023/2011"/>
    <x v="0"/>
    <d v="2011-10-18T00:00:00"/>
    <m/>
    <m/>
    <m/>
    <m/>
    <s v="SUBSTITUI CERTIDÃO FL-013/2011, QUE FICA CANCELADA.REQUERIMENTO CLASSIFICADO COMO VINCULAÇÃO"/>
    <s v="VITOR/29/05/2025"/>
  </r>
  <r>
    <s v="FL-0361"/>
    <x v="0"/>
    <m/>
    <s v="2010-0150597-9"/>
    <d v="2010-05-28T00:00:00"/>
    <x v="0"/>
    <s v="TEOEMP EMPREENDIMENTOS IMOBILIÁRIOS SPE LTDA; ESPÓLIO DE MARIANGELA IASI FRACCAROLI; IRAHY GOLDSCHMIDT; ITOBY GOLDSCHMIDT; MAJOY GOLDSCHMIDT ABBONDANZA; JURANDYR ÍNDIO DO BRASIL GOLDSCHMIDT; MARIA THEREZA CALDEIRA LEITE; GERALDO SIDNEY LEITE; JOÃO BATISTA CALDEIRA (DESAPARECIDO); ESPÓLIO DE SERAFIM DOS ANJOS CALDEIRA; ESPÓLIO DE ANA DO CÉU CALDEIRA; ESPÓLIO DE TEREZA DE JESUS CALDEIRA; ESPOLIO DE MARCELINA CALDEIRA MORENO; LUCIA MARTORELLI SALLES; ANTONIO CARLOS SALLES; ROSEL Y SALLES LIMA; JOSÉ HENRIQUE SALLES; MARIA VICENTINA GALLETA SALLES; SYLVIO FERNANDO SALLES; MÁRCIA REGINA SALLES; JOSÉ BASILE;  MARIA DO CARMO BASILE; MARISA APARECIDA BASILE PACE;"/>
    <s v="11511845/0001-68;"/>
    <s v="029109048-65; 608836008-97; 391838748-87; 175297558-89; 020700738-15; 095409978-87; 037905338-15; 220632428-87; 657210398-68; 676849208-04; 064523658-60; 287580858-31; 287580858-31; 125215218-40; 205339358-06; 114914698-20; 165811968-19; 945820098-91;"/>
    <s v="RUA DOS PINHEIROS, 1629, 1631, 1637, 1641, 1647, 1651, 1657, 1659, 1663, 1667, 1669, 1673 E 1677, RUA CLAUDIO SOARES, 48, 50 E 56"/>
    <x v="3"/>
    <x v="2"/>
    <s v="015073;"/>
    <s v="0102-2; 0106-5; 0107-3; 0108-1; 0112-1;.0002-6; 0003-4; 0104-9; 0105-7; 0075-1; 0074-3; 0073-5;"/>
    <n v="3104.52"/>
    <s v="NR"/>
    <m/>
    <n v="6459.04"/>
    <n v="6459.04"/>
    <s v="CEPAC (título)"/>
    <m/>
    <n v="3435"/>
    <m/>
    <n v="3435"/>
    <s v="FL-022/2011"/>
    <x v="0"/>
    <d v="2011-10-18T00:00:00"/>
    <m/>
    <m/>
    <m/>
    <m/>
    <s v="O ARQUIVO DO DUPLO CHECK NAO CONFERE COM AS INFORMAÇOES DAS CERTIDOES ( CONSTA ACA NR 750, E 412 DE CEPAC) - ENTENDO QUE DEVEMOS MANTER COMO ESTÁ NA PLANILHA - AVALIAR COM GT_x000a_CANCELA A CERTIDÃO FL-017/2010"/>
    <s v="GIULIA/27/05/2025"/>
  </r>
  <r>
    <s v="FL-0361"/>
    <x v="0"/>
    <m/>
    <s v="2010-0150597-9"/>
    <d v="2010-05-28T00:00:00"/>
    <x v="0"/>
    <s v="TEOEMP EMPREENDIMENTOS IMOBILIÁRIOS SPE LTDA; ESPÓLIO DE MARIANGELA IASI FRACCAROLI; IRAHY GOLDSCHMIDT; ITOBY GOLDSCHMIDT; MAJOY GOLDSCHMIDT ABBONDANZA; JURANDYR ÍNDIO DO BRASIL GOLDSCHMIDT; MARIA THEREZA CALDEIRA LEITE; GERALDO SIDNEY LEITE; JOÃO BATISTA CALDEIRA (DESAPARECIDO); ESPÓLIO DE SERAFIM DOS ANJOS CALDEIRA; ESPÓLIO DE ANA DO CÉU CALDEIRA; ESPÓLIO DE TEREZA DE JESUS CALDEIRA; ESPOLIO DE MARCELINA CALDEIRA MORENO; LUCIA MARTORELLI SALLES; ANTONIO CARLOS SALLES; ROSEL Y SALLES LIMA; JOSÉ HENRIQUE SALLES; MARIA VICENTINA GALLETA SALLES; SYLVIO FERNANDO SALLES; MÁRCIA REGINA SALLES; JOSÉ BASILE;  MARIA DO CARMO BASILE; MARISA APARECIDA BASILE PACE;"/>
    <s v="11511845/0001-68;"/>
    <s v="029109048-65; 608836008-97; 391838748-87; 175297558-89; 020700738-15; 095409978-87; 037905338-15; 220632428-87; 657210398-68; 676849208-04; 064523658-60; 287580858-31; 287580858-31; 125215218-40; 205339358-06; 114914698-20; 165811968-19; 945820098-91;"/>
    <s v="RUA DOS PINHEIROS, 1629, 1631, 1637, 1641, 1647, 1651, 1657, 1659, 1663, 1667, 1669, 1673 E 1677, RUA CLAUDIO SOARES, 48, 50 E 56"/>
    <x v="3"/>
    <x v="2"/>
    <s v="015073;"/>
    <s v="0102-2; 0106-5; 0107-3; 0108-1; 0112-1;.0002-6; 0003-4; 0104-9; 0105-7; 0075-1; 0074-3; 0073-5;"/>
    <n v="3104.52"/>
    <s v="NR"/>
    <m/>
    <n v="6459.04"/>
    <n v="6459.04"/>
    <s v="CEPAC (título)"/>
    <m/>
    <n v="3435"/>
    <m/>
    <n v="3435"/>
    <s v="FL-019/2011"/>
    <x v="1"/>
    <d v="2011-09-02T00:00:00"/>
    <m/>
    <m/>
    <m/>
    <m/>
    <s v="CANCELA A CERTIDÃO FL-017/2010 | CANCELADA PELA CERTIDÃO FL-022/2011 (OBS: NÃO LOCALIZADA NO DUPLO CHECK)"/>
    <s v="GIULIA/27/05/2025"/>
  </r>
  <r>
    <s v="FL-0361"/>
    <x v="0"/>
    <m/>
    <s v="2010-0150597-9"/>
    <d v="2010-05-28T00:00:00"/>
    <x v="0"/>
    <s v="TEOEMP EMPREENDIMENTOS IMOBILIÁRIOS SPE LTDA; ESPÓLIO DE MARIANGELA IASI FRACCAROLI; representado por sua _x000a_Inventariante TEREZA FRACCAROLI OZORES; IRAHY GOLDSCHMIDT; ITOBY GOLDSCHMIDT; MAJOY GOLDSCHMIDT ABBONDANZA; JURANDYR ÍNDIO DO BRASIL GOLDSCHMIDT"/>
    <s v="11511845/0001-68;"/>
    <s v="029109048-65; 199324768-89; 608836008-97; 391838748-87; 175297558-89; 020700738-15;"/>
    <s v="RUA DOS PINHEIROS, 1629, 1631, 1637, 1641, 1647, 1651, 1657, 1659, 1663, 1667, 1669, 1673 E 1677, RUA CLAUDIO SOARES, 48, 50"/>
    <x v="3"/>
    <x v="0"/>
    <s v="015073;"/>
    <s v="0102-2; 0106-5; 0107-3; 0108-1; 0112-1;.0002-6; 0003-4; 0104-9; 0105-7; 0075-1; 0074-3; "/>
    <n v="2854.52"/>
    <s v="NR"/>
    <m/>
    <n v="5709.04"/>
    <n v="5709.04"/>
    <s v="CEPAC (título)"/>
    <m/>
    <n v="3023"/>
    <m/>
    <n v="3023"/>
    <s v="FL-017/2010"/>
    <x v="1"/>
    <d v="2011-09-02T00:00:00"/>
    <m/>
    <m/>
    <m/>
    <m/>
    <s v="CANCELADA PELA CERTIDÃO FL-019/2011"/>
    <s v="GIULIA/27/05/2025"/>
  </r>
  <r>
    <s v="FL-0362"/>
    <x v="0"/>
    <m/>
    <s v="2010-0171731-3"/>
    <d v="2010-06-21T00:00:00"/>
    <x v="0"/>
    <s v="COMPANHIA BRASILEIRA DE DISTRIBUICAO"/>
    <s v="47508411/0001-56;"/>
    <m/>
    <s v="RUAS AMARO CAVALHEIRO, RUA PAES LEME E RUA BUTANTA"/>
    <x v="3"/>
    <x v="2"/>
    <s v="083220;"/>
    <s v="0173-8;"/>
    <n v="17211.78"/>
    <s v="MISTO"/>
    <n v="13144"/>
    <n v="8467.07"/>
    <n v="21611.07"/>
    <s v="CEPAC (título)"/>
    <m/>
    <n v="10037"/>
    <m/>
    <n v="10037"/>
    <s v="FL-024/2011"/>
    <x v="0"/>
    <d v="2011-10-18T00:00:00"/>
    <m/>
    <m/>
    <m/>
    <m/>
    <s v="NAO CONSTA NA CERTDIDÃO O CANCELAMENTO DA NUMERO FL- 012/2011"/>
    <s v="GIULIA/27/05/2025"/>
  </r>
  <r>
    <s v="FL-0362"/>
    <x v="0"/>
    <m/>
    <s v="2010-0171731-3"/>
    <d v="2010-06-21T00:00:00"/>
    <x v="0"/>
    <s v="COMPANHIA BRASILEIRA DE DISTRIBUICAO"/>
    <s v="47508411/0001-56;"/>
    <m/>
    <s v="RUAS AMARO CAVALHEIRO, RUA PAES LEME E RUA BUTANTA"/>
    <x v="3"/>
    <x v="0"/>
    <s v="083220;"/>
    <s v="0173-8;"/>
    <n v="17211.78"/>
    <s v="MISTO"/>
    <n v="13144"/>
    <n v="8467.07"/>
    <n v="21611.07"/>
    <s v="CEPAC (título)"/>
    <m/>
    <n v="10037"/>
    <m/>
    <n v="10037"/>
    <s v="FL-012/2011"/>
    <x v="1"/>
    <d v="2011-06-16T00:00:00"/>
    <m/>
    <m/>
    <m/>
    <m/>
    <s v="CANCELADA PELA CERTIDÃO FL-024/2011"/>
    <s v="GIULIA/27/05/2025"/>
  </r>
  <r>
    <s v="FL-0363"/>
    <x v="0"/>
    <m/>
    <s v="2014-0162712-5"/>
    <d v="2014-06-10T00:00:00"/>
    <x v="0"/>
    <s v="ROBERTO ELIAS CURY; LUIZ ROBERTO DE AZEVEDO SOARES CURY;"/>
    <m/>
    <s v="008537048-72; 065417648-59;"/>
    <s v="RUA HORÁCIO LAFER E NAPOLEÃO MICHEL"/>
    <x v="0"/>
    <x v="2"/>
    <s v="299012;"/>
    <s v="0125-8;"/>
    <n v="2513.7199999999998"/>
    <s v="R"/>
    <m/>
    <m/>
    <n v="0"/>
    <s v="CEPAC (título)"/>
    <m/>
    <m/>
    <n v="347"/>
    <n v="347"/>
    <s v="FL-008/2014"/>
    <x v="0"/>
    <d v="2014-08-25T00:00:00"/>
    <m/>
    <m/>
    <m/>
    <m/>
    <m/>
    <s v="GIULIA/27/05/2025"/>
  </r>
  <r>
    <s v="FL-0363"/>
    <x v="0"/>
    <m/>
    <s v="2014-0162712-5"/>
    <d v="2014-06-10T00:00:00"/>
    <x v="0"/>
    <s v="ROBERTO ELIAS CURY; "/>
    <m/>
    <s v="008537048-72;"/>
    <s v="RUA HORACIO LAFER E RUA NAPOLEAO MICHEL"/>
    <x v="0"/>
    <x v="2"/>
    <s v="299012;"/>
    <s v="0125-8;"/>
    <n v="2513.7199999999998"/>
    <s v="R"/>
    <n v="543.29"/>
    <m/>
    <n v="543.29"/>
    <s v="CEPAC (título)"/>
    <m/>
    <n v="32"/>
    <m/>
    <n v="32"/>
    <s v="FL-004/2013"/>
    <x v="0"/>
    <d v="2013-03-21T00:00:00"/>
    <m/>
    <m/>
    <m/>
    <m/>
    <m/>
    <s v="GIULIA/27/05/2025"/>
  </r>
  <r>
    <s v="FL-0363"/>
    <x v="0"/>
    <m/>
    <s v="2014-0162712-5"/>
    <d v="2014-06-10T00:00:00"/>
    <x v="0"/>
    <s v="ROBERTO ELIAS CURY; "/>
    <m/>
    <s v="008537048-72;"/>
    <s v="RUA HORACIO LAFER E RUA NAPOLEAO MICHEL"/>
    <x v="0"/>
    <x v="0"/>
    <s v="299012;"/>
    <s v="0125-8;"/>
    <n v="2499.0100000000002"/>
    <s v="R"/>
    <n v="6997.9"/>
    <m/>
    <n v="6997.9"/>
    <s v="CEPAC (título)"/>
    <m/>
    <n v="5383"/>
    <m/>
    <n v="5383"/>
    <s v="FL-008/2011"/>
    <x v="0"/>
    <d v="2011-04-25T00:00:00"/>
    <m/>
    <m/>
    <m/>
    <m/>
    <m/>
    <s v="GIULIA/27/05/2025"/>
  </r>
  <r>
    <s v="FL-0364"/>
    <x v="0"/>
    <m/>
    <s v="2008-0188232-6"/>
    <d v="2008-06-23T00:00:00"/>
    <x v="0"/>
    <s v="FERREIRA DE ARAUJO EMPREENDIMENTO IMOBILIARIO SPE LTDA;"/>
    <s v="09326746/0001-64;"/>
    <m/>
    <s v="RUA FERREIRA DE ARAUJO, 980 E 1 000"/>
    <x v="3"/>
    <x v="0"/>
    <s v="083177;"/>
    <s v="0012-7; 0013-5;"/>
    <n v="1861"/>
    <s v="R"/>
    <n v="5583"/>
    <m/>
    <n v="5583"/>
    <s v="CEPAC (título)"/>
    <m/>
    <n v="1994"/>
    <n v="150"/>
    <n v="2144"/>
    <s v="FL-010/2011"/>
    <x v="0"/>
    <d v="2011-06-08T00:00:00"/>
    <m/>
    <m/>
    <m/>
    <m/>
    <m/>
    <s v="GIULIA/27/05/2025"/>
  </r>
  <r>
    <s v="FL-0365"/>
    <x v="0"/>
    <m/>
    <s v="2007-0396563-4"/>
    <d v="2007-12-28T00:00:00"/>
    <x v="0"/>
    <s v="AVEIRO INCORPORACOES S/A;"/>
    <s v="08274761/0001-43;"/>
    <m/>
    <s v="RUA BENEDITO LAPIN, 35, 43, 51, 57, 67, 73 E 81"/>
    <x v="1"/>
    <x v="0"/>
    <s v="016167;"/>
    <s v="0027-0; 0028-9; 0030-0; 0031-9; 0032-7; 0062-9; 0063-7;"/>
    <n v="1725.72"/>
    <s v="R"/>
    <n v="5177.16"/>
    <m/>
    <n v="5177.16"/>
    <s v="CEPAC (título)"/>
    <m/>
    <n v="2071"/>
    <m/>
    <n v="2071"/>
    <s v="FL-020/2010"/>
    <x v="0"/>
    <d v="2010-09-10T00:00:00"/>
    <m/>
    <m/>
    <m/>
    <m/>
    <m/>
    <s v="GIULIA/27/05/2025"/>
  </r>
  <r>
    <s v="FL-0366"/>
    <x v="0"/>
    <m/>
    <s v="2008-0373940-7"/>
    <d v="2008-12-17T00:00:00"/>
    <x v="0"/>
    <s v="SAB VN EMPREENDIMENTOS SPE LTDA;"/>
    <s v="09362911/0001-33;"/>
    <m/>
    <s v="RUA DIOGO JACOME, 539, 553, 559, 569, 575 E 583;"/>
    <x v="1"/>
    <x v="0"/>
    <s v="041035;"/>
    <s v="0026-5; 0025-5; 0024-7; 0023-9; 0048-4; 0049-2;"/>
    <n v="1724.2"/>
    <s v="R"/>
    <n v="5136.32"/>
    <m/>
    <n v="5136.32"/>
    <s v="CEPAC (título)"/>
    <m/>
    <n v="3425"/>
    <n v="1150"/>
    <n v="4575"/>
    <s v="FL-003/2011"/>
    <x v="0"/>
    <d v="2011-02-22T00:00:00"/>
    <m/>
    <m/>
    <m/>
    <m/>
    <m/>
    <s v="GIULIA/27/05/2025"/>
  </r>
  <r>
    <s v="FL-0367"/>
    <x v="0"/>
    <m/>
    <s v="2010-0191930-7"/>
    <d v="2010-07-13T00:00:00"/>
    <x v="0"/>
    <s v="LUYMAK INCORPORAÇÕES E PARTICIPAÇÕES - EMPRESA DE PROPÓSITOS ESPECÍFICOS LTDA"/>
    <s v="08582792/0001-61;"/>
    <m/>
    <s v="RUA HORACIO LAFER, 150, 152, 160, 164 E RUA JOAQUIM FLORIANO, 141"/>
    <x v="1"/>
    <x v="0"/>
    <s v="299014;"/>
    <s v="0020-1; 0096-1; 0095-1; 0094-3; 0051-1;"/>
    <n v="1425.87"/>
    <s v="NR"/>
    <m/>
    <n v="4277.6099999999997"/>
    <n v="4277.6099999999997"/>
    <s v="CEPAC (título)"/>
    <m/>
    <n v="4278"/>
    <m/>
    <n v="4278"/>
    <s v="FL-019/2010"/>
    <x v="0"/>
    <d v="2010-08-31T00:00:00"/>
    <m/>
    <m/>
    <m/>
    <m/>
    <m/>
    <s v="GIULIA/27/05/2025"/>
  </r>
  <r>
    <s v="FL-0368"/>
    <x v="0"/>
    <s v="7810.2019/0001027-8"/>
    <m/>
    <d v="2019-11-05T00:00:00"/>
    <x v="0"/>
    <s v="JK 18 EMPREENDIMENTO IMOBILIÁRIO LTDA"/>
    <s v="10145544/0001-03;"/>
    <m/>
    <s v="AVENIDA PRESIDENTE JUSCELINO KUBISTCHEK  X RUA TENENTE NEGRAO X RUA DOUTOR RENATO PAES DE BARROS"/>
    <x v="1"/>
    <x v="2"/>
    <s v="016139;"/>
    <s v="0273-5; 0274-3; 0275-1; 0276-1; 0277-8; 0278-6; 0279-4; 0280-8; 0281-6; 0282-4; 0283-2; 0284-0; 0285-9; 0286-7; 0287-5; 0288-3; 0289-1; 0290-5; 0291-3; 0292-1; 0293-1; 0294-8; 0295-6; 0296-4; 0297-2; 0298-0; 0299-9; 0300-6; 0301-4; 0302-2; 0303-0; 0304-9; 0305-7; 0306-5;"/>
    <n v="3962.59"/>
    <s v="NR"/>
    <m/>
    <n v="11261.69"/>
    <n v="11261.69"/>
    <s v="CEPAC (título)"/>
    <m/>
    <n v="10470"/>
    <m/>
    <n v="10470"/>
    <s v="FL-002/2021"/>
    <x v="0"/>
    <d v="2021-07-08T00:00:00"/>
    <m/>
    <m/>
    <m/>
    <m/>
    <s v="CANCELA A CERTIDÃO FL-005/2014"/>
    <s v="GIULIA/27/05/2025"/>
  </r>
  <r>
    <s v="FL-0368"/>
    <x v="0"/>
    <m/>
    <s v="2010-0202586-5"/>
    <d v="2010-07-23T00:00:00"/>
    <x v="0"/>
    <s v="JK 18 EMPREENDIMENTO IMOBILIÁRIO LTDA"/>
    <s v="10145544/0001-03;"/>
    <m/>
    <s v="AVENIDA PRESIDENTE JUSCELINO KUBISTCHEK  X RUA TENENTE NEGRAO X RUA DOUTOR RENATO PAES DE BARROS"/>
    <x v="1"/>
    <x v="2"/>
    <s v="016139;"/>
    <s v="0043-0; 0044-9; 0045-7; 0051-1; 0054-6; 0055-4; 0056-2; 0057-0; 0080-5; 0081-3; 0082-1; 0083-1; 0084-8; 0113-5; 0172-0; 0174-7; 0219-0; 0220-4;"/>
    <n v="3742.26"/>
    <s v="NR"/>
    <m/>
    <n v="10401.94"/>
    <n v="10401.94"/>
    <s v="CEPAC (título)"/>
    <m/>
    <n v="10233"/>
    <m/>
    <n v="10233"/>
    <s v="FL-005/2014"/>
    <x v="1"/>
    <d v="2014-07-18T00:00:00"/>
    <m/>
    <m/>
    <m/>
    <m/>
    <s v="entre a  ceridao 002/2021 e esse houve alteração em todos os lotes indicados _x000a_CANCELA A CERTIDÃO FL-006/2012 | CANCELADA PELA CERTIDÃO FL-002/2021"/>
    <s v="GIULIA/27/05/2025"/>
  </r>
  <r>
    <s v="FL-0368"/>
    <x v="0"/>
    <m/>
    <s v="2010-0202586-5"/>
    <d v="2010-07-23T00:00:00"/>
    <x v="0"/>
    <s v="JK 18 EMPREENDIMENTO IMOBILIARIO LTDA"/>
    <s v="10145544/0001-03;"/>
    <m/>
    <s v="AVENIDA PRESIDENTE JUSCELINO KUBISTCHEK  X RUA TENENTE NEGRAO X RUA DOUTOR RENATO PAES DE BARROS"/>
    <x v="1"/>
    <x v="0"/>
    <s v="016139;"/>
    <s v="0043-0; 0044-9; 0045-7; 0051-1; 0054-6; 0055-4; 0056-2; 0057-0; 0080-5; 0082-1;  0084-8; 0113-5; 0172-0; 0219-0; 0220-4;"/>
    <n v="2895.68"/>
    <s v="NR"/>
    <m/>
    <n v="8687.0400000000009"/>
    <n v="8687.0400000000009"/>
    <s v="CEPAC (título)"/>
    <m/>
    <n v="8108"/>
    <m/>
    <n v="8108"/>
    <s v="FL-006/2012"/>
    <x v="1"/>
    <d v="2012-12-13T00:00:00"/>
    <m/>
    <m/>
    <m/>
    <m/>
    <s v="CANCELADA PELA CERTIDÃO FL-005/2014"/>
    <s v="GIULIA/27/05/2025"/>
  </r>
  <r>
    <s v="FL-0369"/>
    <x v="0"/>
    <m/>
    <s v="2010-0241078-5"/>
    <d v="2010-08-31T00:00:00"/>
    <x v="0"/>
    <s v="HORIZON 38 PARTICIPACOES LTDA"/>
    <s v="10174834/0001-77;"/>
    <m/>
    <s v="RUA PROFESSOR ARTUR RAMOS, 436"/>
    <x v="0"/>
    <x v="0"/>
    <s v="083178;"/>
    <s v="0264-7;"/>
    <n v="3000"/>
    <s v="R"/>
    <n v="9000"/>
    <m/>
    <n v="9000"/>
    <s v="CEPAC (título)"/>
    <m/>
    <n v="8182"/>
    <m/>
    <n v="8182"/>
    <s v="FL-025/2010"/>
    <x v="0"/>
    <d v="2010-11-17T00:00:00"/>
    <m/>
    <m/>
    <m/>
    <m/>
    <m/>
    <s v="GIULIA/27/05/2025"/>
  </r>
  <r>
    <s v="FL-0370"/>
    <x v="0"/>
    <m/>
    <s v="2010-0249541-1"/>
    <d v="2010-09-09T00:00:00"/>
    <x v="0"/>
    <s v="TS-8 PARTICIPAÇÕES LTDA"/>
    <s v="09290863/0001-15;"/>
    <m/>
    <s v="RUA MARCOS LOPES, 246, 266, 272, 282, 292 X RUA NATIVIDADE, 198, 188, 180, 172, 164, 156, 154, 144, 138 X RUA SILVANIA, 215"/>
    <x v="1"/>
    <x v="0"/>
    <s v="041055;"/>
    <s v="0029-5; 0030-9; 0022-8; 0023-6; 0024-4; 0028-7; 0019-8; 0018-1; 0017-1; 0016-3; 0015-5; 0014-7; 0013-9; 0012-0; 0011-2; 0026-0;"/>
    <n v="3408.59"/>
    <s v="R"/>
    <n v="10225.77"/>
    <m/>
    <n v="10225.77"/>
    <s v="CEPAC (título)"/>
    <m/>
    <n v="6363"/>
    <n v="2273"/>
    <n v="8636"/>
    <s v="FL-026/2010"/>
    <x v="0"/>
    <d v="2010-11-17T00:00:00"/>
    <m/>
    <m/>
    <m/>
    <m/>
    <m/>
    <s v="GIULIA/27/05/2025"/>
  </r>
  <r>
    <s v="FL-0371"/>
    <x v="0"/>
    <m/>
    <s v="2010-0174977-0"/>
    <d v="2010-06-23T00:00:00"/>
    <x v="0"/>
    <s v="LUBA 2 EMPREENDIMENTOS IMOBILIÁRIOS LTDA"/>
    <s v="10197591/0001-92;"/>
    <m/>
    <s v="RUA CASA DO ATOR, 888"/>
    <x v="4"/>
    <x v="0"/>
    <s v="299075;"/>
    <s v="0069-9; 0070-2; 0071-0; 0072-9; 0073-7; 0074-5; 0075-3; 0076-1; 0077-1; 0078-8; 0790-1;"/>
    <n v="1490.09"/>
    <s v="R"/>
    <n v="4469.1099999999997"/>
    <m/>
    <n v="4469.1099999999997"/>
    <s v="CEPAC (título)"/>
    <m/>
    <n v="2235"/>
    <m/>
    <n v="2235"/>
    <s v="FL-029/2010"/>
    <x v="0"/>
    <d v="2010-12-14T00:00:00"/>
    <m/>
    <m/>
    <m/>
    <m/>
    <m/>
    <s v="LUCIANA/06/06/2025"/>
  </r>
  <r>
    <s v="FL-0372"/>
    <x v="0"/>
    <m/>
    <s v="2010-0276720-9"/>
    <d v="2010-10-08T00:00:00"/>
    <x v="0"/>
    <s v="APOENA SPE EMPREENDIMENTOS IMOBILIÁRIOS S/A"/>
    <s v="09426689/0001-95;"/>
    <m/>
    <s v="RUA QUATÁ, 339; 345; 353"/>
    <x v="1"/>
    <x v="0"/>
    <s v="299094;"/>
    <s v="0118-3;"/>
    <n v="1000"/>
    <s v="R"/>
    <n v="3000"/>
    <m/>
    <n v="3000"/>
    <s v="CEPAC (título)"/>
    <m/>
    <n v="1200"/>
    <n v="54"/>
    <n v="1254"/>
    <s v="FL-024/2010"/>
    <x v="0"/>
    <d v="2010-11-03T00:00:00"/>
    <m/>
    <m/>
    <m/>
    <m/>
    <m/>
    <s v="LUCIANA/06/06/2025"/>
  </r>
  <r>
    <s v="FL-0373"/>
    <x v="0"/>
    <m/>
    <s v="2010-0266517-1"/>
    <d v="2010-09-27T00:00:00"/>
    <x v="0"/>
    <s v="WERNER'S PARTICIPAÇÕES LTDA"/>
    <s v="55453732/0001-29;"/>
    <m/>
    <s v="RUA FUNCHAL, 449"/>
    <x v="4"/>
    <x v="0"/>
    <s v="299045;"/>
    <s v="0015-9;"/>
    <n v="1655.23"/>
    <s v="R"/>
    <n v="3275.37"/>
    <m/>
    <n v="3275.37"/>
    <s v="CEPAC (título)"/>
    <m/>
    <n v="1638"/>
    <m/>
    <n v="1638"/>
    <s v="FL-031/2010"/>
    <x v="0"/>
    <d v="2010-12-21T00:00:00"/>
    <m/>
    <m/>
    <m/>
    <m/>
    <m/>
    <s v="LUCIANA/06/06/2025"/>
  </r>
  <r>
    <s v="FL-0374"/>
    <x v="0"/>
    <m/>
    <s v="2010-0266228-8"/>
    <d v="2010-09-27T00:00:00"/>
    <x v="0"/>
    <s v="CONSTRUTORA KAUFFMANN"/>
    <s v="43223114/0001-03;"/>
    <m/>
    <s v="RUA DR. MÁRIO FERRAZ, 364; 376; 394"/>
    <x v="0"/>
    <x v="0"/>
    <s v="299004;"/>
    <s v="0022-2; 0023-0; 0024-9; "/>
    <n v="1500.23"/>
    <s v="R"/>
    <n v="1735.47"/>
    <m/>
    <n v="1735.47"/>
    <s v="CEPAC (título)"/>
    <m/>
    <n v="1335"/>
    <n v="45"/>
    <n v="1380"/>
    <s v="FL-030/2010"/>
    <x v="0"/>
    <d v="2010-12-14T00:00:00"/>
    <m/>
    <m/>
    <m/>
    <m/>
    <m/>
    <s v="LUCIANA/06/06/2025"/>
  </r>
  <r>
    <s v="FL-0375"/>
    <x v="0"/>
    <m/>
    <s v="2009-0371896-7"/>
    <d v="2009-12-22T00:00:00"/>
    <x v="0"/>
    <s v="SARDENHA INCORPORAÇÕES SPE LTDA"/>
    <s v="10158052/0001-44;"/>
    <m/>
    <s v="RUA LEOPOLDO COUTO DE MAGALHÃES JUNIOR, 695"/>
    <x v="1"/>
    <x v="0"/>
    <s v="299021;"/>
    <s v="0023-4;"/>
    <n v="1998.74"/>
    <s v="R"/>
    <n v="5996.22"/>
    <m/>
    <n v="5996.22"/>
    <s v="CEPAC (título)"/>
    <m/>
    <n v="2399"/>
    <m/>
    <n v="2399"/>
    <s v="FL-002/2011"/>
    <x v="0"/>
    <d v="2011-01-06T00:00:00"/>
    <m/>
    <m/>
    <m/>
    <m/>
    <m/>
    <s v="LUCIANA/06/06/2025"/>
  </r>
  <r>
    <s v="FL-0376"/>
    <x v="0"/>
    <m/>
    <s v="2010-0220214-7"/>
    <d v="2010-08-11T00:00:00"/>
    <x v="0"/>
    <s v="JHSF INCORPORAÇÕES S/A"/>
    <s v="05345215/0001-68;"/>
    <m/>
    <s v="RUA HORÁCIO LAFER, 500"/>
    <x v="0"/>
    <x v="0"/>
    <s v="299013;"/>
    <s v="0033-7; "/>
    <n v="1810.6"/>
    <s v="R"/>
    <m/>
    <m/>
    <n v="0"/>
    <s v="CEPAC (título)"/>
    <m/>
    <m/>
    <n v="453"/>
    <n v="453"/>
    <s v="FL-028/2010"/>
    <x v="0"/>
    <d v="2010-11-23T00:00:00"/>
    <m/>
    <m/>
    <m/>
    <m/>
    <m/>
    <s v="LUCIANA/06/06/2025"/>
  </r>
  <r>
    <s v="FL-0376"/>
    <x v="0"/>
    <m/>
    <s v="2010-0220214-7"/>
    <d v="2010-08-11T00:00:00"/>
    <x v="0"/>
    <s v="JHSF INCORPORAÇÕES S/A"/>
    <s v="05345215/0001-68;"/>
    <m/>
    <s v="RUA HORÁCIO LAFER, 500"/>
    <x v="0"/>
    <x v="0"/>
    <s v="299013;"/>
    <s v="0033-7; "/>
    <n v="1810.6"/>
    <s v="R"/>
    <n v="5431.8"/>
    <m/>
    <n v="5431.8"/>
    <s v="CEPAC (título)"/>
    <m/>
    <n v="4179"/>
    <m/>
    <n v="4179"/>
    <s v="FL-002/2012"/>
    <x v="1"/>
    <d v="2012-01-23T00:00:00"/>
    <m/>
    <m/>
    <m/>
    <m/>
    <m/>
    <s v="LUCIANA/06/06/2025"/>
  </r>
  <r>
    <s v="FL-0376"/>
    <x v="0"/>
    <m/>
    <s v="2010-0220214-7"/>
    <d v="2010-08-11T00:00:00"/>
    <x v="0"/>
    <s v="JHSF INCORPORAÇÕES S/A"/>
    <s v="05345215/0001-68;"/>
    <m/>
    <s v="RUA HORÁCIO LAFER, 500"/>
    <x v="0"/>
    <x v="2"/>
    <s v="299013;"/>
    <s v="0033-7; "/>
    <n v="1810.48"/>
    <s v="R"/>
    <n v="5431.44"/>
    <m/>
    <n v="5431.44"/>
    <s v="CEPAC (título)"/>
    <m/>
    <n v="4179"/>
    <m/>
    <n v="4179"/>
    <s v="FL-002/2012"/>
    <x v="0"/>
    <d v="2013-12-03T00:00:00"/>
    <m/>
    <m/>
    <m/>
    <m/>
    <s v="RETI-RATIFICAÇÃO DA CERTIDÃO FL-002/2012. CERTIDÃO FL-002/2012, DE 23/01/2012 CANCELADA E SUBSTITUÍDA, EM QUE PESE NÃO CONSTAR NA OBSERVAÇÃO"/>
    <s v="LUCIANA/06/06/2025"/>
  </r>
  <r>
    <s v="FL-0377"/>
    <x v="0"/>
    <m/>
    <s v="2010-0352075-4"/>
    <d v="2010-12-27T00:00:00"/>
    <x v="0"/>
    <s v="MODENA INVESTIMENTOS IMOBILIÁRIOS LTDA"/>
    <s v="09932571/0001-93;"/>
    <m/>
    <s v="RUA COSTA CARVELHO Nº 166 E RUA NICOLAU GAGLIARD Nº 432 E 438"/>
    <x v="3"/>
    <x v="0"/>
    <s v="083203;"/>
    <s v="0040-1;"/>
    <n v="2168"/>
    <s v="R"/>
    <n v="6504"/>
    <m/>
    <n v="6504"/>
    <s v="CEPAC (título)"/>
    <m/>
    <n v="2323"/>
    <m/>
    <n v="2323"/>
    <s v="FL-004/2011"/>
    <x v="0"/>
    <d v="2011-03-14T00:00:00"/>
    <m/>
    <m/>
    <m/>
    <m/>
    <m/>
    <s v="VITOR/03/06/2025"/>
  </r>
  <r>
    <s v="FL-0378"/>
    <x v="0"/>
    <m/>
    <s v="2010-0059829-9"/>
    <d v="2010-03-02T00:00:00"/>
    <x v="0"/>
    <s v="ÁGATA BRASIL EMPREENDIENTO IMOBILIÁRIO SPE LTDA"/>
    <s v="12501065/0001-08;"/>
    <m/>
    <s v="RUA FERNÃO DIAS Nº 323"/>
    <x v="3"/>
    <x v="0"/>
    <s v="083032;"/>
    <s v="0306-1; 0495-5; 0093-3; 0307-1; 0496-3;"/>
    <n v="2960.37"/>
    <s v="R"/>
    <n v="8844.57"/>
    <m/>
    <n v="8844.57"/>
    <s v="CEPAC (título)"/>
    <m/>
    <n v="3175"/>
    <m/>
    <n v="3175"/>
    <s v="FL-006/2011"/>
    <x v="0"/>
    <d v="2011-03-23T00:00:00"/>
    <m/>
    <m/>
    <m/>
    <m/>
    <m/>
    <s v="VITOR/03/06/2025"/>
  </r>
  <r>
    <s v="FL-0379"/>
    <x v="0"/>
    <m/>
    <s v="2010-0304687-4"/>
    <d v="2010-11-08T00:00:00"/>
    <x v="0"/>
    <s v="YONY PROJETO IMOBILIÁRIO IV LTDA"/>
    <s v="12083578/0001-38;"/>
    <m/>
    <s v="RUA CLODOMIRO AMAZONAS Nº 502 A 520"/>
    <x v="1"/>
    <x v="0"/>
    <s v="299024;"/>
    <s v="0001-7; 0064-5; 0152-8;"/>
    <n v="1454.06"/>
    <s v="R"/>
    <n v="4362.18"/>
    <m/>
    <n v="4362.18"/>
    <s v="CEPAC (título)"/>
    <m/>
    <n v="1745"/>
    <n v="194"/>
    <n v="1939"/>
    <s v="FL-014/2011"/>
    <x v="0"/>
    <d v="2011-06-27T00:00:00"/>
    <m/>
    <m/>
    <m/>
    <m/>
    <m/>
    <s v="VITOR/03/06/2025"/>
  </r>
  <r>
    <s v="FL-0380"/>
    <x v="0"/>
    <m/>
    <s v="2011-0151123-7"/>
    <d v="2011-06-01T00:00:00"/>
    <x v="0"/>
    <s v="KAPOK EMPREENDIMENTO IMOBILIÁRIO SPE LTDA"/>
    <s v="09015311/0001-07;"/>
    <m/>
    <s v="RUA BENTO FRIAS Nº 149, 151, 155, 161, 169, 173, 181 E RUA PERO LEÃO Nº 70, 78, 80, 90, 96, 100, 104, 110, 114, 118"/>
    <x v="3"/>
    <x v="0"/>
    <s v="200056;"/>
    <s v="0019-5; 0022-5; 0023-3; 0024-1; 0025-1; 0026-8; 0027-6; 0029-2; 0031-4; 0035-7; 0037-3; 0040-3; 0041-1; 0042-1; 0043-8; 0044-6;"/>
    <n v="2575.98"/>
    <s v="NR"/>
    <m/>
    <n v="1382.01"/>
    <n v="1382.01"/>
    <s v="CEPAC (título)"/>
    <m/>
    <n v="482"/>
    <m/>
    <n v="482"/>
    <s v="FL-007/2013"/>
    <x v="1"/>
    <d v="2013-11-14T00:00:00"/>
    <m/>
    <m/>
    <m/>
    <m/>
    <s v="CANCELADA E SUBSTITUÍDA PELA FL-004/2014"/>
    <s v="VITOR/04/06/2025"/>
  </r>
  <r>
    <s v="FL-0380"/>
    <x v="0"/>
    <m/>
    <s v="2014-0068489-3"/>
    <d v="2014-11-03T00:00:00"/>
    <x v="0"/>
    <s v="KAPOK EMPREENDIMENTO IMOBILIÁRIO SPE LTDA"/>
    <s v="09015311/0001-07;"/>
    <m/>
    <s v="RUA BENTO FRIAS Nº 149, 151, 155, 161, 169, 173, 181 E RUA PERO LEÃO Nº 70, 78, 80, 90, 96, 100, 104, 110, 114, 118"/>
    <x v="3"/>
    <x v="0"/>
    <s v="200056;"/>
    <s v="0019-5; 0022-5; 0023-3; 0024-1; 0025-1; 0026-8; 0027-6; 0029-2; 0031-4; 0035-7; 0037-3; 0040-3; 0041-1; 0042-1; 0043-8; 0044-6;"/>
    <n v="2680.1"/>
    <s v="MISTO"/>
    <n v="6658.29"/>
    <n v="1382.01"/>
    <n v="8040.3"/>
    <s v="CEPAC (título)"/>
    <m/>
    <n v="2916"/>
    <n v="1604"/>
    <n v="4520"/>
    <s v="FL-004/2014"/>
    <x v="0"/>
    <d v="2014-05-16T00:00:00"/>
    <m/>
    <m/>
    <m/>
    <m/>
    <s v="IDENTIFICAÇÃO DA QUANTIDADE DE CEPACS NO DUPLOCHECK"/>
    <s v="VITOR/04/06/2025"/>
  </r>
  <r>
    <s v="FL-0381"/>
    <x v="0"/>
    <m/>
    <s v="2011-0117818-0"/>
    <d v="2011-04-29T00:00:00"/>
    <x v="0"/>
    <s v="TRIPLE A EMPREENDIMENTOS IMOBILIÁRIOS LTDA; MARIA REGINA DA NOVA MELLONE; JOSÉ ARNALDO MELLONE JÚNIOR; EDUARDO DA NOVA MELLONE; ANA LÚCIA ALBERTO MELLONE; ANTONIO MELLONE NETO; OLGA CHAMEH MELLONE; MARIA CECÍLIA CARPARELLI ARIANO; PAULO ROBERTO CUCOLO ARIANO; DORA MELLONE CARPARELLI; MARIA DO CARMA CARPARELLI TEISSEIRE"/>
    <s v="09013470/0001-64;"/>
    <s v="255274868-62;  060071088-21; 054695198-80; 054695218-69; 091333668-88; 087709188-99;  294707178-64; 204455558-15;  146299948- _x000a_40; 041931818-63;"/>
    <s v="RUA RAMOS BATISTA Nº 153 E AVENIDA PRESIDENTE JUSCELINO KUBITSCHEK Nº 1545 E 1569"/>
    <x v="4"/>
    <x v="0"/>
    <s v="299028;"/>
    <s v="0099-6; 0434-7; 0058-9;"/>
    <n v="4793.9449999999997"/>
    <s v="MISTO"/>
    <n v="14381.834999999999"/>
    <m/>
    <n v="14381.834999999999"/>
    <s v="CEPAC (título)"/>
    <m/>
    <n v="7191"/>
    <n v="2397"/>
    <s v="010."/>
    <s v="FL-011/2011"/>
    <x v="0"/>
    <d v="2011-06-16T00:00:00"/>
    <m/>
    <m/>
    <m/>
    <m/>
    <s v="EMPREENDIMENTO DE USO MISTO, MAS SÓ TEM ACA-R"/>
    <s v="VITOR/04/06/2025"/>
  </r>
  <r>
    <s v="FL-0382"/>
    <x v="0"/>
    <m/>
    <s v="2010-0272090-3"/>
    <d v="2010-10-01T00:00:00"/>
    <x v="0"/>
    <s v="TRENTINO EMPREENDIMENTOS IMOBILIÁRIOS LTDA"/>
    <s v="09326762/0001-57;"/>
    <m/>
    <s v="RUA BENEDITO LAPIN Nº 123"/>
    <x v="1"/>
    <x v="0"/>
    <s v="016167;"/>
    <s v="0009-2; 0010-6; 0023-8; 0124-2; 0125-0; 0128-5; 0129-3; 0130-7; 0038-6;"/>
    <n v="1625.27"/>
    <s v="R"/>
    <n v="4746.6000000000004"/>
    <m/>
    <n v="4746.6000000000004"/>
    <s v="CEPAC (título)"/>
    <m/>
    <n v="1899"/>
    <m/>
    <n v="1899"/>
    <s v="FL-017/2011"/>
    <x v="1"/>
    <d v="2011-08-22T00:00:00"/>
    <m/>
    <m/>
    <m/>
    <m/>
    <s v="ATUALIZEI O STATUS PARA CANCELADA, APESAR DA CERTIDÃO NÃO CONSTAR EM NOTAS O CANCELAMENTO, APENAS A UMA CERTIDÃO ESTÁ VÁLIDA."/>
    <s v="PRISCILA/11/09/2025"/>
  </r>
  <r>
    <s v="FL-0382"/>
    <x v="0"/>
    <m/>
    <s v="2010-0272090-3"/>
    <d v="2010-10-01T00:00:00"/>
    <x v="0"/>
    <s v="TRENTINO EMPREENDIMENTOS IMOBILIÁRIOS LTDA"/>
    <s v="09326762/0001-57;"/>
    <m/>
    <s v="RUA BENEDITO LAPIN Nº 123"/>
    <x v="1"/>
    <x v="0"/>
    <s v="016167;"/>
    <s v="0009-2; 0010-6; 0023-8; 0124-2; 0125-0; 0128-5; 0129-3; 0130-7; 0038-6;"/>
    <n v="1625.27"/>
    <s v="R"/>
    <n v="4746.6000000000004"/>
    <m/>
    <n v="4746.6000000000004"/>
    <s v="CEPAC (título)"/>
    <m/>
    <n v="1899"/>
    <m/>
    <n v="1899"/>
    <s v="FL-017/2011"/>
    <x v="0"/>
    <d v="2011-10-27T00:00:00"/>
    <m/>
    <m/>
    <m/>
    <m/>
    <s v="RETI-RATI"/>
    <s v="VITOR/04/06/2025"/>
  </r>
  <r>
    <s v="FL-0383"/>
    <x v="0"/>
    <m/>
    <s v="2011-0198817-2"/>
    <d v="2011-07-15T00:00:00"/>
    <x v="0"/>
    <s v="SPE DIOGO MOREIRA LTDA., LEOALDY OLIVEIRA CARDOZO; VERA LUCIA CARDOZO IANNONE; ALICE CARDOZO FERRACINI; MARILENE CARDOZO LIMA; MARIO SIMOES CARDOZO JUNIOR; MARIA THEREZA DE CASTILHO FREIRE; MARIO ANTONIO DE CASTILHO FREIRE; MARIA LUCILIA DE CASTILHO FREIRE; MARIA ALICE PEREIRA DE SOUSA FREIRE; MARIA SILVIA PEREIRA DE SOUSA FREIRE; FERNANDO LUIZ PEREIRA DE SOUZA FREIRE;"/>
    <s v="12360052/0001-58;"/>
    <s v="011146698-90; 212977228-50; 059403348-90; 302062388-00; 896438288-91; 174505318-28; 563381398-72; 586354598-49; 006546508-37; 325590318-17; 346869988-32;"/>
    <s v="RUA DIOGO MOREIRA, 222, 226 E 250 E RUA CARIRIS, 305"/>
    <x v="3"/>
    <x v="0"/>
    <s v="015074;"/>
    <s v="0097-7; 0041-1; 0084-5; 0089-6;"/>
    <n v="2234.86"/>
    <s v="R"/>
    <n v="6704.28"/>
    <m/>
    <n v="6704.28"/>
    <s v="CEPAC (título)"/>
    <m/>
    <n v="2395"/>
    <m/>
    <n v="2395"/>
    <s v="FL-020/2011"/>
    <x v="1"/>
    <d v="2011-09-05T00:00:00"/>
    <m/>
    <m/>
    <m/>
    <m/>
    <s v="CANCELADA PELA CERTIDÃO FL-012/2017"/>
    <s v="AMANDA/05/06/2025"/>
  </r>
  <r>
    <s v="FL-0383"/>
    <x v="0"/>
    <m/>
    <s v="2017-0144330-5"/>
    <d v="2017-09-15T00:00:00"/>
    <x v="0"/>
    <s v="SPE DIOGO MOREIRA S.A.; ILAJA EMPREENDIMENTOS IMOBILIARIOS LTDA; FERNANDO DE TOLEDO ESPINDOLA"/>
    <s v="12360052/0001-58; 17331161/0001-60;"/>
    <s v="004235698-99;"/>
    <s v="AVENIDA EUSEBIO MATOSO; RUA DIOGO MOREIRA; RUA CARDEAL ARCOVERDE; RUA DOS CARIRIS"/>
    <x v="3"/>
    <x v="2"/>
    <s v="015074;"/>
    <s v="0689-4;"/>
    <n v="15540.05"/>
    <s v="R"/>
    <n v="21976.74"/>
    <m/>
    <n v="21976.74"/>
    <s v="CEPAC (título)"/>
    <m/>
    <n v="6924"/>
    <n v="936"/>
    <n v="7860"/>
    <s v="FL-012/2017"/>
    <x v="1"/>
    <d v="2017-12-19T00:00:00"/>
    <m/>
    <m/>
    <m/>
    <m/>
    <s v="CANCELA E SUBSTITUI A CERTIDÃO FL-020/2011 | CANCELADA PELA CERTIDÃO FL-007-2018 | OBS: VÁRIOS SQ (NÃO CONSEGUI LANÇAR)"/>
    <s v="AMANDA/05/06/2025"/>
  </r>
  <r>
    <s v="FL-0383"/>
    <x v="0"/>
    <m/>
    <s v="2017-0144330-5"/>
    <d v="2017-09-15T00:00:00"/>
    <x v="0"/>
    <s v="SPE DIOGO MOREIRA S.A.; ILAJA EMPREENDIMENTOS IMOBILIARIOS LTDA; FERNANDO DE TOLEDO ESPINDOLA"/>
    <s v="12360052/0001-58; 17331161/0001-60;"/>
    <s v="004235698-99;"/>
    <s v="AVENIDA EUSEBIO MATOSO; RUA DIOGO MOREIRA; RUA CARDEAL ARCOVERDE; RUA DOS CARIRIS"/>
    <x v="3"/>
    <x v="2"/>
    <s v="015074;"/>
    <s v="0689-4;"/>
    <n v="15540.05"/>
    <s v="R"/>
    <n v="21976.74"/>
    <m/>
    <n v="21976.74"/>
    <s v="CEPAC (título)"/>
    <m/>
    <n v="6924"/>
    <n v="936"/>
    <n v="7860"/>
    <s v="FL-007/2018"/>
    <x v="1"/>
    <d v="2018-08-06T00:00:00"/>
    <m/>
    <m/>
    <m/>
    <m/>
    <s v="CANCELA E SUBSTITUI A CERTIDÃO FL-012/2017 | CANCELADA PELA CERTIDÃO FL-011/2020"/>
    <s v="AMANDA/05/06/2025"/>
  </r>
  <r>
    <s v="FL-0383"/>
    <x v="0"/>
    <s v="1010.2019/0002320-0"/>
    <m/>
    <d v="2019-12-12T00:00:00"/>
    <x v="0"/>
    <s v="SPE DIOGO MOREIRA S.A.; ILAJA EMPREENDIMENTOS IMOBILIARIOS LTDA;"/>
    <s v="12360052/0001-58; 17331161/0001-60;"/>
    <m/>
    <s v="RUA DOS CARIRIS, 291 A 367; RUA CARDEAL ARCOVERDE, 2977 A 3041; RUA DIOGO MOREIRA, 222 A 322"/>
    <x v="3"/>
    <x v="2"/>
    <s v="015074;"/>
    <s v="0689-4;"/>
    <n v="15540.05"/>
    <s v="R"/>
    <n v="34278.239999999998"/>
    <m/>
    <n v="34278.239999999998"/>
    <s v="CEPAC (título)"/>
    <m/>
    <n v="10208"/>
    <n v="936"/>
    <n v="11144"/>
    <s v="FL-011/2020"/>
    <x v="1"/>
    <d v="2020-06-02T00:00:00"/>
    <m/>
    <m/>
    <m/>
    <m/>
    <s v="CANCELADA PELA FL-004/2025"/>
    <s v="AMANDA/05/06/2025"/>
  </r>
  <r>
    <s v="FL-0384"/>
    <x v="0"/>
    <m/>
    <s v="2011-0232457-0"/>
    <d v="2011-08-18T00:00:00"/>
    <x v="0"/>
    <s v="CONSTRUTORA CANOPUS SAO PAULO LTDA.;"/>
    <s v="01466445/0001-24;"/>
    <m/>
    <s v="RUA JOAO CACHOEIRA, 1559 A 1585"/>
    <x v="1"/>
    <x v="0"/>
    <s v="299054;"/>
    <s v="0306-8;"/>
    <n v="1200"/>
    <s v="R"/>
    <n v="2398.56"/>
    <m/>
    <n v="2398.56"/>
    <s v="CEPAC (título)"/>
    <m/>
    <n v="960"/>
    <m/>
    <n v="960"/>
    <s v="FL-001/2012"/>
    <x v="0"/>
    <d v="2012-01-03T00:00:00"/>
    <m/>
    <m/>
    <m/>
    <m/>
    <m/>
    <s v="AMANDA/05/06/2025"/>
  </r>
  <r>
    <s v="FL-0385"/>
    <x v="0"/>
    <m/>
    <s v="2011-0267100-9"/>
    <d v="2011-09-20T00:00:00"/>
    <x v="0"/>
    <s v="RED SEAS INVESTIMENTOS LTDA.; FERNANDO DE SOUSA REIS FILHO;"/>
    <s v="08779302/0001-11;"/>
    <s v="271909278-91;"/>
    <s v="AVENIDA HORACIO LAFER E RUA PROFESSOR ATILIO INNOCENTI;"/>
    <x v="1"/>
    <x v="0"/>
    <s v="299127;"/>
    <s v="0023-4; 0013-7; 0014-5; 0015-3; 0016-1; 0017-1; 0018-8; 0019-6; 0020-1; 0021-8; 0022-6; 0011-0; 0001-3; 0002-1;"/>
    <n v="2352.59"/>
    <s v="NR"/>
    <m/>
    <n v="7057.77"/>
    <n v="7057.77"/>
    <s v="CEPAC (título)"/>
    <m/>
    <n v="8823"/>
    <m/>
    <n v="8823"/>
    <s v="FL-003/2012"/>
    <x v="1"/>
    <d v="2012-01-23T00:00:00"/>
    <m/>
    <m/>
    <m/>
    <m/>
    <s v="CANCELADA PELA CERTIDÃO FL-007/2014"/>
    <s v="AMANDA/05/06/2025"/>
  </r>
  <r>
    <s v="FL-0385"/>
    <x v="0"/>
    <m/>
    <s v="2014-0162912-8"/>
    <d v="2014-06-10T00:00:00"/>
    <x v="0"/>
    <s v="RED SEAS INVESTIMENTOS LTDA.; FERNANDO DE SOUSA REIS FILHO;"/>
    <s v="08779302/0001-11;"/>
    <s v="271909278-91;"/>
    <s v="AVENIDA HORACIO LAFER E RUA PROFESSOR ATILIO INNOCENTI;"/>
    <x v="1"/>
    <x v="2"/>
    <s v="299127;"/>
    <s v="0023-4; 0013-7; 0014-5; 0015-3; 0016-1; 0017-1; 0018-8; 0019-6; 0020-1; 0021-8; 0022-6; 0011-0; 0001-3; 0002-1;"/>
    <n v="2352.59"/>
    <s v="NR"/>
    <m/>
    <n v="7057.77"/>
    <n v="7057.77"/>
    <s v="CEPAC (título)"/>
    <m/>
    <n v="8235"/>
    <n v="1569"/>
    <n v="9804"/>
    <s v="FL-007/2014"/>
    <x v="1"/>
    <d v="2014-08-06T00:00:00"/>
    <m/>
    <m/>
    <m/>
    <m/>
    <s v="CANCELA A CERTIDÃO FL-003/2012 | CANCELADA PELA CERTIDÃO FL-006/2020"/>
    <s v="AMANDA/05/06/2025"/>
  </r>
  <r>
    <s v="FL-0385"/>
    <x v="0"/>
    <s v="1010.2019/0002317-0"/>
    <m/>
    <d v="2019-12-12T00:00:00"/>
    <x v="0"/>
    <s v="RED SEAS INVESTIMENTOS LTDA.;"/>
    <s v="08779302/0001-11;"/>
    <m/>
    <s v="AVENIDA BRIGADEIRO FARIA LIMA S/N; AVENIDA HORACIO LAFER S/N; RUA PROFESSOR ATILIO INNOCENTI S/N"/>
    <x v="1"/>
    <x v="2"/>
    <s v="299127;"/>
    <s v="0023-4; 0013-7; 0014-5; 0015-3; 0016-1; 0017-1; 0018-8; 0019-6; 0020-1; 0021-8; 0022-6; 0011-0; 0001-3; 0002-1; 0003-1; 0004-8;"/>
    <n v="3374.39"/>
    <s v="NR"/>
    <m/>
    <n v="10123.17"/>
    <n v="10123.17"/>
    <s v="CEPAC (título)"/>
    <m/>
    <n v="10967"/>
    <n v="2250"/>
    <n v="13217"/>
    <s v="FL-006/2020"/>
    <x v="0"/>
    <d v="2020-05-27T00:00:00"/>
    <m/>
    <m/>
    <m/>
    <m/>
    <s v="CANCELA A CERTIDÃO FL-007/2014"/>
    <s v="AMANDA/05/06/2025"/>
  </r>
  <r>
    <s v="FL-0386"/>
    <x v="0"/>
    <m/>
    <s v="2011-0354707-7"/>
    <d v="2011-12-14T00:00:00"/>
    <x v="0"/>
    <s v="GAFISA S/A."/>
    <s v="01545826/0001-07;"/>
    <m/>
    <s v="RUA FERREIRA ARAUJO, 548, 576, 592;"/>
    <x v="3"/>
    <x v="0"/>
    <s v="083174;"/>
    <s v="0802-7; 0037-9; 0761-6; 0030-1;"/>
    <n v="2540"/>
    <s v="R"/>
    <n v="7620"/>
    <m/>
    <n v="7620"/>
    <s v="CEPAC (título)"/>
    <m/>
    <n v="2540"/>
    <m/>
    <n v="2540"/>
    <s v="FL-004/2012"/>
    <x v="0"/>
    <d v="2012-01-26T00:00:00"/>
    <m/>
    <m/>
    <m/>
    <m/>
    <m/>
    <s v="AMANDA/05/06/2025"/>
  </r>
  <r>
    <s v="FL-0387"/>
    <x v="0"/>
    <m/>
    <s v="2012-0121517-5"/>
    <m/>
    <x v="0"/>
    <s v="TF 40 EMPREENDIMENTO IMOBILIARIO LTDA.;"/>
    <s v="13199418/0001-11;"/>
    <m/>
    <s v="RUA PEQUETITA, 111;"/>
    <x v="4"/>
    <x v="0"/>
    <s v="299035;"/>
    <s v="1339-7;"/>
    <n v="2000"/>
    <s v="R"/>
    <n v="4000"/>
    <m/>
    <n v="4000"/>
    <s v="CEPAC (título)"/>
    <m/>
    <n v="2000"/>
    <m/>
    <n v="2000"/>
    <s v="FL-005/2012"/>
    <x v="0"/>
    <d v="2012-08-15T00:00:00"/>
    <m/>
    <m/>
    <m/>
    <m/>
    <s v="NÚMERO DO PROCESSO NÃO ENCONTRADO "/>
    <s v="AMANDA/05/06/2025"/>
  </r>
  <r>
    <s v="FL-0388"/>
    <x v="0"/>
    <m/>
    <s v="2012-0300966-2"/>
    <d v="2012-10-19T00:00:00"/>
    <x v="0"/>
    <s v="RENATO PAES DE BARROS EMPREENDIMENTO IMOBILIARIO SPE LTDA.;"/>
    <s v="08771895/0001-70;"/>
    <m/>
    <s v="RUA RENATO PAES DE BARROS, 943, 955 E 965; RUA ANDRE GONCALVES 100; RUA PAULA DE OLIVEIRA, 09, 23, 31 E 45;"/>
    <x v="1"/>
    <x v="0"/>
    <s v="016140;"/>
    <s v="0001-8; 0002-6; 0003-4; 0004-2; 0005-0; 0006-9; 0007-7; 0008-5;"/>
    <n v="1920"/>
    <s v="NR"/>
    <m/>
    <n v="5760"/>
    <n v="5760"/>
    <s v="CEPAC (título)"/>
    <m/>
    <n v="5760"/>
    <m/>
    <n v="5760"/>
    <s v="FL-001/2013"/>
    <x v="0"/>
    <d v="2013-01-08T00:00:00"/>
    <m/>
    <m/>
    <m/>
    <m/>
    <m/>
    <s v="AMANDA/05/06/2025"/>
  </r>
  <r>
    <s v="FL-0389"/>
    <x v="0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s v="FL-0389"/>
    <x v="0"/>
    <m/>
    <s v="2012-0310813-0"/>
    <m/>
    <x v="0"/>
    <s v="VITACON PARTICIPACOES LTDA"/>
    <s v="11144772/0001-13;"/>
    <m/>
    <s v="RUA GOMES DE CARVALHO, 1146, 1152, 1156"/>
    <x v="4"/>
    <x v="0"/>
    <s v="299074;"/>
    <s v="0073-2; 0061-9; 0006-6; 0007-4;"/>
    <n v="1138.96"/>
    <s v="R"/>
    <n v="2014.82"/>
    <m/>
    <n v="2014.82"/>
    <s v="CEPAC (título)"/>
    <m/>
    <n v="1008"/>
    <n v="127"/>
    <n v="1135"/>
    <s v="FL-003/2013"/>
    <x v="1"/>
    <d v="2013-01-24T00:00:00"/>
    <m/>
    <m/>
    <m/>
    <m/>
    <s v="CANCELADA PELA CERTIDÃO FL-010/2014 (CORRIGIDA A DISTRIBUIÇÃO DE CEPAC, CFME CERTIDÃO)"/>
    <s v="PRISCILA/27/06/2025"/>
  </r>
  <r>
    <s v="FL-0389"/>
    <x v="0"/>
    <m/>
    <s v="2014-0024811-2"/>
    <m/>
    <x v="0"/>
    <s v="VITACON PARTICIPACOES LTDA"/>
    <s v="11144772/0001-13;"/>
    <m/>
    <s v="RUA GOMES DE CARVALHO, 1146, 1152, 1156"/>
    <x v="4"/>
    <x v="2"/>
    <s v="299074;"/>
    <s v="0073-2; 0061-9; 0006-6; 0007-4;"/>
    <n v="1138.96"/>
    <s v="R"/>
    <n v="2192.19"/>
    <m/>
    <n v="2192.19"/>
    <s v="CEPAC (título)"/>
    <m/>
    <n v="1097"/>
    <n v="127"/>
    <n v="1224"/>
    <s v="FL-010/2014"/>
    <x v="0"/>
    <d v="2014-09-26T00:00:00"/>
    <m/>
    <m/>
    <m/>
    <m/>
    <s v="CANCELA A CERTIDÃO FL-003/2013"/>
    <s v="PRISCILA/27/06/2025"/>
  </r>
  <r>
    <s v="FL-0390"/>
    <x v="0"/>
    <m/>
    <s v="2012-0329501-0"/>
    <m/>
    <x v="0"/>
    <s v="VITACON PARTICIPACOES LTDA; ROMEU LOURENCO FUGAS QUELHAS; ARMINDA NASCIMENTO QUELHAS"/>
    <s v="11144772/0001-13;"/>
    <s v="115222168-04; 946699708-44;"/>
    <s v="RUA CASA DO ATOR, 829, 833"/>
    <x v="4"/>
    <x v="0"/>
    <s v="299082;"/>
    <s v="0030-3; 0025-7;"/>
    <n v="1000"/>
    <s v="R"/>
    <n v="1000"/>
    <m/>
    <n v="1000"/>
    <s v="CEPAC (título)"/>
    <m/>
    <n v="500"/>
    <n v="112"/>
    <n v="612"/>
    <s v="FL-002/2013"/>
    <x v="0"/>
    <d v="2013-01-24T00:00:00"/>
    <m/>
    <m/>
    <m/>
    <m/>
    <m/>
    <s v="PRISCILA/27/06/2025"/>
  </r>
  <r>
    <s v="FL-0391"/>
    <x v="0"/>
    <m/>
    <s v="2012-0356401-1"/>
    <m/>
    <x v="0"/>
    <s v="REDE D'OR SAO LUIZ S/A"/>
    <s v="06047087/0001-39;"/>
    <m/>
    <s v="RUA DESEMBARGADOR AGUIAR VALIM, 104, 112, 118, 128, 132, 142, 144, 152, 158"/>
    <x v="1"/>
    <x v="0"/>
    <s v="016162;"/>
    <s v="0062-6; 0063-4; 0064-2; 0065-0; 0066-9; 0067-7; 0014-6; 0015-4; 0016-2;"/>
    <n v="1934.66"/>
    <s v="NR"/>
    <m/>
    <n v="3849.97"/>
    <n v="3849.97"/>
    <s v="CEPAC (título)"/>
    <m/>
    <n v="3850"/>
    <n v="0"/>
    <n v="3850"/>
    <s v="FL-006/2013"/>
    <x v="1"/>
    <d v="2013-08-25T00:00:00"/>
    <m/>
    <m/>
    <m/>
    <m/>
    <s v="CANCELADA PELA CERTIDÃO FL-008/2017"/>
    <s v="PRISCILA/27/06/2025"/>
  </r>
  <r>
    <s v="FL-0391"/>
    <x v="0"/>
    <m/>
    <s v="2017-0115952-6"/>
    <m/>
    <x v="0"/>
    <s v="REDE D'OR SAO LUIZ S/A"/>
    <s v="06047087/0001-39;"/>
    <m/>
    <s v="RUA DESEMBARGADOR AGUIAR VALIM, 104, 112, 118, 128, 132, 142, 144, 152, 158"/>
    <x v="1"/>
    <x v="2"/>
    <s v="016162;"/>
    <s v="0062-6; 0063-4; 0064-2; 0065-0; 0066-9; 0067-7; 0014-6; 0015-4; 0016-2;"/>
    <n v="1934.66"/>
    <s v="NR"/>
    <m/>
    <n v="3849.97"/>
    <n v="3849.97"/>
    <s v="CEPAC (título)"/>
    <m/>
    <n v="3850"/>
    <n v="326"/>
    <n v="4176"/>
    <s v="FL-008/2017"/>
    <x v="0"/>
    <d v="2017-10-16T00:00:00"/>
    <m/>
    <m/>
    <m/>
    <m/>
    <s v="CANCELA A CERTIDÃO FL-006/2013"/>
    <s v="PRISCILA/27/06/2025"/>
  </r>
  <r>
    <s v="FL-0392"/>
    <x v="0"/>
    <m/>
    <s v="2013-0069763-2"/>
    <m/>
    <x v="0"/>
    <s v="FREDERICO HERMAN EMPREENDIMENTO IMOBILIARIO SPE LTDA; BENTO LUIZ ASSALVE; MARIA CRISTINA BARREIROS ASSALVE; MARIO SERGIO NUNES PERES; MARGE CARDOSO DE ALMEIDA PERES; G9 EMPREENDIMENTOS IMOBILIARIOS LTDA;"/>
    <s v="09015608/0001-64; 11063606/0001-92"/>
    <s v="522218498-68; 903654708-30; 074964508-39; 026123048-43"/>
    <s v="AVENIDA FREDERICO HERMAN JUNIOR, 67"/>
    <x v="3"/>
    <x v="0"/>
    <s v="083028;"/>
    <s v="0001-5; 0006-6;"/>
    <n v="1307"/>
    <s v="R"/>
    <m/>
    <m/>
    <n v="0"/>
    <s v="CEPAC (título)"/>
    <m/>
    <n v="0"/>
    <n v="671"/>
    <n v="671"/>
    <s v="FL-005/2013"/>
    <x v="0"/>
    <d v="2013-07-03T00:00:00"/>
    <m/>
    <m/>
    <m/>
    <m/>
    <s v="COMPLEMENTADA PELA CERTIDÃO FL-003/2015"/>
    <s v="PRISCILA/27/06/2025"/>
  </r>
  <r>
    <s v="FL-0392"/>
    <x v="0"/>
    <m/>
    <s v="2015-0038616-9"/>
    <m/>
    <x v="0"/>
    <s v="GAFISA S/A"/>
    <s v="01545826/0001-07;"/>
    <m/>
    <s v="AVENIDA PROFESSOR FREDERICO HERMAN JUNIOR, 67"/>
    <x v="3"/>
    <x v="0"/>
    <s v="083028;"/>
    <s v="0001-5; 0006-6;"/>
    <n v="1307"/>
    <s v="R"/>
    <n v="3921"/>
    <m/>
    <n v="3921"/>
    <s v="CEPAC (título)"/>
    <m/>
    <n v="1401"/>
    <n v="0"/>
    <n v="1401"/>
    <s v="FL-003/2015"/>
    <x v="0"/>
    <d v="2015-04-23T00:00:00"/>
    <m/>
    <m/>
    <m/>
    <m/>
    <s v="COMPLEMENTA A CERTIDÃO FL-005/2013"/>
    <s v="PRISCILA/27/06/2025"/>
  </r>
  <r>
    <s v="FL-0393"/>
    <x v="0"/>
    <m/>
    <s v="2014-0016991-3"/>
    <m/>
    <x v="0"/>
    <s v="RELT SPE 002 EMPREENDIMENTOS IMOBILIARIOS LTDA"/>
    <s v="16918891/0001-08;"/>
    <m/>
    <s v="AVENIDA EUSEBIO MATOSO, 178 A 240"/>
    <x v="3"/>
    <x v="0"/>
    <s v="015093;"/>
    <s v="0022-8; 0024-4; 0037-6; 0038-4;"/>
    <n v="2792"/>
    <s v="R"/>
    <n v="8269.6200000000008"/>
    <m/>
    <n v="8269.6200000000008"/>
    <s v="CEPAC (título)"/>
    <m/>
    <n v="2754"/>
    <n v="1396"/>
    <n v="4150"/>
    <s v="FL-002/2014"/>
    <x v="0"/>
    <d v="2014-05-06T00:00:00"/>
    <m/>
    <m/>
    <m/>
    <m/>
    <m/>
    <s v="PRISCILA/27/06/2025"/>
  </r>
  <r>
    <s v="FL-0394"/>
    <x v="0"/>
    <m/>
    <s v="2014-0086055-1"/>
    <m/>
    <x v="0"/>
    <s v="HESA 71 INVESTIMENTOS IMOBILIARIOS LTDA"/>
    <s v="10520581/0001-46;"/>
    <m/>
    <s v="RUA GUILHERME BANNITZ,60; AVENIDA SANTO AMARO, 594, 600, 604, 608, 616, 622, 632, 636, 640"/>
    <x v="1"/>
    <x v="0"/>
    <s v="016147;"/>
    <s v="0002-8; 0022-2; 0003-6; 0004-4; 0024-9;"/>
    <n v="2924.5"/>
    <s v="R"/>
    <n v="5849"/>
    <m/>
    <n v="5849"/>
    <s v="CEPAC (título)"/>
    <m/>
    <n v="2106"/>
    <n v="0"/>
    <n v="2106"/>
    <s v="FL-003/2014"/>
    <x v="1"/>
    <d v="2014-05-07T00:00:00"/>
    <m/>
    <m/>
    <m/>
    <m/>
    <s v="CANCELADA PELA CERTIDÃO FL-011/2014"/>
    <s v="PRISCILA/03/07/2025"/>
  </r>
  <r>
    <s v="FL-0394"/>
    <x v="0"/>
    <m/>
    <s v="2014-0086055-1"/>
    <m/>
    <x v="0"/>
    <s v="HESA 71 INVESTIMENTOS IMOBILIARIOS LTDA"/>
    <s v="10520581/0001-46;"/>
    <m/>
    <s v="RUA GUILHERME BANNITZ,60; AVENIDA SANTO AMARO, 594, 600, 604, 608, 616, 622, 632, 636, 640"/>
    <x v="1"/>
    <x v="2"/>
    <s v="016147;"/>
    <s v="0002-8; 0022-2; 0003-6; 0004-4; 0024-9;"/>
    <n v="2924.5"/>
    <s v="MISTO"/>
    <n v="5485"/>
    <n v="167.44"/>
    <n v="5652.44"/>
    <s v="CEPAC (título)"/>
    <m/>
    <n v="2106"/>
    <n v="0"/>
    <n v="2106"/>
    <s v="FL-011/2014"/>
    <x v="0"/>
    <d v="2014-10-01T00:00:00"/>
    <m/>
    <m/>
    <m/>
    <m/>
    <s v="CANCELA A CERTIDÃO FL-003/2014"/>
    <s v="PRISCILA/03/07/2025"/>
  </r>
  <r>
    <s v="FL-0395"/>
    <x v="0"/>
    <m/>
    <s v="2014-0086038-1"/>
    <m/>
    <x v="0"/>
    <s v="HBR 15 INVESTIMENTOS IMOBILIARIOS LTDA"/>
    <s v="16704756/0001-51;"/>
    <m/>
    <s v="RUA FUNCHAL, 65"/>
    <x v="4"/>
    <x v="0"/>
    <s v="299035;"/>
    <s v="0057-0;"/>
    <n v="6068.26"/>
    <s v="R"/>
    <n v="12136.52"/>
    <m/>
    <n v="12136.52"/>
    <s v="CEPAC (título)"/>
    <m/>
    <n v="5725"/>
    <m/>
    <n v="5725"/>
    <s v="FL-006/2014"/>
    <x v="0"/>
    <d v="2014-08-04T00:00:00"/>
    <m/>
    <m/>
    <m/>
    <m/>
    <m/>
    <s v="PRISCILA/03/07/2025"/>
  </r>
  <r>
    <s v="FL-0396"/>
    <x v="0"/>
    <m/>
    <s v="2017-0059226-9"/>
    <d v="2017-04-06T00:00:00"/>
    <x v="0"/>
    <s v="TRISUL CELATRUS EMPREENDIMENTOS IMOBILIARIOS SPE LTDA"/>
    <s v="13299397/0001-06;"/>
    <m/>
    <s v="RUA EUGENIO DE MEDEIROS, 601-629"/>
    <x v="3"/>
    <x v="2"/>
    <s v="083097;"/>
    <s v="0045-8;"/>
    <n v="1600"/>
    <s v="R"/>
    <n v="4790.46"/>
    <m/>
    <n v="4790.46"/>
    <s v="CEPAC (título)"/>
    <m/>
    <n v="1711"/>
    <n v="139"/>
    <n v="1850"/>
    <s v="FL-005/2017"/>
    <x v="0"/>
    <d v="2017-07-20T00:00:00"/>
    <m/>
    <m/>
    <m/>
    <m/>
    <s v="CANCELA A CERTIDÃO FL-012/2014"/>
    <s v="GIULIA/04/06/2025"/>
  </r>
  <r>
    <s v="FL-0396"/>
    <x v="0"/>
    <m/>
    <s v="2014-0293158-8"/>
    <d v="2014-10-16T00:00:00"/>
    <x v="0"/>
    <s v="TRISUL CELATRUS EMPREENDIMENTOS IMOBILIARIOS SPE LTDA"/>
    <s v="13299397/0001-06;"/>
    <m/>
    <s v="RUA EUGENIO DE MEDEIROS, 601-629"/>
    <x v="3"/>
    <x v="0"/>
    <s v="083097;"/>
    <s v="0045-8;"/>
    <n v="1600"/>
    <m/>
    <m/>
    <m/>
    <n v="0"/>
    <s v="CEPAC (título)"/>
    <m/>
    <m/>
    <n v="140"/>
    <n v="140"/>
    <s v="FL-012/2014"/>
    <x v="1"/>
    <d v="2014-11-28T00:00:00"/>
    <m/>
    <m/>
    <m/>
    <m/>
    <s v="CANCELADA PELA CERTIDÃO FL-005/2017"/>
    <s v="GIULIA/04/06/2025"/>
  </r>
  <r>
    <s v="FL-0397"/>
    <x v="0"/>
    <m/>
    <s v="2014-0301041-9"/>
    <d v="2014-10-24T00:00:00"/>
    <x v="0"/>
    <s v="INSPER - INSTITUTO DE ENSINO E PESQUISA"/>
    <s v="06070152/0001-47;"/>
    <m/>
    <s v="RUA QUATA, 186, 200, 202, 214, 226, 236 E 246 X RUA UBERABINHA,  26, 30, 40, 44, 50"/>
    <x v="1"/>
    <x v="0"/>
    <s v="299095;"/>
    <s v="0024-6; 0025-4; 0026-2; 0027-0; 0028-9; 0029-7; 0144-7; 0143-9; 0032-7; 0031-9; 0033-5; 0051-3;"/>
    <n v="3443.31"/>
    <s v="NR"/>
    <m/>
    <n v="4713.26"/>
    <n v="4713.26"/>
    <s v="CEPAC (título)"/>
    <m/>
    <n v="2224"/>
    <m/>
    <n v="2224"/>
    <s v="FL-002/2016"/>
    <x v="0"/>
    <d v="2016-05-04T00:00:00"/>
    <m/>
    <m/>
    <m/>
    <m/>
    <m/>
    <s v="GIULIA/04/06/2025"/>
  </r>
  <r>
    <s v="FL-0398"/>
    <x v="0"/>
    <m/>
    <s v="2017-0114164-3"/>
    <d v="2017-07-17T00:00:00"/>
    <x v="0"/>
    <s v="SEISA MESTER EMPREENDIMENTOS IMOBILIARIOS LTDA"/>
    <s v="60619210/0001-94;"/>
    <m/>
    <s v="RUA PAES LEME, 291 E 303 X RUA AMARO CAVALHEIRO, 333 E 339"/>
    <x v="3"/>
    <x v="2"/>
    <s v="083220;"/>
    <s v="0020-0; 0021-9; 0331-5; 0333-1;"/>
    <n v="3395"/>
    <s v="R"/>
    <n v="5694.4"/>
    <m/>
    <n v="5694.4"/>
    <s v="CEPAC (título)"/>
    <m/>
    <n v="1747"/>
    <m/>
    <n v="1747"/>
    <s v="FL-002/2018"/>
    <x v="0"/>
    <d v="2018-02-28T00:00:00"/>
    <m/>
    <m/>
    <m/>
    <m/>
    <s v="A área de terreno considerada para cálculo de contrapartida em CEPAC é de 2.881,20m"/>
    <s v="GIULIA/04/06/2025"/>
  </r>
  <r>
    <s v="FL-0398"/>
    <x v="0"/>
    <m/>
    <s v="2015-0011622-6"/>
    <d v="2015-01-15T00:00:00"/>
    <x v="0"/>
    <s v="SEISA MESTER EMPREENDIMENTOS IMOBILIARIOS LTDA"/>
    <s v="60619210/0001-94;"/>
    <m/>
    <s v="RUA PAES LEME X RUA AMARO CAVALHEIRO"/>
    <x v="3"/>
    <x v="0"/>
    <s v="083220;"/>
    <s v="0020-0; 0021-9; 0331-5; 0333-1;"/>
    <n v="3495.05"/>
    <s v="MISTO"/>
    <n v="5920.32"/>
    <n v="5962.5"/>
    <n v="11882.82"/>
    <s v="CEPAC (título)"/>
    <m/>
    <n v="1819"/>
    <m/>
    <n v="1819"/>
    <s v="FL-002/2015"/>
    <x v="1"/>
    <d v="2015-04-14T00:00:00"/>
    <m/>
    <m/>
    <m/>
    <m/>
    <s v="duplo check so consta aca residencial_x000a_CANCELADA PELA CERTIDÃO FL-002/2018"/>
    <s v="GIULIA/04/06/2025"/>
  </r>
  <r>
    <s v="FL-0399"/>
    <x v="0"/>
    <m/>
    <s v="2017-0037314-1"/>
    <d v="2017-03-03T00:00:00"/>
    <x v="0"/>
    <s v="FLCJ SPE EMPREENDIMENTO IMOBILIÁRIO LTDA"/>
    <s v="14281580/0001-47;"/>
    <m/>
    <s v="AVENIDA PROFESSOR ARTHUR RAMOS, 111, 127, 135, 143 E 149 X AVENIDA CIDADE JARDIM, 514, 614 E 632 X RUA ARAÇARI X AVENIDA BRIGADEIRO FARIA LIMA"/>
    <x v="0"/>
    <x v="2"/>
    <s v="083068;"/>
    <s v="0009-5; 0010-9; 0018-4; 0019-2;"/>
    <n v="2657.45"/>
    <s v="MISTO"/>
    <n v="7002.23"/>
    <n v="3627.57"/>
    <n v="10629.8"/>
    <s v="CEPAC (título)"/>
    <m/>
    <n v="5400"/>
    <m/>
    <n v="5400"/>
    <s v="FL-003/2017"/>
    <x v="1"/>
    <d v="2017-04-07T00:00:00"/>
    <m/>
    <m/>
    <m/>
    <m/>
    <s v="CANCELA A CERTIDÃO FL-004/2015"/>
    <s v="GIULIA/04/06/2025"/>
  </r>
  <r>
    <s v="FL-0399"/>
    <x v="0"/>
    <m/>
    <s v="2014-0357603-0"/>
    <d v="2014-12-23T00:00:00"/>
    <x v="0"/>
    <s v="FLCJ SPE EMPREENDIMENTO IMOBILIARIO LTDA"/>
    <s v="14281580/0001-47;"/>
    <m/>
    <s v="AVENIDA PROFESSOR ARTHUR RAMOS, 111, 127, 135, 143 E 149 X AVENIDA CIDADE JARDIM, 514, 614 E 63"/>
    <x v="0"/>
    <x v="0"/>
    <s v="083068;"/>
    <s v="0009-5; 0010-9; 0018-4; 0019-2;"/>
    <n v="2657.45"/>
    <s v="MISTO"/>
    <n v="7002.23"/>
    <n v="3627.57"/>
    <n v="10629.8"/>
    <s v="CEPAC (título)"/>
    <m/>
    <n v="5400"/>
    <m/>
    <n v="5400"/>
    <s v="FL-004/2015"/>
    <x v="1"/>
    <d v="2015-05-11T00:00:00"/>
    <m/>
    <m/>
    <m/>
    <m/>
    <s v="CANCELADA PELA CERTIDÃO FL-003/2017"/>
    <s v="GIULIA/04/06/2025"/>
  </r>
  <r>
    <s v="FL-0400"/>
    <x v="0"/>
    <m/>
    <s v="2015-0036226-0"/>
    <d v="2015-02-11T00:00:00"/>
    <x v="0"/>
    <s v="BODRUM EMPREENDIMENTOS IMOBILIARIOS LTDA"/>
    <s v="15369331/0001-70;"/>
    <m/>
    <s v="AVENIDA HORACIO LAFER, 50, 60, 62 E 74"/>
    <x v="1"/>
    <x v="0"/>
    <s v="299014;"/>
    <s v="0009-9; 0010-2; 0092-7;"/>
    <n v="1140"/>
    <s v="R"/>
    <n v="3420"/>
    <m/>
    <n v="3420"/>
    <s v="CEPAC (título)"/>
    <m/>
    <n v="1368"/>
    <n v="12"/>
    <n v="1380"/>
    <s v="FL-001/2015"/>
    <x v="0"/>
    <d v="2015-03-23T00:00:00"/>
    <m/>
    <m/>
    <m/>
    <m/>
    <s v="DIVISÃO DE CEPACS CONFORME PLANILHA DE ESTOQUE CONSUMIDOS (DUPLO CHECK)"/>
    <s v="GIULIA/04/06/2025"/>
  </r>
  <r>
    <s v="FL-0401"/>
    <x v="0"/>
    <m/>
    <s v="2015-0181472-5"/>
    <d v="2015-07-14T00:00:00"/>
    <x v="0"/>
    <s v="GT-11 EMPREENDIMENTOS IMOBILIARIOS S/A"/>
    <s v="17849612/0001-56;"/>
    <m/>
    <s v="AVENIDA SANTO AMARO, 1302 E 1308"/>
    <x v="1"/>
    <x v="0"/>
    <s v="299077;"/>
    <s v="0097-3; 0030-2; 0033-7;"/>
    <n v="2913.97"/>
    <s v="R"/>
    <n v="603.48"/>
    <m/>
    <n v="603.48"/>
    <s v="CEPAC (título)"/>
    <m/>
    <n v="9"/>
    <m/>
    <n v="9"/>
    <s v="FL-005/2015"/>
    <x v="0"/>
    <d v="2015-10-08T00:00:00"/>
    <m/>
    <m/>
    <m/>
    <m/>
    <m/>
    <s v="GIULIA/04/06/2025"/>
  </r>
  <r>
    <s v="FL-0402"/>
    <x v="0"/>
    <s v="7810.2020/0000770-8"/>
    <m/>
    <d v="2020-07-13T00:00:00"/>
    <x v="0"/>
    <s v="NATIN DESENVOLVIMENTO IMOBILIARIO LTDA"/>
    <s v="23853737/0001-52;"/>
    <m/>
    <s v="RUA VUPABUSSU, 210 X RUA NATINGUI, 1503"/>
    <x v="3"/>
    <x v="2"/>
    <s v="083015;"/>
    <s v="0011-5; 0012-3; 0015-8;"/>
    <n v="3121.02"/>
    <s v="R"/>
    <n v="9363.06"/>
    <m/>
    <n v="9363.06"/>
    <s v="CEPAC (título)"/>
    <m/>
    <n v="3362"/>
    <n v="1561"/>
    <n v="4923"/>
    <s v="FL-018/2020"/>
    <x v="0"/>
    <d v="2020-09-21T00:00:00"/>
    <m/>
    <m/>
    <m/>
    <m/>
    <s v="CANCELA A CERTIDÃO FL-006/2019"/>
    <s v="GIULIA/04/06/2025"/>
  </r>
  <r>
    <s v="FL-0402"/>
    <x v="0"/>
    <s v="7810.2019/0000286-0"/>
    <m/>
    <d v="2019-03-29T00:00:00"/>
    <x v="0"/>
    <s v="NATIN DESENVOLVIMENTO IMOBILIARIO LTDA"/>
    <s v="23853737/0001-52;"/>
    <m/>
    <s v="RUA NATINGUI, 1503 E 15019 X RUA VUPABUSSU, 22"/>
    <x v="3"/>
    <x v="2"/>
    <s v="083015;"/>
    <s v="0011-5; 0012-3; 0015-8;"/>
    <n v="3121.02"/>
    <s v="R"/>
    <n v="9363.06"/>
    <m/>
    <n v="9363.06"/>
    <s v="CEPAC (título)"/>
    <m/>
    <n v="3362"/>
    <m/>
    <n v="3362"/>
    <s v="FL-006/2019"/>
    <x v="1"/>
    <d v="2019-07-25T00:00:00"/>
    <m/>
    <m/>
    <m/>
    <m/>
    <s v="CANCELA A CERTIÃO FL-009/2015 | CANCELADA PELA CERTIDÃO FL-018/2020"/>
    <s v="GIULIA/04/06/2025"/>
  </r>
  <r>
    <s v="FL-0402"/>
    <x v="0"/>
    <m/>
    <s v="2015-0287563-9"/>
    <d v="2015-10-27T00:00:00"/>
    <x v="0"/>
    <s v="POLLUX SP EMPREENDIMENTO IMOBILIARIO LTDA"/>
    <s v="19014268/0001-00;"/>
    <m/>
    <s v="RUA NATINGUI, 15019"/>
    <x v="3"/>
    <x v="0"/>
    <s v="083015;"/>
    <s v="0012-3; 0015-8;"/>
    <n v="2206"/>
    <s v="R"/>
    <n v="6618"/>
    <m/>
    <n v="6618"/>
    <s v="CEPAC (título)"/>
    <m/>
    <n v="2546"/>
    <n v="170"/>
    <n v="2716"/>
    <s v="FL-009/2015"/>
    <x v="1"/>
    <d v="2015-12-14T00:00:00"/>
    <m/>
    <m/>
    <m/>
    <m/>
    <s v="CANCELADA PELA CERTIDÃO FL-006/2019"/>
    <s v="GIULIA/04/06/2025"/>
  </r>
  <r>
    <s v="FL-0403"/>
    <x v="0"/>
    <m/>
    <s v="2015-0214227-5"/>
    <d v="2015-08-14T00:00:00"/>
    <x v="0"/>
    <s v="VITACON 18 DESENVOLVIMENTO IMOBILIARIO LTDA"/>
    <s v="12810205/0001-11;"/>
    <m/>
    <s v="RUA ALVORADA 1217, 1225, 1227 E 1241 X RUA CARMONTELLE, 1, 3, 3A, E 3B"/>
    <x v="4"/>
    <x v="0"/>
    <s v="299074;"/>
    <s v="0036-8; 0037-6; 0039-2; 0040-6; 0041-4; 0042-2; "/>
    <n v="1221.1500000000001"/>
    <s v="R"/>
    <n v="2"/>
    <m/>
    <n v="2"/>
    <s v="CEPAC (título)"/>
    <m/>
    <n v="1"/>
    <m/>
    <n v="1"/>
    <s v="FL-007/2015"/>
    <x v="0"/>
    <d v="2015-10-26T00:00:00"/>
    <m/>
    <m/>
    <m/>
    <m/>
    <m/>
    <s v="GIULIA/04/06/2025"/>
  </r>
  <r>
    <s v="FL-0404"/>
    <x v="0"/>
    <m/>
    <s v="2015-0218743-0"/>
    <d v="2015-08-19T00:00:00"/>
    <x v="0"/>
    <s v="TRISUL SPIGELIA EMPREENDIMENTOS IMOBILIARIOS SPE LTDA"/>
    <s v="13334551/0001-33; "/>
    <m/>
    <s v="AVENIDA SANTO AMARO, 1446, 1450, 1452, 1454, 1456, 1462, 1464, 1468, 1472, 1476, 1480 E 1486 X RUA FIANDEIRAS, 48"/>
    <x v="1"/>
    <x v="0"/>
    <s v="299077;"/>
    <s v="0018-3; 0019-1; 0093-0; 0092-2; 0091-4; 0069-8; 0265-8;"/>
    <n v="3158"/>
    <s v="R"/>
    <n v="668.86"/>
    <m/>
    <n v="668.86"/>
    <s v="CEPAC (título)"/>
    <m/>
    <n v="15"/>
    <m/>
    <n v="15"/>
    <s v="FL-006/2015"/>
    <x v="0"/>
    <d v="2015-10-13T00:00:00"/>
    <m/>
    <m/>
    <m/>
    <m/>
    <m/>
    <s v="GIULIA/04/06/2025"/>
  </r>
  <r>
    <s v="FL-0405"/>
    <x v="0"/>
    <m/>
    <s v="2015-0328809-5"/>
    <m/>
    <x v="0"/>
    <s v="MULTILLIANCE EMPREENDIMENTOS E PARTICIPAÇÕES IMOBILIÁRIAS LTDA;ENGEDISA EMPREENDIMENTOS IMOBILIÁRIOS LTDA"/>
    <s v="03561702/0001-32;47677075/0001-75;"/>
    <m/>
    <s v="RUA FUNCHAL; RUA GOMES DE CARVALHO"/>
    <x v="4"/>
    <x v="0"/>
    <s v="299038;"/>
    <s v="0044-2;"/>
    <n v="3804.83"/>
    <s v="R"/>
    <n v="10847.57"/>
    <m/>
    <n v="10847.57"/>
    <s v="CEPAC (título)"/>
    <m/>
    <n v="5424"/>
    <n v="0"/>
    <n v="5424"/>
    <s v="FL-008/2015"/>
    <x v="1"/>
    <d v="2015-11-03T00:00:00"/>
    <m/>
    <m/>
    <m/>
    <m/>
    <s v="EMPREENDIMENTO MISTO. AQUISICÃO ACA R. CANCELADA E SUBSTITUÍDA PELA CERTIDÃO 006/2016"/>
    <s v="LUCIANA/27/06/2025"/>
  </r>
  <r>
    <s v="FL-0405"/>
    <x v="0"/>
    <m/>
    <s v="2016-0042225-6"/>
    <m/>
    <x v="0"/>
    <s v="MULTILLIANCE EMPREENDIMENTOS E PARTICIPAÇÕES IMOBILIÁRIAS LTDA;ENGEDISA EMPREENDIMENTOS IMOBILIÁRIOS LTDA"/>
    <s v="03561702/0001-32;47677075/0001-75;"/>
    <m/>
    <s v="RUA FUNCHAL; RUA GOMES DE CARVALHO"/>
    <x v="4"/>
    <x v="2"/>
    <s v="299038;"/>
    <s v="0044-2;"/>
    <n v="3804.83"/>
    <s v="R"/>
    <n v="10848.77"/>
    <m/>
    <n v="10848.77"/>
    <s v="CEPAC (título)"/>
    <m/>
    <n v="5425"/>
    <m/>
    <n v="5425"/>
    <s v="FL-006/2016"/>
    <x v="0"/>
    <d v="2016-08-08T00:00:00"/>
    <m/>
    <m/>
    <m/>
    <m/>
    <s v="CANCELA E SUBSTITUI 008/2015"/>
    <s v="LUCIANA/27/06/2025"/>
  </r>
  <r>
    <s v="FL-0406"/>
    <x v="0"/>
    <m/>
    <s v="2015-0290656-9"/>
    <m/>
    <x v="0"/>
    <s v="SÃO JOSÉ DESENVOLVIMENTO IMOBILIÁRIO 52 LTDA"/>
    <s v="17348100/0001-06;"/>
    <m/>
    <s v="RUA PROFESSOR ARTUR RAMOS"/>
    <x v="0"/>
    <x v="0"/>
    <s v="083207;"/>
    <s v="0048-5;"/>
    <n v="1022.87"/>
    <s v="R"/>
    <m/>
    <m/>
    <n v="0"/>
    <s v="CEPAC (título)"/>
    <m/>
    <n v="0"/>
    <n v="56"/>
    <n v="56"/>
    <s v="FL-010/2015"/>
    <x v="0"/>
    <d v="2015-12-14T00:00:00"/>
    <m/>
    <m/>
    <m/>
    <m/>
    <m/>
    <s v="LUCIANA/27/06/2025"/>
  </r>
  <r>
    <s v="FL-0407"/>
    <x v="0"/>
    <m/>
    <s v="2017-0103080-9"/>
    <m/>
    <x v="0"/>
    <s v="BI SÃO PAULO EMPREENDIMENTOS IMOBILIÁRIOS LTDA; BOLSA DE IMÓVEIS DESENVOLVIMENTO IMOBILIÁRIO LTDA"/>
    <s v="17888899/0001-23; 04913697/0001-42;"/>
    <m/>
    <s v="RUA CLODOMIRO AMAZONAS, 435 E 443; RUA COUTO DE MAGALHÃES, 611, 613, 619, 623, 629, 633"/>
    <x v="1"/>
    <x v="0"/>
    <s v="016134;"/>
    <s v="0020-9; 00021-7; 0023-3; 0024-1; 0025-1; 0026-8; 0027-6; 0028-4"/>
    <n v="1365.6"/>
    <s v="R"/>
    <m/>
    <m/>
    <n v="0"/>
    <s v="CEPAC (título)"/>
    <m/>
    <n v="0"/>
    <n v="155"/>
    <n v="155"/>
    <s v="FL-010/2017"/>
    <x v="1"/>
    <d v="2017-12-08T00:00:00"/>
    <m/>
    <m/>
    <m/>
    <m/>
    <m/>
    <s v="LUCIANA/27/06/2025"/>
  </r>
  <r>
    <s v="FL-0407"/>
    <x v="0"/>
    <m/>
    <s v="2018-0025238-9"/>
    <m/>
    <x v="0"/>
    <s v="BI SÃO PAULO EMPREENDIMENTOS IMOBILIÁRIOS LTDA; BOLSA DE IMÓVEIS DESENVOLVIMENTO IMOBILIÁRIO LTDA"/>
    <s v="17888899/0001-23; 04913697/0001-42;"/>
    <m/>
    <s v="RUA CLODOMIRO AMAZONAS, 435 E 443; RUA COUTO DE MAGALHÃES, 611, 613, 619, 623, 629, 633"/>
    <x v="1"/>
    <x v="0"/>
    <s v="016134;"/>
    <s v="0020-9; 00021-7; 0023-3; 0024-1; 0025-1; 0026-8; 0027-6; 0028-4"/>
    <n v="1365.6"/>
    <s v="R"/>
    <m/>
    <m/>
    <n v="0"/>
    <s v="CEPAC (título)"/>
    <m/>
    <n v="0"/>
    <n v="183"/>
    <n v="183"/>
    <s v="FL-006/2018"/>
    <x v="0"/>
    <d v="2018-06-22T00:00:00"/>
    <m/>
    <m/>
    <m/>
    <m/>
    <m/>
    <s v="LUCIANA/27/06/2025"/>
  </r>
  <r>
    <s v="FL-0408"/>
    <x v="0"/>
    <m/>
    <s v="2016-0020469-0"/>
    <m/>
    <x v="0"/>
    <s v="SÃO JOSÉ DESENVOLVIMENTO IMOBILIÁRIO 16 LTDA"/>
    <s v="08899220/0001-00;"/>
    <m/>
    <s v="RUA FREDERICH CHOPPIN, 201, 215, 217; AVENIDA CIDADE JARDIM, 958, 966, 976, 1000, 1010, 1030, 1038, 1040"/>
    <x v="0"/>
    <x v="0"/>
    <s v="083206;"/>
    <s v="0016-2; 0017-0; 0018-9; 0019-7; 0020-0; 0033-2; 0034-0; 0035-9; 062-6; 0063-4; 0064-2"/>
    <n v="413.27"/>
    <s v="R"/>
    <n v="4481"/>
    <m/>
    <n v="4481"/>
    <s v="CEPAC (título)"/>
    <m/>
    <n v="11407"/>
    <n v="0"/>
    <n v="11407"/>
    <s v="FL-001/2016"/>
    <x v="0"/>
    <d v="2016-02-23T00:00:00"/>
    <m/>
    <m/>
    <m/>
    <m/>
    <m/>
    <s v="LUCIANA/27/06/2025"/>
  </r>
  <r>
    <s v="FL-0409"/>
    <x v="0"/>
    <m/>
    <s v="2016-0055761-5"/>
    <m/>
    <x v="0"/>
    <s v="DIÁLOGO ENGENHARIA E CONSTRUÇÃO LTDA"/>
    <s v="57132417/0001-25;"/>
    <m/>
    <s v="RUA DOUTOR EDUARDO DE SOUZA ARANHA, 310, 318, 326; RUA BANDEIRA PAULISTA, 1006, 1018, 1036, 1038"/>
    <x v="1"/>
    <x v="0"/>
    <s v="016137;"/>
    <s v="0047-4; 0002-4; 0003-2; 0046-6; 0065-2; 0061-1; 0060-1;"/>
    <n v="1263.3800000000001"/>
    <s v="NR"/>
    <m/>
    <n v="3259.52"/>
    <n v="3259.52"/>
    <s v="CEPAC (título)"/>
    <m/>
    <n v="3260"/>
    <n v="0"/>
    <n v="3260"/>
    <s v="FL-004/2016"/>
    <x v="1"/>
    <d v="2016-06-30T00:00:00"/>
    <m/>
    <m/>
    <m/>
    <m/>
    <s v="CANCELADA E SUBSTITUÍDA PELA CERTIDÃO FL-005/2018"/>
    <s v="LUCIANA/27/06/2025"/>
  </r>
  <r>
    <s v="FL-0409"/>
    <x v="0"/>
    <m/>
    <s v="2018-0036238-9"/>
    <m/>
    <x v="0"/>
    <s v="DIÁLOGO ENGENHARIA E CONSTRUÇÃO LTDA"/>
    <s v="57132417/0001-25;"/>
    <m/>
    <s v="RUA DOUTOR EDUARDO DE SOUZA ARANHA, 310, 318, 326; RUA BANDEIRA PAULISTA, 1006, 1018, 1036, 1038"/>
    <x v="1"/>
    <x v="2"/>
    <s v="016137;"/>
    <s v="0047-4; 0002-4; 0003-2; 0046-6; 0065-2; 0061-1; 0060-1;"/>
    <n v="1519.11"/>
    <s v="R"/>
    <n v="4557.33"/>
    <m/>
    <n v="4557.33"/>
    <s v="CEPAC (título)"/>
    <m/>
    <n v="1823"/>
    <n v="1013"/>
    <n v="2836"/>
    <s v="FL-005/2018"/>
    <x v="1"/>
    <d v="2018-04-27T00:00:00"/>
    <m/>
    <m/>
    <n v="424"/>
    <m/>
    <s v="CANCELA E SUBSTITUI A CERTIDÃO FL-004/2016; CANCELADA E SUBSTITUÍDA PELA CERTIDÃO FL-002/2019"/>
    <s v="LUCIANA/27/06/2025"/>
  </r>
  <r>
    <s v="FL-0409"/>
    <x v="0"/>
    <s v="7810.2018/0000592-2"/>
    <m/>
    <m/>
    <x v="0"/>
    <s v="DIÁLOGO ENGENHARIA E CONSTRUÇÃO LTDA"/>
    <s v="57132417/0001-25;"/>
    <m/>
    <s v="RUA DOUTOR EDUARDO DE SOUZA ARANHA, 310, 318, 326; RUA BANDEIRA PAULISTA, 1006, 1018, 1036, 1038"/>
    <x v="1"/>
    <x v="2"/>
    <s v="016137;"/>
    <s v="0047-4; 0002-4; 0003-2; 0046-6; 0065-2; 0061-1; 0060-1;"/>
    <n v="1519.11"/>
    <s v="R"/>
    <n v="4557.33"/>
    <m/>
    <n v="4557.33"/>
    <s v="CEPAC (título)"/>
    <m/>
    <n v="1823"/>
    <n v="1013"/>
    <n v="2836"/>
    <s v="FL-002/2019"/>
    <x v="0"/>
    <d v="2019-02-28T00:00:00"/>
    <m/>
    <m/>
    <n v="0"/>
    <m/>
    <s v="CANCELA E SUBSTITUI A CERTIDÃO FL-005/2018"/>
    <s v="LUCIANA/27/06/2025"/>
  </r>
  <r>
    <s v="FL-0410"/>
    <x v="0"/>
    <m/>
    <s v="2016-0174371-4"/>
    <m/>
    <x v="0"/>
    <s v="SÃO JOSÉ DESENVOLVIMENTO IMOBILIÁRIO 52 LTDA"/>
    <s v="17348100/0001-06;"/>
    <m/>
    <s v="RUA FRANZ SCHUBERT, 184"/>
    <x v="0"/>
    <x v="0"/>
    <s v="083207;"/>
    <s v="0048-5;"/>
    <n v="1022.87"/>
    <s v="R"/>
    <n v="3068.61"/>
    <m/>
    <n v="3068.61"/>
    <s v="CEPAC (título)"/>
    <m/>
    <n v="2790"/>
    <n v="0"/>
    <n v="2790"/>
    <s v="FL-001/2017"/>
    <x v="0"/>
    <d v="2017-01-09T00:00:00"/>
    <m/>
    <m/>
    <m/>
    <m/>
    <m/>
    <s v="LUCIANA/27/06/2025"/>
  </r>
  <r>
    <s v="FL-0411"/>
    <x v="0"/>
    <m/>
    <s v="2016-0201177-6"/>
    <m/>
    <x v="0"/>
    <s v="CYRELA PORTUGAL EMPREENDIMENTOS IMOBILIÁRIOS LTDA"/>
    <s v="07545084/0001-98;"/>
    <m/>
    <s v="RUA LEOPOLDO COUTO DE MAGALHÃES JÚNIOR, S/N.º; ESQUINA COM RUA JUSSAPE"/>
    <x v="0"/>
    <x v="0"/>
    <s v="299015;"/>
    <s v="0461-7;"/>
    <n v="3439.04"/>
    <s v="R"/>
    <n v="10086.700000000001"/>
    <m/>
    <n v="10086.700000000001"/>
    <s v="CEPAC (título)"/>
    <m/>
    <n v="7230"/>
    <n v="0"/>
    <n v="7230"/>
    <s v="FL-002/2017"/>
    <x v="0"/>
    <d v="2017-03-06T00:00:00"/>
    <m/>
    <m/>
    <m/>
    <m/>
    <s v="NÃO CONSTOU A ACA R NA CERTIDÃO. ACA EXTRAÍDA DO DUPLO CHECK"/>
    <s v="LUCIANA/27/06/2025"/>
  </r>
  <r>
    <s v="FL-0412"/>
    <x v="0"/>
    <s v="7810.2019/0000482-0"/>
    <m/>
    <m/>
    <x v="0"/>
    <s v="LUBA 15 DESENVOLVIMENTO IMOBILIÁRIO LTDA"/>
    <s v="14696095/0001-34;"/>
    <m/>
    <s v="RUA SANTA JUSTINA, RUA DOUTOR IVO DEFINE FRASCA, AVENIDA SANTO AMARO, 1.130, 1.132, 1.142, 1.150"/>
    <x v="1"/>
    <x v="0"/>
    <s v="299055;"/>
    <s v="0298-8;"/>
    <n v="1610.31"/>
    <s v="R"/>
    <n v="2481.7800000000002"/>
    <m/>
    <n v="2481.7800000000002"/>
    <s v="CEPAC (título)"/>
    <m/>
    <n v="994"/>
    <m/>
    <n v="994"/>
    <s v="FL-007/2019"/>
    <x v="0"/>
    <d v="2019-08-05T00:00:00"/>
    <m/>
    <m/>
    <m/>
    <m/>
    <s v="ACA R ARREDONDADA DE 2.481,776 PARA 2.481,78"/>
    <s v="LUCIANA/27/06/2025"/>
  </r>
  <r>
    <s v="FL-0413"/>
    <x v="0"/>
    <s v="7810.2021/0000373-9"/>
    <m/>
    <m/>
    <x v="0"/>
    <s v="SAL ADMINISTRAÇÃO E INCORPORAÇÃO LTA; BES EMPREENDIMENTOS E PARTICIPAÇÕES LTDA; MHB ADMINISTRAÇÃO E PARTICIPAÇÕES LTDA; LÚCIO ROBERTO BRESSER SROUR"/>
    <s v="11731233/0001-80; 04572018/0001-19;"/>
    <m/>
    <s v="RUA DIOGO JACOME, 806, 818"/>
    <x v="1"/>
    <x v="0"/>
    <s v="041059;"/>
    <s v="0066-8; 0068-4;  0069-2; 0070-6; 0071-4; 0072-2; 0073-0; 0074-9; 0075-7; 0076-5; 0077-3; 0078-1; 0079-1; 0080-3; 0081-1; 0002-1; 0025-0; 0032-3; 0024-2; 0122-2; 0120-6; 0121-4;  0028-5; 0123-0; 0120-6; 0060-9; 0061-7; 0062-5; 0063-3; 0120-6; 0033-1;  0017-1; 0036-6"/>
    <n v="8112.63"/>
    <s v="NR"/>
    <m/>
    <n v="3782.99"/>
    <n v="3782.99"/>
    <s v="CEPAC (título)"/>
    <m/>
    <n v="2030"/>
    <m/>
    <n v="2030"/>
    <s v="FL-003/2021"/>
    <x v="0"/>
    <d v="2021-09-02T00:00:00"/>
    <m/>
    <m/>
    <m/>
    <m/>
    <s v="JUNÇÃO DA PROPOSTA FL-0332"/>
    <s v="LUCIANA/27/06/2025"/>
  </r>
  <r>
    <s v="FL-0414"/>
    <x v="0"/>
    <m/>
    <s v="2016-0277653-5"/>
    <m/>
    <x v="0"/>
    <s v="FUNCHAL 641 SPE EMPREENDIMENTOS IMOBILIÁRIOS LTDA"/>
    <s v="18597139/0001-20;"/>
    <m/>
    <s v="RUA FUNCHAL, 68, 76, 92, 102, 641, 651; AVENIDA DOUTOR CARDOSO DE MELO, 1761, S/N."/>
    <x v="4"/>
    <x v="0"/>
    <s v="299078;"/>
    <s v="0034-1; 0039-0; 0040-4; 00041-2; 0043-9;"/>
    <n v="3732.62"/>
    <s v="NR"/>
    <m/>
    <n v="7558.92"/>
    <n v="7558.92"/>
    <s v="CEPAC (título)"/>
    <m/>
    <n v="3033"/>
    <m/>
    <n v="3033"/>
    <s v="FL-011/2017"/>
    <x v="1"/>
    <d v="2017-12-08T00:00:00"/>
    <m/>
    <m/>
    <m/>
    <m/>
    <s v="CANCELADA E SUBSTITUÍDA PELA CERTIDÃO FL-001/2019"/>
    <s v="LUCIANA/27/06/2025"/>
  </r>
  <r>
    <s v="FL-0414"/>
    <x v="0"/>
    <s v="7810.2018/0000686-4"/>
    <m/>
    <m/>
    <x v="0"/>
    <s v="FUNCHAL 641 SPE EMPREENDIMENTOS IMOBILIÁRIOS LTDA"/>
    <s v="18597139/0001-20;"/>
    <m/>
    <s v="RUA FUNCHAL, 68, 76, 92, 102, 641, 651; AVENIDA DOUTOR CARDOSO DE MELO, 1761, "/>
    <x v="4"/>
    <x v="2"/>
    <s v="299078;"/>
    <s v="0034-1; 0039-0; 0040-4; 00041-2; 0043-9;"/>
    <n v="3732.62"/>
    <s v="R"/>
    <n v="9834.11"/>
    <m/>
    <n v="9834.11"/>
    <s v="CEPAC (título)"/>
    <m/>
    <n v="4171"/>
    <m/>
    <n v="4171"/>
    <s v="FL-001/2019"/>
    <x v="1"/>
    <d v="2019-01-28T00:00:00"/>
    <m/>
    <m/>
    <m/>
    <m/>
    <s v="EMPREENDIMENTO MISTO. ADQUIRIDA ACA R. CANCELA E SUBSTITUI CERTIDÃO FL011/2017. CANCELADA E SUBSTITUÍDA PELA CERTIDÃO FL-012/2020"/>
    <s v="LUCIANA/27/06/2025"/>
  </r>
  <r>
    <s v="FL-0414"/>
    <x v="0"/>
    <s v="1010.2019/0002325-0"/>
    <m/>
    <m/>
    <x v="0"/>
    <s v="FUNCHAL 641 SPE EMPREENDIMENTOS IMOBILIÁRIOS LTDA"/>
    <s v="18597139/0001-20;"/>
    <m/>
    <s v="RUA FUNCHAL, 68, 76, 92, 102, 641, 651; AVENIDA DOUTOR CARDOSO DE MELO, 1761, "/>
    <x v="4"/>
    <x v="2"/>
    <s v="299078;"/>
    <s v="0034-1; 0039-0; 0040-4; 00041-2; 0043-9;"/>
    <n v="3732.62"/>
    <s v="R"/>
    <n v="9833.9599999999991"/>
    <m/>
    <n v="9833.9599999999991"/>
    <s v="CEPAC (título)"/>
    <m/>
    <n v="4171"/>
    <n v="1867"/>
    <n v="6038"/>
    <s v="FL-012/2020"/>
    <x v="1"/>
    <d v="2020-06-02T00:00:00"/>
    <m/>
    <m/>
    <m/>
    <m/>
    <s v="CANCELA E SUBSTITUI A CERTIDÃO FL-001/2019."/>
    <s v="LUCIANA/27/06/2025"/>
  </r>
  <r>
    <s v="FL-0415"/>
    <x v="0"/>
    <s v="7810.2018/0000957-0"/>
    <m/>
    <m/>
    <x v="0"/>
    <s v="BOLSA IX EMPREENDIMENTOS IMOBILIÁRIOS LTDA"/>
    <s v="16599215/0001-00;"/>
    <m/>
    <s v="AVENIDA HORÁCIO LÁFER, 383, ESQUINA COM RUA LOPES NETO"/>
    <x v="0"/>
    <x v="0"/>
    <s v="299017;"/>
    <s v="0020-3;"/>
    <n v="1600"/>
    <s v="R"/>
    <m/>
    <m/>
    <n v="0"/>
    <s v="CEPAC (título)"/>
    <m/>
    <n v="0"/>
    <n v="400"/>
    <n v="400"/>
    <s v="FL-004/2019"/>
    <x v="1"/>
    <d v="2019-04-30T00:00:00"/>
    <m/>
    <m/>
    <m/>
    <m/>
    <s v="CANELADA E SUBSTITUÍDA PELA CERTIDÃO FL-009/2019"/>
    <s v="LUCIANA/27/06/2025"/>
  </r>
  <r>
    <s v="FL-0415"/>
    <x v="0"/>
    <s v="7810.2019/0000604-1"/>
    <m/>
    <m/>
    <x v="0"/>
    <s v="BOLSA IX EMPREENDIMENTOS IMOBILIÁRIOS LTDA"/>
    <s v="16599215/0001-00;"/>
    <m/>
    <s v="AVENIDA HORÁCIO LÁFER, 383"/>
    <x v="0"/>
    <x v="2"/>
    <s v="299017;"/>
    <s v="0020-3;"/>
    <n v="1600"/>
    <s v="R"/>
    <n v="4800"/>
    <m/>
    <n v="4800"/>
    <s v="CEPAC (título)"/>
    <m/>
    <n v="3693"/>
    <n v="372"/>
    <n v="4065"/>
    <s v="FL-009/2019"/>
    <x v="0"/>
    <d v="2019-12-06T00:00:00"/>
    <m/>
    <m/>
    <m/>
    <m/>
    <s v="CANCELA E SUBSTITUÍ A CERTIDÃO FL-004/2019"/>
    <s v="LUCIANA/27/06/2025"/>
  </r>
  <r>
    <s v="FL-0416"/>
    <x v="0"/>
    <m/>
    <s v="2017-0185479-8"/>
    <d v="2017-12-20T00:00:00"/>
    <x v="0"/>
    <s v="LÚCIO  SERPA EMPREENDIMENTO IMOBILIÁRIO SPE LTDA"/>
    <s v="15358902/0001-71;"/>
    <m/>
    <s v="RUA SUMIDOURO Nº 55, 67, 73, 77, 85, 87, 89 E RUA PADRE CARVALHO Nº 635, 639/647, 563, 661"/>
    <x v="3"/>
    <x v="0"/>
    <s v="083044;"/>
    <s v="0031-6; 0032-4; 0037-5; 0038-3; 0039-1; 0040-5; 0041-3; 0042-1; 0044-8; 0046-4; 0055-3;"/>
    <n v="2049.2399999999998"/>
    <s v="NR"/>
    <m/>
    <m/>
    <n v="0"/>
    <s v="CEPAC (título)"/>
    <m/>
    <m/>
    <n v="13"/>
    <n v="13"/>
    <s v="FL-004/2018"/>
    <x v="0"/>
    <d v="2018-03-28T00:00:00"/>
    <m/>
    <m/>
    <m/>
    <m/>
    <m/>
    <s v="VITOR/13/06/2025"/>
  </r>
  <r>
    <s v="FL-0417"/>
    <x v="0"/>
    <m/>
    <s v="2017-0134508-7"/>
    <d v="2017-08-24T00:00:00"/>
    <x v="0"/>
    <s v="TRISUL MUTISIA EMPREENDIMENTOS IMOBILIÁRIOS SPE LTDA"/>
    <s v="13334572/0001-59;"/>
    <m/>
    <s v="RUA PROFESSOR VAHIA DE ABREU Nº 19, 21, 31, 33, 41, 53"/>
    <x v="1"/>
    <x v="0"/>
    <s v="299115;"/>
    <s v="0029-0; 0030-4; 0031-2; 0034-7; 0037-1; 0065-7;"/>
    <n v="1419.78"/>
    <s v="R"/>
    <n v="2839.42"/>
    <m/>
    <n v="2839.42"/>
    <s v="CEPAC (título)"/>
    <m/>
    <m/>
    <n v="1136"/>
    <n v="1136"/>
    <s v="FL-009/2017"/>
    <x v="1"/>
    <d v="2017-11-29T00:00:00"/>
    <m/>
    <m/>
    <m/>
    <m/>
    <s v="CALCELADA E SUBSTITUÍDA POR FL-001/2018"/>
    <s v="VITOR/13/06/2025"/>
  </r>
  <r>
    <s v="FL-0417"/>
    <x v="0"/>
    <m/>
    <s v="2017-0134508-7"/>
    <d v="2017-08-24T00:00:00"/>
    <x v="0"/>
    <s v="TRISUL MUTISIA EMPREENDIMENTOS IMOBILIÁRIOS SPE LTDA"/>
    <s v="13334572/0001-59;"/>
    <m/>
    <s v="RUA PROFESSOR VAHIA DE ABREU Nº 19, 21, 31, 33, 41, 53"/>
    <x v="1"/>
    <x v="0"/>
    <s v="299115;"/>
    <s v="0029-0; 0030-4; 0031-2; 0034-7; 0037-1; 0065-7;"/>
    <n v="1419.78"/>
    <s v="R"/>
    <n v="2839.44"/>
    <m/>
    <n v="2839.44"/>
    <s v="CEPAC (título)"/>
    <m/>
    <m/>
    <n v="1136"/>
    <n v="1136"/>
    <s v="FL-001/2018"/>
    <x v="0"/>
    <d v="2018-01-22T00:00:00"/>
    <m/>
    <m/>
    <m/>
    <m/>
    <m/>
    <s v="VITOR/13/06/2025"/>
  </r>
  <r>
    <s v="FL-0418"/>
    <x v="0"/>
    <m/>
    <s v="2018-0003879-4"/>
    <d v="2018-01-15T00:00:00"/>
    <x v="0"/>
    <s v="CI 0002 EMPREENDIMENTOS IMOBILIÁRIOS S/A"/>
    <s v="26307659/0001-89;"/>
    <m/>
    <s v="RUA LEOPOLDO COUTO DE MAGALHÃES Nº 1185"/>
    <x v="0"/>
    <x v="0"/>
    <s v="299020;"/>
    <s v="0125-2; 0126-0; 0139-2;"/>
    <n v="1125"/>
    <s v="R"/>
    <n v="3375"/>
    <m/>
    <n v="3375"/>
    <s v="CEPAC (título)"/>
    <m/>
    <n v="2597"/>
    <n v="750"/>
    <n v="3347"/>
    <s v="FL-003/2018"/>
    <x v="0"/>
    <d v="2018-03-05T00:00:00"/>
    <m/>
    <m/>
    <m/>
    <m/>
    <m/>
    <s v="VITOR/13/06/2025"/>
  </r>
  <r>
    <s v="FL-0420"/>
    <x v="0"/>
    <s v="7810.2018/0000936-7"/>
    <m/>
    <d v="2018-11-22T00:00:00"/>
    <x v="0"/>
    <s v="JAC INCORPORAÇÃO E CONSTRUÇÃO SPE LTDA"/>
    <s v="29247473/0001-70;"/>
    <m/>
    <s v="AVENIDA SABIÁ Nº 20, 26, 28, 38, 40 X RUA DIOGO JACOME Nº 763, 775, 785, 797"/>
    <x v="3"/>
    <x v="0"/>
    <s v="041060;"/>
    <s v="0035-0; 0036-9; 0037-7; 0038-5; 0039-3; 0040-7; 0105-5;"/>
    <n v="2162"/>
    <s v="R"/>
    <n v="6486"/>
    <m/>
    <n v="6486"/>
    <s v="CEPAC (título)"/>
    <m/>
    <n v="4324"/>
    <m/>
    <n v="4324"/>
    <s v="FL-003/2019"/>
    <x v="0"/>
    <d v="2019-04-30T00:00:00"/>
    <m/>
    <m/>
    <m/>
    <m/>
    <m/>
    <s v="VITOR/13/06/2025"/>
  </r>
  <r>
    <s v="FL-0421"/>
    <x v="0"/>
    <s v="7810.2019/0000248-8"/>
    <m/>
    <d v="2019-03-15T00:00:00"/>
    <x v="0"/>
    <s v="M. A. R. MARSELHA DESENVOLVIMENTO IMOBILIÁRIO LTDA"/>
    <s v="20125711/0001-08;"/>
    <m/>
    <s v="AVENIDA DOUTOR HÉLIO PELEGRINO 568, 578, S/Nº COM RUA QUIÇABA 97, 103, 109, 119, 135, 147"/>
    <x v="1"/>
    <x v="0"/>
    <s v="041057;"/>
    <s v="0011-1; 0012-1; 0015-4; 0018-9; 0039-1; 0040-5; 0041-3; 0042-1"/>
    <n v="1558.78"/>
    <s v="R"/>
    <n v="520.47659999999996"/>
    <m/>
    <n v="520.47659999999996"/>
    <s v="CEPAC (título)"/>
    <m/>
    <n v="347"/>
    <m/>
    <n v="347"/>
    <s v="FL-005/2019"/>
    <x v="1"/>
    <d v="2019-07-04T00:00:00"/>
    <m/>
    <m/>
    <m/>
    <m/>
    <s v="CANCELADA E SUBSTITUÍDA POR FL-007/2020"/>
    <s v="VITOR/13/06/2025"/>
  </r>
  <r>
    <s v="FL-0421"/>
    <x v="0"/>
    <s v="1010.2019/0002318-8"/>
    <m/>
    <d v="2019-12-12T00:00:00"/>
    <x v="0"/>
    <s v="M. A. R. MARSELHA DESENVOLVIMENTO IMOBILIÁRIO LTDA"/>
    <s v="20125711/0001-08;"/>
    <m/>
    <s v="AVENIDA DOUTOR HÉLIO PELEGRINO 568, 578, S/Nº COM RUA QUIÇABA 97, 103, 109, 119, 135, 147"/>
    <x v="1"/>
    <x v="0"/>
    <s v="041057;"/>
    <s v="0011-1; 0012-1; 0015-4; 0018-9; 0039-1; 0040-5; 0041-3; 0042-1"/>
    <n v="1558.78"/>
    <s v="R"/>
    <n v="4676.34"/>
    <m/>
    <n v="4676.34"/>
    <s v="CEPAC (título)"/>
    <m/>
    <n v="3118"/>
    <m/>
    <n v="3118"/>
    <s v="FL-007/2020"/>
    <x v="1"/>
    <d v="2020-05-27T00:00:00"/>
    <m/>
    <m/>
    <m/>
    <m/>
    <s v="CANCELADA E SUBSTITUÍDA POR FL-017/2020"/>
    <s v="VITOR/13/06/2025"/>
  </r>
  <r>
    <s v="FL-0421"/>
    <x v="0"/>
    <s v="7810.2020/0000570-5"/>
    <m/>
    <d v="2020-06-03T00:00:00"/>
    <x v="0"/>
    <s v="M. A. R. MARSELHA DESENVOLVIMENTO IMOBILIÁRIO LTDA"/>
    <s v="20125711/0001-08;"/>
    <m/>
    <s v="AVENIDA DOUTOR HÉLIO PELEGRINO 568, 578, S/Nº COM RUA QUIÇABA 97, 103, 109, 119, 135, 147"/>
    <x v="1"/>
    <x v="0"/>
    <s v="041057;"/>
    <s v="0011-1; 0012-1; 0015-4; 0018-9; 0039-1; 0040-5; 0041-3; 0042-1"/>
    <n v="1558.78"/>
    <s v="R"/>
    <n v="4676.34"/>
    <m/>
    <n v="4676.34"/>
    <s v="CEPAC (título)"/>
    <m/>
    <n v="3118"/>
    <n v="1040"/>
    <n v="4158"/>
    <s v="FL-017/2020"/>
    <x v="0"/>
    <d v="2020-09-16T00:00:00"/>
    <m/>
    <m/>
    <m/>
    <m/>
    <m/>
    <s v="VITOR/13/06/2025"/>
  </r>
  <r>
    <s v="FL-0422"/>
    <x v="0"/>
    <s v="7810.2019/0000361-1"/>
    <m/>
    <d v="2019-04-16T00:00:00"/>
    <x v="0"/>
    <s v="ROTTERDAM EMPREENDIMENTO E PARTICIPAÇÕES SPE LTDA"/>
    <s v="17316689/0001-60;"/>
    <m/>
    <s v="AVENIDA HÉLIO PELEGRINO X RUA MARCOS LOPES, Nº 277, 287, 289, 297, 305, 311, 317, 325, 337, 345, 365 X RUA QUIÇABA Nº 106, 112"/>
    <x v="1"/>
    <x v="0"/>
    <s v="041056;"/>
    <s v="0013-3; 0014-1; 0016-8; 0019-2; 0020-6; 0021-4; 0022-2; 0027-3; 0028-1; 0042-7; 0043-5; 0049-4; 0050-8;"/>
    <n v="2874.25"/>
    <s v="R"/>
    <n v="3888.29"/>
    <m/>
    <n v="3888.29"/>
    <s v="CEPAC (título)"/>
    <m/>
    <n v="2209"/>
    <n v="1904"/>
    <n v="4113"/>
    <s v="FL-010/2019"/>
    <x v="1"/>
    <d v="2019-12-27T00:00:00"/>
    <m/>
    <m/>
    <m/>
    <m/>
    <s v="CANCELADA E SUBSTITUÍDA POR FL-021/2020"/>
    <s v="VITOR/13/06/2025"/>
  </r>
  <r>
    <s v="FL-0422"/>
    <x v="0"/>
    <s v="7810.2020/0000960-3"/>
    <m/>
    <d v="2020-08-26T00:00:00"/>
    <x v="0"/>
    <s v="ROTTERDAM EMPREENDIMENTO E PARTICIPAÇÕES SPE LTDA; GIULIANO PACHECO BERTOLUCCI; OSCAR DOS SANTOS EMBOABA JÚNIOR; LUDIMILA DE SOUZA MIZUNO EMBOABA; JAMES MARCOS DE OLIVEIRA; KAREN SPINOLA CAETANO DE OLIVEIRA"/>
    <s v="17316689/0001-60;"/>
    <s v="135638198-74; 389364258-70; 381581348-40; 170071038-98; 024102717-90;"/>
    <s v="AVENIDA HÉLIO PELEGRINO X RUA MARCOS LOPES, Nº 277, 287, 289, 297, 305, 311, 317, 325, 337, 345, 365 X RUA QUIÇABA Nº 106, 112"/>
    <x v="1"/>
    <x v="0"/>
    <s v="041056;"/>
    <s v="0013-3; 0014-1; 0016-8; 0019-2; 0020-6; 0021-4; 0022-2; 0027-3; 0028-1; 0042-7; 0043-5; 0049-4; 0050-8;"/>
    <n v="2855.8"/>
    <s v="R"/>
    <n v="5470"/>
    <m/>
    <n v="5470"/>
    <s v="CEPAC (título)"/>
    <m/>
    <n v="3266"/>
    <n v="1904"/>
    <n v="5170"/>
    <s v="FL-021/2020"/>
    <x v="0"/>
    <d v="2020-11-09T00:00:00"/>
    <m/>
    <m/>
    <m/>
    <m/>
    <m/>
    <s v="VITOR/13/06/2025"/>
  </r>
  <r>
    <s v="FL-0423"/>
    <x v="0"/>
    <s v="7810.2019/0000948-2"/>
    <m/>
    <d v="2019-10-09T00:00:00"/>
    <x v="0"/>
    <s v="SPE BANDEIRA INCORPORAÇÃO S. A."/>
    <s v="12348138/0001-65;"/>
    <m/>
    <s v="RUA DOUTOR EDUARDO DE SOUZA ARANHA Nº 242, 246, 252, 260 E RUA BANDEIRA PAULISTA Nº 995, 1005, 1009"/>
    <x v="1"/>
    <x v="0"/>
    <s v="016067;"/>
    <s v="0064-5; 0084-1; 0085-8; 0365-2;"/>
    <n v="1280.19"/>
    <s v="R"/>
    <n v="3579.93"/>
    <m/>
    <n v="3579.93"/>
    <s v="CEPAC (título)"/>
    <m/>
    <n v="1433"/>
    <m/>
    <n v="1433"/>
    <s v="FL-001/2020"/>
    <x v="1"/>
    <d v="2020-04-22T00:00:00"/>
    <m/>
    <m/>
    <m/>
    <m/>
    <s v="PROCESSOS RELACIONADOS: 7810.2019/0001114-2;1010.2019/0002314-5;"/>
    <s v="VITOR/16/06/2025"/>
  </r>
  <r>
    <s v="FL-0423"/>
    <x v="0"/>
    <s v="7810.2020/0000757-0"/>
    <m/>
    <d v="2020-07-10T00:00:00"/>
    <x v="0"/>
    <s v="SPE BANDEIRA INCORPORAÇÃO S. A."/>
    <s v="12348138/0001-65;"/>
    <m/>
    <s v="RUA DOUTOR EDUARDO DE SOUZA ARANHA Nº 242, 246, 252, 260 E RUA BANDEIRA PAULISTA Nº 995, 1005, 1009"/>
    <x v="1"/>
    <x v="0"/>
    <s v="016067;"/>
    <s v="0064-5; 0084-1; 0085-8; 0365-2;"/>
    <n v="1280.19"/>
    <s v="R"/>
    <n v="3834.69"/>
    <m/>
    <n v="3834.69"/>
    <s v="CEPAC (título)"/>
    <m/>
    <n v="1535"/>
    <m/>
    <n v="1535"/>
    <s v="FL-019/2020"/>
    <x v="0"/>
    <d v="2020-10-07T00:00:00"/>
    <m/>
    <m/>
    <m/>
    <m/>
    <s v="CANCELA E SUBSTITUI FL-001/2020"/>
    <s v="VITOR/16/06/2025"/>
  </r>
  <r>
    <s v="FL-0424"/>
    <x v="0"/>
    <s v="7810.2021/0000688-6"/>
    <m/>
    <d v="2021-04-30T00:00:00"/>
    <x v="0"/>
    <s v="PARTAGE EMPREENDIMENTOS E PARTICIPACOES S/A."/>
    <s v="01987230/0001-59;"/>
    <m/>
    <s v="RUA PROFESSOR ATILIO INNOCENTI; RUA CALIMAQUE; AVENIDA BRIGADEIRO FARIA LIMA"/>
    <x v="1"/>
    <x v="0"/>
    <s v="299129;"/>
    <s v="0019-5;"/>
    <n v="3164.28"/>
    <s v="NR"/>
    <m/>
    <n v="1268.24"/>
    <n v="1268.24"/>
    <s v="CEPAC (título)"/>
    <m/>
    <n v="4"/>
    <m/>
    <n v="4"/>
    <s v="FL-008/2021"/>
    <x v="1"/>
    <d v="2021-12-16T00:00:00"/>
    <m/>
    <m/>
    <m/>
    <m/>
    <m/>
    <s v="AMANDA/23/06/2025"/>
  </r>
  <r>
    <s v="FL-0425"/>
    <x v="0"/>
    <s v="7810.2019/0001000-6"/>
    <m/>
    <d v="2019-10-29T00:00:00"/>
    <x v="0"/>
    <s v="VILLAGIO 31 EMPREENDIMENTO IMOBILIARIO SPE LTDA."/>
    <s v="29040291/0001-23;"/>
    <m/>
    <s v="RUA PROFESSOR ARTHUR RAMOS, 100; RUA FREI GALVAO, 67;"/>
    <x v="0"/>
    <x v="0"/>
    <s v="083067;"/>
    <s v="0049-1; 0052-1; 0053-8; 0054-6;"/>
    <n v="1200"/>
    <s v="R"/>
    <n v="3600"/>
    <m/>
    <n v="3600"/>
    <s v="CEPAC (título)"/>
    <m/>
    <n v="3273"/>
    <n v="800"/>
    <n v="4073"/>
    <s v="FL-008/2020"/>
    <x v="0"/>
    <d v="2020-06-02T00:00:00"/>
    <m/>
    <m/>
    <m/>
    <m/>
    <m/>
    <s v="AMANDA/23/06/2025"/>
  </r>
  <r>
    <s v="FL-0426"/>
    <x v="0"/>
    <s v="7810.2019/0001006-5"/>
    <m/>
    <d v="2019-10-30T00:00:00"/>
    <x v="0"/>
    <s v="SEQ11 EMPREENDIMENTOS IMOBILIARIOS LTDA."/>
    <s v="31694506/0001-71;"/>
    <m/>
    <s v="RUA JOAQUIM FLORIANO, 1117, 1119, 1125 E 1137"/>
    <x v="1"/>
    <x v="0"/>
    <s v="299014;"/>
    <s v="0052-8; 0053-6; 0054-4; 0055-2;"/>
    <n v="1020.5"/>
    <s v="R"/>
    <n v="3226.86"/>
    <m/>
    <n v="3226.86"/>
    <s v="CEPAC (título)"/>
    <m/>
    <n v="1291"/>
    <m/>
    <n v="1291"/>
    <s v="FL-002/2020"/>
    <x v="1"/>
    <d v="2020-04-17T00:00:00"/>
    <m/>
    <m/>
    <m/>
    <m/>
    <s v="CANCELADA PELA CERTIDÃO FL-022/2020"/>
    <s v="AMANDA/23/06/2025"/>
  </r>
  <r>
    <s v="FL-0426"/>
    <x v="0"/>
    <s v="7810.2020/0000626-4"/>
    <m/>
    <d v="2020-06-16T00:00:00"/>
    <x v="0"/>
    <s v="SEQ11 EMPREENDIMENTOS IMOBILIARIOS LTDA."/>
    <s v="31694506/0001-71;"/>
    <m/>
    <s v="RUA JOAQUIM FLORIANO, 1117, 1119, 1125 E 1137"/>
    <x v="1"/>
    <x v="2"/>
    <s v="299014;"/>
    <s v="0052-8; 0053-6; 0054-4; 0055-2;"/>
    <n v="1075.6199999999999"/>
    <s v="R"/>
    <n v="3226.86"/>
    <m/>
    <n v="3226.86"/>
    <s v="CEPAC (título)"/>
    <m/>
    <n v="1291"/>
    <n v="718"/>
    <n v="2009"/>
    <s v="FL-022/2020"/>
    <x v="1"/>
    <d v="2020-12-03T00:00:00"/>
    <m/>
    <m/>
    <m/>
    <m/>
    <s v="CANCELA A CERTIDÃO FL-002/2020 | CANCELADA PELA CERTIDÃO FL-001/2021"/>
    <s v="AMANDA/23/06/2025"/>
  </r>
  <r>
    <s v="FL-0426"/>
    <x v="0"/>
    <s v="7810.2020/0000626-4"/>
    <m/>
    <d v="2020-06-16T00:00:00"/>
    <x v="0"/>
    <s v="SEQ11 EMPREENDIMENTOS IMOBILIARIOS LTDA."/>
    <s v="31694506/0001-71;"/>
    <m/>
    <s v="RUA JOAQUIM FLORIANO, 1117, 1119, 1125 E 1137"/>
    <x v="1"/>
    <x v="2"/>
    <s v="299014;"/>
    <s v="0052-8; 0053-6; 0054-4; 0055-2;"/>
    <n v="1075.6199999999999"/>
    <s v="R"/>
    <n v="3226.86"/>
    <m/>
    <n v="3226.86"/>
    <s v="CEPAC (título)"/>
    <m/>
    <n v="1291"/>
    <n v="718"/>
    <n v="2009"/>
    <s v="FL-001/2021"/>
    <x v="0"/>
    <d v="2021-02-11T00:00:00"/>
    <m/>
    <m/>
    <m/>
    <m/>
    <s v="CANCELA A CERTIDÃO FL-022/2020"/>
    <s v="AMANDA/23/06/2025"/>
  </r>
  <r>
    <s v="FL-0427"/>
    <x v="0"/>
    <s v="7810.2019/0001061-8"/>
    <m/>
    <d v="2019-11-12T00:00:00"/>
    <x v="0"/>
    <s v="PMJ EMPREENDIMENTOS IMOBILIARIOS S.A."/>
    <s v="07440775/0001-27;"/>
    <m/>
    <s v="RUA DESEMBARGADOR AGUIAR VALIM, 125, 135 E 145; RUA DOUTOR SODRE, 72, 82, 84, 94 E 106"/>
    <x v="1"/>
    <x v="0"/>
    <s v="016163;"/>
    <s v="0007-8; 0008-6; 0027-2; 0028-0; 0029-9; 0094-9; 0095-7; "/>
    <n v="2110.5"/>
    <s v="NR"/>
    <m/>
    <n v="6331.5"/>
    <n v="6331.5"/>
    <s v="CEPAC (título)"/>
    <m/>
    <n v="6332"/>
    <m/>
    <n v="6332"/>
    <s v="FL-009/2020"/>
    <x v="0"/>
    <d v="2020-06-02T00:00:00"/>
    <m/>
    <m/>
    <m/>
    <m/>
    <m/>
    <s v="AMANDA/23/06/2025"/>
  </r>
  <r>
    <s v="FL-0428"/>
    <x v="0"/>
    <s v="7810.2019/0001144-4"/>
    <m/>
    <d v="2020-06-12T00:00:00"/>
    <x v="0"/>
    <s v="SAO JOSE DESENVOLVIMENTO IMOBILIARIO 20 LTDA."/>
    <s v="08973230/0001-49;"/>
    <m/>
    <s v="RUA FERNANDES DE ABREU, 172, 182, 188, 192, 198, 200, 204, CASAS 01, 02, 03, 04 COM ENTRADA PELA RUA FERNANDES DE ABREU, 208; RUA DOS GARIMPEIROS, 58, 48, 44, 40 E RUA LEOPOLDO COUTO DE MAGALHAES JUNIOR, 1265, 1285, S/N, E 1287"/>
    <x v="0"/>
    <x v="0"/>
    <s v="299019;"/>
    <s v="0011-3; 0012-1; 0013-1; 0015-6; 0016-4; 0017-2; 0018-0; 0019-9; 0020-2; 0021-0; 0022-9; 0023-7; 0040-7; 0041-5; 0054-7; 0055-5; 0088-1; 0089-1;"/>
    <n v="2219.54"/>
    <s v="R"/>
    <n v="6658.62"/>
    <m/>
    <n v="6658.62"/>
    <s v="CEPAC (título)"/>
    <m/>
    <n v="5123"/>
    <m/>
    <n v="5123"/>
    <s v="FL-013/2020"/>
    <x v="1"/>
    <d v="2020-06-12T00:00:00"/>
    <m/>
    <m/>
    <m/>
    <m/>
    <s v="CANCELADA PELA CERTIDÃO FL-010/2021"/>
    <s v="AMANDA/23/06/2025"/>
  </r>
  <r>
    <s v="FL-0428"/>
    <x v="0"/>
    <s v="7810.2021/0001520-6"/>
    <m/>
    <d v="2021-10-20T00:00:00"/>
    <x v="0"/>
    <s v="SAO JOSE DESENVOLVIMENTO IMOBILIARIO 20 LTDA."/>
    <s v="08973230/0001-49;"/>
    <m/>
    <s v="RUA FERNANDES DE ABREU, 172, 182, 188, 192, 198, 200, 204, CASAS 01, 02, 03, 04 COM ENTRADA PELA RUA FERNANDES DE ABREU, 208; RUA DOS GARIMPEIROS, 58, 48, 44, 40 E RUA LEOPOLDO COUTO DE MAGALHAES JUNIOR, 1265, 1285, S/N, E 1287"/>
    <x v="0"/>
    <x v="2"/>
    <s v="299019;"/>
    <s v="0011-3; 0012-1; 0013-1; 0015-6; 0016-4; 0017-2; 0018-0; 0019-9; 0020-2; 0021-0; 0022-9; 0023-7; 0040-7; 0041-5; 0054-7; 0055-5; 0088-1; 0089-1;"/>
    <n v="2326.98"/>
    <s v="R"/>
    <n v="6609.45"/>
    <m/>
    <n v="6609.45"/>
    <s v="CEPAC (título)"/>
    <m/>
    <n v="5085"/>
    <m/>
    <n v="5085"/>
    <s v="FL-010/2021"/>
    <x v="0"/>
    <d v="2022-03-08T00:00:00"/>
    <m/>
    <m/>
    <m/>
    <m/>
    <s v="CANCELA A CERTIDÃO FL-008/2021 - REDUÇÃO DE ACA E CEPAC - POSSÍVEL DESVINCULAÇÃO"/>
    <s v="AMANDA/23/06/2025"/>
  </r>
  <r>
    <s v="FL-0429"/>
    <x v="0"/>
    <s v="1010.2019/0002306-4"/>
    <m/>
    <d v="2019-12-12T00:00:00"/>
    <x v="0"/>
    <s v="BREF III EMPREENDIMENTOS IMOBILIARIOS 4 S.A.; BREF III EMPREENDIMENTOS IMOBILIARIOS S.A.; BREF III EMPREENDIMENTOS IMOBILIARIOS 6 S.A."/>
    <s v="27187796/0001-05; 27317522/0001-78; 27317722/0001-20;"/>
    <m/>
    <s v="RUA LEOPOLDO COUTO DE MAGALHAES JUNIOR; RUA DOUTOR CHAFIK JUVENAL CHEDE; AVENIDA PRESIDENTE JUSCELINO KUBITSCHEK; RUA JOÃO CACHOEIRA, COM FRENTE PARA A RUA MARIANO AMORIM CARRAO"/>
    <x v="1"/>
    <x v="0"/>
    <s v="016137;"/>
    <s v="0159-4;"/>
    <n v="16840.88"/>
    <s v="NR"/>
    <m/>
    <n v="30367.47"/>
    <n v="30367.47"/>
    <s v="CEPAC (título)"/>
    <m/>
    <n v="27000"/>
    <m/>
    <n v="27000"/>
    <s v="FL-024/2020"/>
    <x v="0"/>
    <d v="2020-12-29T00:00:00"/>
    <m/>
    <m/>
    <m/>
    <m/>
    <m/>
    <s v="AMANDA/23/06/2025"/>
  </r>
  <r>
    <s v="FL-0430"/>
    <x v="0"/>
    <s v="1010.2019/0002309-9"/>
    <m/>
    <d v="2019-12-12T00:00:00"/>
    <x v="0"/>
    <s v="COMERCIAL RUBAIYAT LTDA.; ESPOLIO DE BELAMINO FERNANDES IGLESIAS;"/>
    <s v="61585295/0001-08;"/>
    <s v="012558178-52;"/>
    <s v="RUA LEOPOLDO COUTO DE MAGALHAES JUNIOR, 1136 E 1142; RUA JUSSEAPE, 11 E 13"/>
    <x v="0"/>
    <x v="0"/>
    <s v="299016;"/>
    <s v="0045-4; 0046-2; 0070-5; 0075-6;"/>
    <n v="1793.61"/>
    <s v="R"/>
    <n v="5380.83"/>
    <m/>
    <n v="5380.83"/>
    <s v="CEPAC (título)"/>
    <m/>
    <n v="4140"/>
    <m/>
    <n v="4140"/>
    <s v="FL-005/2020"/>
    <x v="0"/>
    <d v="2020-05-26T00:00:00"/>
    <m/>
    <m/>
    <m/>
    <m/>
    <m/>
    <s v="AMANDA/23/06/2025"/>
  </r>
  <r>
    <s v="FL-0431"/>
    <x v="0"/>
    <s v="1010.2019/0002311-0"/>
    <m/>
    <d v="2019-12-12T00:00:00"/>
    <x v="0"/>
    <s v="PARDAL MARROM PARTICIPACOES S.A."/>
    <s v="17986777/0001-70;"/>
    <m/>
    <s v="AVENIDA HELIO PELLEGRINO, 622, S/N (ANTIGO 136), S/N (ANTIGO 138); RUA QUICABA, 124, 130, 134"/>
    <x v="1"/>
    <x v="0"/>
    <s v="041056;"/>
    <s v="0024-9; 0051-6; 0023-0; 0026-5; 0025-7;"/>
    <n v="1173.5"/>
    <s v="R"/>
    <n v="2065.48"/>
    <m/>
    <n v="2065.48"/>
    <s v="CEPAC (título)"/>
    <m/>
    <n v="1377"/>
    <n v="783"/>
    <n v="2160"/>
    <s v="FL-023/2020"/>
    <x v="1"/>
    <d v="2020-12-17T00:00:00"/>
    <m/>
    <m/>
    <m/>
    <m/>
    <s v="CANCELADA PELA CERTIDÃO FL-005/2022"/>
    <s v="AMANDA/23/06/2025"/>
  </r>
  <r>
    <s v="FL-0431"/>
    <x v="0"/>
    <s v="1010.2021/0009850-5"/>
    <m/>
    <d v="2021-10-18T00:00:00"/>
    <x v="0"/>
    <s v="PARDAL MARROM PARTICIPACOES S.A."/>
    <s v="17986777/0001-70;"/>
    <m/>
    <s v="AVENIDA HELIO PELLEGRINO, 622; RUA QUICABA, 124, 130, 134"/>
    <x v="1"/>
    <x v="2"/>
    <s v="041056;"/>
    <s v="0024-9; 0051-6; 0023-0; 0026-5; 0025-7;"/>
    <n v="1173.5"/>
    <s v="R"/>
    <n v="3520.5"/>
    <m/>
    <n v="3520.5"/>
    <s v="CEPAC (título)"/>
    <m/>
    <n v="2347"/>
    <n v="783"/>
    <n v="3130"/>
    <s v="FL-005/2022"/>
    <x v="0"/>
    <d v="2022-05-30T00:00:00"/>
    <m/>
    <m/>
    <m/>
    <m/>
    <s v="CANCELA A CERTIDÃO FL-023/2020 "/>
    <s v="AMANDA/23/06/2025"/>
  </r>
  <r>
    <s v="FL-0432"/>
    <x v="0"/>
    <s v="1010.2019/0002313-7"/>
    <m/>
    <m/>
    <x v="0"/>
    <s v="FORENZA INCORPORACAO SPE LTDA"/>
    <s v="12868476/0001-28;"/>
    <m/>
    <s v="RUA CLODOMIRO AMAZONAS, 495; RUA MACURAPE, 11, 17, 27, 33, 39, 41, 45, 57; RUA LUIS DIAS, 114, 116, 118, 124, 130, 134, 136, 140, 146 e 152"/>
    <x v="1"/>
    <x v="0"/>
    <s v="016135;"/>
    <s v="0019-1; 0020-3; 0021-1; 0022-1; 0023-8; 0024-6; 0025-4; 0026-2; 0038-6; 0037-8; 0028-9; 0029-7; 0030-0; 0031-9; 0032-7; 0039-4; 0040-8;"/>
    <n v="3194.11"/>
    <s v="R"/>
    <n v="8076.31"/>
    <m/>
    <n v="8076.31"/>
    <s v="CEPAC (título)"/>
    <m/>
    <n v="2720"/>
    <n v="2130"/>
    <n v="4850"/>
    <s v="FL-010/2020"/>
    <x v="0"/>
    <d v="2020-06-02T00:00:00"/>
    <m/>
    <m/>
    <m/>
    <m/>
    <s v="ÁREA MAIOR DO TERRENO EM RAZÃO DA PRÓPRIA CERTIDÃO INDICAR A ÁREA PARA CÁLCULO"/>
    <s v="PRISCILA/03/07/2025"/>
  </r>
  <r>
    <s v="FL-0433"/>
    <x v="0"/>
    <s v="7810.2020/0000064-9"/>
    <m/>
    <m/>
    <x v="0"/>
    <s v="MONZA INCORPORACAO SPE LTDA"/>
    <s v="34658836/0001-08;"/>
    <m/>
    <s v="RUA CLODOMIRO AMAZONAS, 511, 521, 529, 535, 541, 543, 547, 549, 551, 553, 555, 557, 561"/>
    <x v="1"/>
    <x v="0"/>
    <s v="016135;"/>
    <s v="0018-1; 0017-3; 0016-5; 0015-7; 0014-9; 0013-0; 0012-2; 0011-4;"/>
    <n v="2010.2"/>
    <s v="R"/>
    <n v="5725.05"/>
    <m/>
    <n v="5725.05"/>
    <s v="CEPAC (título)"/>
    <m/>
    <n v="2130"/>
    <n v="1341"/>
    <n v="3471"/>
    <s v="FL-015/2020"/>
    <x v="0"/>
    <d v="2020-06-30T00:00:00"/>
    <m/>
    <m/>
    <m/>
    <m/>
    <m/>
    <s v="PRISCILA/03/07/2025"/>
  </r>
  <r>
    <s v="FL-0434"/>
    <x v="0"/>
    <s v="1010.2019/0002324-2"/>
    <m/>
    <m/>
    <x v="0"/>
    <s v="UPCON SPE 26 EMPREENDIMENTOS IMOBILIÁRIOS S.A."/>
    <s v="18160464/0001-20;"/>
    <m/>
    <s v="RUA BANDEIRA PAULISTA, 1140"/>
    <x v="1"/>
    <x v="0"/>
    <s v="016155;"/>
    <s v="0058-8; 0032-4; 0033-2;"/>
    <n v="1031.31"/>
    <s v="R"/>
    <n v="1944.95"/>
    <m/>
    <n v="1944.95"/>
    <s v="CEPAC (título)"/>
    <m/>
    <n v="778"/>
    <m/>
    <n v="778"/>
    <s v="FL-016/2020"/>
    <x v="0"/>
    <d v="2020-08-31T00:00:00"/>
    <m/>
    <m/>
    <m/>
    <m/>
    <s v="ACHO QUE ESTÁ CANCELADA (CERTIDÃO VÁLIDA). COMPLEMENTA FL-001/2022 LC"/>
    <s v="PRISCILA/03/07/2025"/>
  </r>
  <r>
    <s v="FL-0434"/>
    <x v="0"/>
    <s v="7810.2021/0001569-9"/>
    <m/>
    <m/>
    <x v="0"/>
    <s v="UPCON SPE 26 EMPREENDIMENTOS IMOBILIÁRIOS S.A."/>
    <s v="18160464/0001-20;"/>
    <m/>
    <s v="RUA BANDEIRA PAULISTA, 1140"/>
    <x v="1"/>
    <x v="2"/>
    <s v="016155;"/>
    <s v="0058-8; 0032-4; 0033-2;"/>
    <n v="1031.31"/>
    <s v="R"/>
    <n v="1150"/>
    <m/>
    <n v="1150"/>
    <s v="CEPAC (título)"/>
    <m/>
    <n v="460"/>
    <n v="688"/>
    <n v="1148"/>
    <s v="FL-001/2022"/>
    <x v="0"/>
    <d v="2022-02-21T00:00:00"/>
    <m/>
    <m/>
    <m/>
    <m/>
    <s v="ACHO QUE CANCELA A CERTIDÃO FL-016/2020  (CERTIDÃO VÁLIDA). COMPLEMENTA FL-016/2020 LC"/>
    <s v="PRISCILA/03/07/2025"/>
  </r>
  <r>
    <s v="FL-0435"/>
    <x v="0"/>
    <s v="1010.2019/0002327-7"/>
    <m/>
    <m/>
    <x v="0"/>
    <s v="M.A.R. TRENTO DESENVOLVIMENTO IMOBILIÁRIO SPE LTDA"/>
    <s v="30626376/0001-77;"/>
    <m/>
    <s v="AVENIDA CIDADE JARDIM, 1013, 993; RUA JACURI, 208, 220"/>
    <x v="0"/>
    <x v="0"/>
    <s v="299004;"/>
    <s v="0113-1; 0110-5; 0090-7; 0140-7;"/>
    <n v="2945.65"/>
    <s v="R"/>
    <n v="6636.84"/>
    <m/>
    <n v="6636.84"/>
    <s v="CEPAC (título)"/>
    <m/>
    <n v="5498"/>
    <m/>
    <n v="5498"/>
    <s v="FL-014/2020"/>
    <x v="1"/>
    <d v="2020-06-15T00:00:00"/>
    <m/>
    <m/>
    <m/>
    <m/>
    <s v="CANCELADA PELA CERTIDÃO FL-008/2022"/>
    <s v="PRISCILA/03/07/2025"/>
  </r>
  <r>
    <s v="FL-0435"/>
    <x v="0"/>
    <s v="7810.2022/0000634-9"/>
    <m/>
    <m/>
    <x v="0"/>
    <s v="M.A.R. TRENTO DESENVOLVIMENTO IMOBILIÁRIO SPE LTDA"/>
    <s v="30626376/0001-77;"/>
    <m/>
    <s v="AVENIDA CIDADE JARDIM, 1013, 993; RUA JACURI, 208, 220"/>
    <x v="0"/>
    <x v="2"/>
    <s v="299004;"/>
    <s v="0113-1; 0110-5; 0090-7; 0140-7;"/>
    <n v="2945.65"/>
    <s v="R"/>
    <n v="6716.08"/>
    <m/>
    <n v="6716.08"/>
    <s v="CEPAC (título)"/>
    <m/>
    <n v="5570"/>
    <m/>
    <n v="5570"/>
    <s v="FL-008/2022"/>
    <x v="0"/>
    <d v="2022-08-30T00:00:00"/>
    <m/>
    <m/>
    <m/>
    <m/>
    <s v="CANCELA A CERTIDÃO FL-014/2020"/>
    <s v="PRISCILA/03/07/2025"/>
  </r>
  <r>
    <s v="FL-0436"/>
    <x v="0"/>
    <s v="1010.2019/0002332-3"/>
    <m/>
    <m/>
    <x v="0"/>
    <s v="DUBLIN EMPREENDIMENTO IMOBILIÁRIO SPE S/A; RB CAPITAL COMPANHIA DE SECURITIZAÇÃO"/>
    <s v="28299657/0001-10; 02773542/0001-22;"/>
    <m/>
    <s v="RUA LEOPOLDO COUTO DE MAGALHAES JUNIOR, 88; RUA PROFESSOR ATILIO INNOCENTI, 71"/>
    <x v="1"/>
    <x v="0"/>
    <s v="299018;"/>
    <s v="0083-6; 0024-0; 0142-5;"/>
    <n v="1808"/>
    <s v="NR"/>
    <m/>
    <n v="5003.82"/>
    <n v="5003.82"/>
    <s v="CEPAC (título)"/>
    <m/>
    <n v="5004"/>
    <m/>
    <n v="5004"/>
    <s v="FL-003/2020"/>
    <x v="0"/>
    <d v="2020-04-17T00:00:00"/>
    <m/>
    <m/>
    <m/>
    <m/>
    <m/>
    <s v="PRISCILA/03/07/2025"/>
  </r>
  <r>
    <s v="FL-0437"/>
    <x v="0"/>
    <s v="1010.2019/0002334-0"/>
    <m/>
    <m/>
    <x v="0"/>
    <s v="JHSF PARTICIPAÇOES S.A.; MARCELO AGUIAR FASANO; TANIA MARIA AGUIAR FASANO MEIRELES; ESPOLIO DE SANDRA MARIA AGUIAR FASANO"/>
    <s v="08294224/0001-65;"/>
    <s v="073316398-03; 042461398-07; 042461408-13;"/>
    <s v="RUA LEOPOLDO COUTO DE MAGALHAES JUNIOR, 912; RUA PROFESSOR ATILIO INNOCENTI, 54, 62 - 62 FUNDOS"/>
    <x v="1"/>
    <x v="0"/>
    <s v="299127;"/>
    <s v="0024-2; 0025-0; 0005-6;"/>
    <n v="3045"/>
    <s v="NR"/>
    <m/>
    <n v="5999.87"/>
    <n v="5999.87"/>
    <s v="CEPAC (título)"/>
    <m/>
    <n v="6000"/>
    <m/>
    <n v="6000"/>
    <s v="FL-004/2020"/>
    <x v="1"/>
    <d v="2020-04-17T00:00:00"/>
    <m/>
    <m/>
    <m/>
    <m/>
    <m/>
    <s v="PRISCILA/03/07/2025"/>
  </r>
  <r>
    <s v="FL-0437"/>
    <x v="0"/>
    <s v="7810.2020/0000805-4"/>
    <m/>
    <m/>
    <x v="0"/>
    <s v="JHSF PARTICIPAÇOES S.A.; MARCELO AGUIAR FASANO; TANIA MARIA AGUIAR FASANO MEIRELES; ESPOLIO DE SANDRA MARIA AGUIAR FASANO, REPRESENTADA PELA INVENTARIANTE ALESSANDRA AGUIAR FASANO SOARES VAZ DOS SANTOS"/>
    <s v="08294224/0001-65;"/>
    <s v="073316398-03; 042461398-07; 042461408-13; 310769148-88"/>
    <s v="RUA LEOPOLDO COUTO DE MAGALHAES JUNIOR, 912; RUA PROFESSOR ATILIO INNOCENTI, 54, 62 - 62 FUNDOS"/>
    <x v="1"/>
    <x v="2"/>
    <s v="299127;"/>
    <s v="0024-2; 0025-0; 0005-6;"/>
    <n v="3045"/>
    <s v="NR"/>
    <m/>
    <n v="7319.88"/>
    <n v="7319.88"/>
    <s v="CEPAC (título)"/>
    <m/>
    <n v="7320"/>
    <m/>
    <n v="7320"/>
    <s v="FL-020/2020"/>
    <x v="1"/>
    <d v="2020-10-07T00:00:00"/>
    <m/>
    <m/>
    <m/>
    <m/>
    <s v="CANCELA A CERTIDÃO FL-004/2020. SUBSTITUÍDA PELA CERTIDÃO FL-020/2020."/>
    <s v="PRISCILA/03/07/2025"/>
  </r>
  <r>
    <s v="FL-0437"/>
    <x v="0"/>
    <s v="7810.2020/0001527-1"/>
    <m/>
    <m/>
    <x v="0"/>
    <s v="JHSF PARTICIPAÇOES S.A.; MARCELO AGUIAR FASANO; TANIA MARIA AGUIAR FASANO MEIRELES; ESPOLIO DE SANDRA MARIA AGUIAR FASANO;"/>
    <s v="08294224/0001-65;"/>
    <s v="073316398-03; 042461398-07; 042461408-13; "/>
    <s v="RUA LEOPOLDO COUTO DE MAGALHAES ESQUINA COM AVENIDA BRIGADEIRO FARIA LIMA; RUA LEOPOLDO COUTO DE MAGALHAES JUNIOR, 912;  RUA PROFESSOR ATILIO INNOCENTI, 54, 62 - 62 FUNDOS"/>
    <x v="1"/>
    <x v="2"/>
    <s v="299127;"/>
    <s v="0024-2; 0025-0; 0005-6; 0007-2; "/>
    <n v="3776.4"/>
    <s v="NR"/>
    <m/>
    <n v="5855.69"/>
    <n v="5855.69"/>
    <s v="CEPAC (título)"/>
    <m/>
    <n v="7320"/>
    <m/>
    <n v="7320"/>
    <s v="FL-007/2021"/>
    <x v="1"/>
    <d v="2021-11-12T00:00:00"/>
    <m/>
    <m/>
    <m/>
    <m/>
    <s v="CANCELA A CERTIDÃO FL-020/2020. SUBSTITUÍDA PELA CERTIDÃO FL-007/2021."/>
    <s v="PRISCILA/03/07/2025"/>
  </r>
  <r>
    <s v="FL-0437"/>
    <x v="0"/>
    <s v="1010.2021/0009842-4"/>
    <m/>
    <m/>
    <x v="0"/>
    <s v="JHSF PARTICIPAÇOES S.A.; MARCELO AGUIAR FASANO; TANIA MARIA AGUIAR FASANO MEIRELES; ESPOLIO DE SANDRA MARIA AGUIAR FASANO, REPRESENTADA PELA INVENTARIANTE ALESSANDRA AGUIAR FASANO SOARES VAZ DOS SANTOS"/>
    <s v="08294224/0001-65;"/>
    <s v="073316398-03; 042461398-07; 042461408-13; 310769148-88"/>
    <s v="RUA LEOPOLDO COUTO DE MAGALHAES ESQUINA COM AVENIDA BRIGADEIRO FARIA LIMA; RUA LEOPOLDO COUTO DE MAGALHAES JUNIOR, 912;  RUA PROFESSOR ATILIO INNOCENTI, 54, 62 - 62 FUNDOS"/>
    <x v="1"/>
    <x v="2"/>
    <s v="299127;"/>
    <s v="0027-7; 0005-6; 0007-2; "/>
    <n v="3776.4"/>
    <s v="NR"/>
    <m/>
    <n v="9319.7800000000007"/>
    <n v="9319.7800000000007"/>
    <s v="CEPAC (título)"/>
    <m/>
    <n v="9320"/>
    <m/>
    <n v="9320"/>
    <s v="FL-009/2022"/>
    <x v="0"/>
    <d v="2022-10-25T00:00:00"/>
    <m/>
    <m/>
    <m/>
    <m/>
    <s v="CANCELA A CERTIDÃO FL-007/2021. SUBSTITUÍDA PELA CERTIDÃO FL-009/2022."/>
    <s v="PRISCILA/03/07/2025"/>
  </r>
  <r>
    <s v="FL-0439"/>
    <x v="0"/>
    <s v="1010.2022/0000326-3"/>
    <m/>
    <m/>
    <x v="0"/>
    <s v="ACH ENGENHARIA E CONSTRUTORA LTDA"/>
    <s v="52518693/0001-02;"/>
    <m/>
    <s v="RUA INAJAROBA, 32, 38; RUA SAMPAIO GOIS, 113 A 139"/>
    <x v="1"/>
    <x v="0"/>
    <s v="041036;"/>
    <s v="0011-1; 0010-1; 0033-0; 0034-9; 0035-7; 0040-3; 0041-1; 0042-1; 0042-1; 0005-5; 0006-3;"/>
    <n v="1280"/>
    <s v="R"/>
    <n v="3404.8"/>
    <m/>
    <n v="3404.8"/>
    <s v="CEPAC (título)"/>
    <m/>
    <n v="2270"/>
    <m/>
    <n v="2270"/>
    <s v="FL-004/2022"/>
    <x v="0"/>
    <d v="2022-05-16T00:00:00"/>
    <m/>
    <m/>
    <m/>
    <m/>
    <m/>
    <s v="PRISCILA/03/07/2025"/>
  </r>
  <r>
    <s v="FL-0440"/>
    <x v="0"/>
    <s v="1010.2021/0010081-0"/>
    <m/>
    <m/>
    <x v="0"/>
    <s v="SP PINHEIROS EMPREENDIMENTOS IMOBILIARIOS LTDA"/>
    <s v="09274717/0001-04;"/>
    <m/>
    <s v="AVENIDA HORACIO LAFER, 430, 448, 460"/>
    <x v="0"/>
    <x v="0"/>
    <s v="299013;"/>
    <s v="0037-1; 0027-2;"/>
    <n v="2591.13"/>
    <s v="R"/>
    <n v="4966.68"/>
    <m/>
    <n v="4966.68"/>
    <s v="CEPAC (título)"/>
    <m/>
    <n v="3422"/>
    <n v="648"/>
    <n v="4070"/>
    <s v="FL-003/2022"/>
    <x v="1"/>
    <d v="2022-03-14T00:00:00"/>
    <m/>
    <m/>
    <m/>
    <m/>
    <s v="CANCELADA E SUBSTITUÍDA PELA CERTIDÃO FL-006/2022"/>
    <s v="PRISCILA/03/07/2025"/>
  </r>
  <r>
    <s v="FL-0440"/>
    <x v="0"/>
    <s v="7810.2022/0000451-6"/>
    <m/>
    <m/>
    <x v="0"/>
    <s v="SP PINHEIROS EMPREENDIMENTOS IMOBILIARIOS LTDA"/>
    <s v="09274717/0001-04;"/>
    <m/>
    <s v="AVENIDA HORACIO LAFER, 430, 448, 460"/>
    <x v="0"/>
    <x v="2"/>
    <s v="299013;"/>
    <s v="0037-1; 0027-2;"/>
    <n v="2591.13"/>
    <s v="R"/>
    <n v="7773.39"/>
    <m/>
    <n v="7773.39"/>
    <s v="CEPAC (título)"/>
    <m/>
    <n v="5581"/>
    <n v="648"/>
    <n v="6229"/>
    <s v="FL-006/2022"/>
    <x v="0"/>
    <d v="2022-06-30T00:00:00"/>
    <m/>
    <m/>
    <m/>
    <m/>
    <s v="CANCELA E SUBSTITUI A CERTIDÃO FL-003/2022"/>
    <s v="PRISCILA/03/07/2025"/>
  </r>
  <r>
    <s v="FL-0441"/>
    <x v="0"/>
    <s v="7810.2022/0001828-2"/>
    <m/>
    <m/>
    <x v="0"/>
    <s v="OR SP 29 - EMPREENDIMENTO IMOBILIARIO S.A."/>
    <s v="15118489/0001-78;"/>
    <m/>
    <s v="RUA DO CONSORCIO 170, 150, 146, 130; RUA PROFESSOR JOAO BRITO, 94, 104"/>
    <x v="1"/>
    <x v="0"/>
    <s v="016155;"/>
    <s v="0008-1; 0010-3; 0011-1; 0026-1; 0086-3; "/>
    <n v="2840"/>
    <s v="R"/>
    <n v="1136"/>
    <m/>
    <n v="1136"/>
    <s v="CEPAC (título)"/>
    <m/>
    <n v="0"/>
    <n v="0"/>
    <n v="0"/>
    <s v="FL-001/2023"/>
    <x v="0"/>
    <d v="2023-04-19T00:00:00"/>
    <m/>
    <m/>
    <m/>
    <m/>
    <s v="ÁREA CONCEDIDA GRATUITAMENTE, EM VIRTUDE DOS BENEFÍCIOS DE REMEMBRAMENTO E FRUIÇÃO PÚBLICA"/>
    <s v="PRISCILA/03/07/2025"/>
  </r>
  <r>
    <s v="FL-0309"/>
    <x v="0"/>
    <m/>
    <s v="2006-0142101-5"/>
    <m/>
    <x v="0"/>
    <s v="BODUM COMERCIO E PARTICIPACOES LTDA"/>
    <s v="02697906/0001-32;"/>
    <m/>
    <s v="AVENIDA EUSEBIO MATOSO, S/N ESQUINA COM A RUA DIOGO MOREIRA"/>
    <x v="3"/>
    <x v="0"/>
    <s v="015093;"/>
    <s v="0041-4; 0042-2;"/>
    <n v="1200.55"/>
    <s v="NR"/>
    <m/>
    <m/>
    <n v="0"/>
    <s v="CEPAC (título)"/>
    <m/>
    <n v="0"/>
    <n v="601"/>
    <n v="601"/>
    <s v="FL-007/2007"/>
    <x v="0"/>
    <d v="2007-06-20T00:00:00"/>
    <m/>
    <m/>
    <m/>
    <m/>
    <m/>
    <s v="LUCIANA/18/07/2025"/>
  </r>
  <r>
    <s v="FL-0310"/>
    <x v="0"/>
    <m/>
    <s v="2006-0210854-0"/>
    <m/>
    <x v="0"/>
    <s v="IBIRAPUERA INCORPORACAO SPE LTDA"/>
    <s v="07866721/0001-28;"/>
    <m/>
    <s v="RUA TUCUMA, 734"/>
    <x v="0"/>
    <x v="0"/>
    <s v="083197;"/>
    <s v="0467-7;"/>
    <n v="1364.5"/>
    <s v="R"/>
    <n v="4086.3"/>
    <m/>
    <n v="4086.3"/>
    <s v="CEPAC (título)"/>
    <m/>
    <n v="3715"/>
    <n v="0"/>
    <n v="3715"/>
    <s v="FL-009/2007"/>
    <x v="0"/>
    <d v="2007-08-09T00:00:00"/>
    <m/>
    <m/>
    <m/>
    <m/>
    <m/>
    <s v="LUCIANA/18/07/2025"/>
  </r>
  <r>
    <s v="FL-0311"/>
    <x v="0"/>
    <m/>
    <s v="2006-0274892-1"/>
    <m/>
    <x v="0"/>
    <s v="HEPB SPE EMPREENDIMENTO IMOBILIARIO LTDA"/>
    <s v="08227913/0001-57;"/>
    <m/>
    <s v="RUA HUNGRIA, 514; RUA DONA ELISA PEREIRA DE BARROS;RUA IRACI;"/>
    <x v="0"/>
    <x v="0"/>
    <s v="083231;"/>
    <s v="0033-0; 0034-9; 0035-7;"/>
    <n v="2257.61"/>
    <s v="NR"/>
    <m/>
    <m/>
    <n v="0"/>
    <s v="CEPAC (título)"/>
    <m/>
    <n v="0"/>
    <n v="1461"/>
    <n v="1461"/>
    <s v="FL-011/2007"/>
    <x v="0"/>
    <d v="2007-08-21T00:00:00"/>
    <m/>
    <m/>
    <m/>
    <m/>
    <m/>
    <s v="LUCIANA/18/07/2025"/>
  </r>
  <r>
    <s v="FL-0311"/>
    <x v="0"/>
    <m/>
    <s v="2006-0274892-1"/>
    <m/>
    <x v="0"/>
    <s v="HEPB SPE EMPREENDIMENTO IMOBILIARIO LTDA"/>
    <s v="08227913/0001-57;"/>
    <m/>
    <s v="RUA HUNGRIA, 514; RUA DONA ELISA PEREIRA DE BARROS;RUA IRACI;"/>
    <x v="0"/>
    <x v="0"/>
    <s v="083231;"/>
    <s v="0033-0; 0034-9; 0035-7;"/>
    <n v="2257.61"/>
    <s v="NR"/>
    <m/>
    <n v="4564.3100000000004"/>
    <n v="4564.3100000000004"/>
    <s v="CEPAC (título)"/>
    <m/>
    <n v="3804"/>
    <m/>
    <n v="3804"/>
    <s v="FL-013/2007"/>
    <x v="0"/>
    <d v="2007-11-01T00:00:00"/>
    <m/>
    <m/>
    <m/>
    <m/>
    <m/>
    <s v="LUCIANA/18/07/2025"/>
  </r>
  <r>
    <s v="FL-0312"/>
    <x v="0"/>
    <m/>
    <s v="2006-0305188-6"/>
    <m/>
    <x v="0"/>
    <s v="FLEURY S/A"/>
    <s v="60840055/0001-31;"/>
    <m/>
    <s v="AVENIDA PRESIDENTE JUSCELINO KUBITSCHEK, 1117"/>
    <x v="4"/>
    <x v="0"/>
    <s v="299029;"/>
    <s v="0019-2; 0014-1; 0013-3; 0004-4; 0007-9;"/>
    <n v="1322.86"/>
    <s v="NR"/>
    <m/>
    <n v="1977.54"/>
    <n v="1977.54"/>
    <s v="CEPAC (título)"/>
    <m/>
    <n v="2198"/>
    <n v="230"/>
    <n v="2428"/>
    <s v="FL-004/2008"/>
    <x v="1"/>
    <d v="2008-04-04T00:00:00"/>
    <m/>
    <m/>
    <m/>
    <m/>
    <s v="CANCELADA E SUBSTITUÍDA PELA CERTIDÃO FL-003/2016"/>
    <s v="LUCIANA/18/07/2025"/>
  </r>
  <r>
    <s v="FL-0312"/>
    <x v="0"/>
    <m/>
    <s v="2015-0328809-5"/>
    <m/>
    <x v="0"/>
    <s v="FLEURY S/A"/>
    <s v="60840055/0001-31;"/>
    <m/>
    <s v="AVENIDA PRESIDENTE JUSCELINO KUBITSCHEK, 1117, 1119, 1135"/>
    <x v="4"/>
    <x v="2"/>
    <s v="299029;"/>
    <s v="0001-1; 0002-8; 0003-6; 0022-2;"/>
    <n v="1888.66"/>
    <s v="NR"/>
    <m/>
    <n v="1977.43"/>
    <n v="1977.43"/>
    <s v="CEPAC (título)"/>
    <m/>
    <n v="2198"/>
    <n v="56"/>
    <n v="2254"/>
    <s v="FL-003/2016"/>
    <x v="1"/>
    <d v="2016-06-16T00:00:00"/>
    <m/>
    <m/>
    <n v="0.11"/>
    <n v="174"/>
    <s v="CANCELA E SUBSTITUI A CERTIDÃO FL-004/2008. CANCELADA E SUBSTITUÍDA PELA CERTIDÃO  002/2022"/>
    <s v="LUCIANA/18/07/2025"/>
  </r>
  <r>
    <s v="FL-0312"/>
    <x v="0"/>
    <s v="7810.2021/0001417-0"/>
    <m/>
    <m/>
    <x v="0"/>
    <s v="FLEURY S/A"/>
    <s v="60840055/0001-31;"/>
    <m/>
    <s v="AVENIDA PRESIDENTE JUSCELINO KUBITSCHEK, 1117, 1119, 1135; RUA VIZEU, 06, 17, 26, 40, 44, 58, 62"/>
    <x v="4"/>
    <x v="2"/>
    <s v="299029;"/>
    <s v="0001-1; 0002-8; 0003-6; 0022-2;"/>
    <n v="1888.66"/>
    <s v="NR"/>
    <m/>
    <n v="1977.43"/>
    <n v="1977.43"/>
    <s v="CEPAC (título)"/>
    <m/>
    <n v="2198"/>
    <n v="56"/>
    <n v="2254"/>
    <s v="FL-002/2022"/>
    <x v="0"/>
    <d v="2022-03-24T00:00:00"/>
    <m/>
    <m/>
    <m/>
    <m/>
    <s v="CANCELA E SUBSTITUI A CERTIDÃO FL-003/2016"/>
    <s v="LUCIANA/18/07/2025"/>
  </r>
  <r>
    <s v="FL-0312"/>
    <x v="0"/>
    <s v="7810.2021/0001417-0"/>
    <m/>
    <m/>
    <x v="0"/>
    <s v="FLEURY S/A"/>
    <s v="60840055/0001-31;"/>
    <m/>
    <s v="AVENIDA PRESIDENTE JUSCELINO KUBITSCHEK, 1117, 1119, 1135; RUA VIZEU, 06, 17, 26, 40, 44, 58, 62"/>
    <x v="4"/>
    <x v="1"/>
    <s v="299029;"/>
    <s v="0001-1; 0002-8; 0003-6; 0022-2;"/>
    <n v="1888.66"/>
    <s v="NR"/>
    <m/>
    <m/>
    <n v="0"/>
    <s v="CEPAC (título)"/>
    <m/>
    <n v="174"/>
    <m/>
    <n v="174"/>
    <s v="DV-001/2022"/>
    <x v="0"/>
    <d v="2022-03-23T00:00:00"/>
    <m/>
    <m/>
    <m/>
    <m/>
    <s v="NÃO CONSEGUI 0,11 COMO ACA NR"/>
    <s v="LUCIANA/18/07/2025"/>
  </r>
  <r>
    <s v="FL-0313"/>
    <x v="0"/>
    <m/>
    <s v="2006-0329381-2"/>
    <m/>
    <x v="0"/>
    <s v="ROVIC VILA OLIMPIA EMPREENDIMENTOS IMOBILIARIOS SPE LTDA"/>
    <s v="08773380/0001-09;"/>
    <m/>
    <s v="RUA DOUTOR IVO DEFINE FRASCA, 21"/>
    <x v="4"/>
    <x v="0"/>
    <s v="299055;"/>
    <s v="0045-4; 0033-0; 0034-9; 0035-7; 0036-5; 0037-3; 0038-1; 0039-1; 0040-3; 0046-2;"/>
    <n v="1688"/>
    <s v="NR"/>
    <m/>
    <n v="3372.73"/>
    <n v="3372.73"/>
    <s v="CEPAC (título)"/>
    <m/>
    <n v="1350"/>
    <m/>
    <n v="1350"/>
    <s v="FL-015/2007"/>
    <x v="0"/>
    <d v="2007-11-21T00:00:00"/>
    <m/>
    <m/>
    <m/>
    <m/>
    <m/>
    <s v="LUCIANA/18/07/2025"/>
  </r>
  <r>
    <s v="FL-0337"/>
    <x v="0"/>
    <m/>
    <s v="2008-0397221-5"/>
    <m/>
    <x v="0"/>
    <s v="DAVILAR PROJETOS E EMPREENDIMENTOS LTDA"/>
    <s v="43220847/0001-94;"/>
    <m/>
    <s v="RUA JOSE GONCALVES DE OLIVEIRA, RUA MARIA ROSA; TRAVESSA TOLSTOI DE CARVALHO E MELO"/>
    <x v="0"/>
    <x v="0"/>
    <s v="299124;"/>
    <s v="0013-3; 0014-1; 0015-1; 0016-8; 0020-6; 0021-4; 0023-0; 0024-9; 0025-7; 0026-5; 0027-3; 0028-1;"/>
    <n v="2203.77"/>
    <s v="NR"/>
    <m/>
    <n v="6611.31"/>
    <n v="6611.31"/>
    <s v="CEPAC (título)"/>
    <m/>
    <n v="13223"/>
    <n v="0"/>
    <n v="13223"/>
    <s v="FL-005/2009"/>
    <x v="1"/>
    <d v="2009-02-18T00:00:00"/>
    <m/>
    <m/>
    <m/>
    <m/>
    <s v="CANCELADA E SUBSTITUIDA PELA CERTIDAO FL-021/2009"/>
    <s v="LUCIANA/21/07/2025"/>
  </r>
  <r>
    <s v="FL-0337"/>
    <x v="0"/>
    <m/>
    <s v="2008-0397221-5"/>
    <m/>
    <x v="0"/>
    <s v="DAVILAR PROJETOS E EMPREENDIMENTOS LTDA"/>
    <s v="43220847/0001-94;"/>
    <m/>
    <s v="RUA JOSE GONCALVES DE OLIVEIRA, RUA MARIA ROSA; TRAVESSA TOLSTOI DE CARVALHO E MELO"/>
    <x v="0"/>
    <x v="2"/>
    <s v="299124;"/>
    <s v="0013-3; 0014-1; 0015-1; 0016-8; 0020-6; 0021-4; 0023-0; 0024-9; 0025-7; 0026-5; 0027-3; 0028-1; 0022-2;"/>
    <n v="2330.87"/>
    <s v="NR"/>
    <m/>
    <n v="6992.61"/>
    <n v="6992.61"/>
    <s v="CEPAC (título)"/>
    <m/>
    <n v="13986"/>
    <n v="0"/>
    <n v="13986"/>
    <s v="FL-021/2009"/>
    <x v="1"/>
    <d v="2009-12-10T00:00:00"/>
    <m/>
    <m/>
    <m/>
    <m/>
    <s v="CANCELA E SUBSTITUI A CERTIDÃO FL-005/2009. CANCELADA E SUBSTITUIDA PELA CERTIDAO FL-005/2016"/>
    <s v="LUCIANA/21/07/2025"/>
  </r>
  <r>
    <s v="FL-0337"/>
    <x v="0"/>
    <m/>
    <s v="2008-0397221-5"/>
    <m/>
    <x v="0"/>
    <s v="DAVILAR PROJETOS E EMPREENDIMENTOS LTDA; TAMANDUA EMPREENDIMENTOS LTDA; M&amp;V ADMINISTRADAO E PARTICIPACOES LTDA; CA2 ADMINISTRACAO E PARTICIPACOES LTDA; MNC PARTICIPACOES E NEGOCIOS LTDA;"/>
    <s v="43220847/0001-94; 64609258/0001-72; 69122547/0001-66; 10939167/0001-76; 01328182/0001-97;"/>
    <m/>
    <s v="RUA JOSE GONCALVES DE OLIVEIRA, RUA MARIA ROSA; TRAVESSA TOLSTOI DE CARVALHO E MELO"/>
    <x v="0"/>
    <x v="2"/>
    <s v="299124;"/>
    <s v="0013-3; 0014-1; 0015-1; 0016-8; 0020-6; 0021-4; 0023-0; 0024-9; 0025-7; 0026-5; 0027-3; 0028-1; 0022-2; 0012-5"/>
    <n v="2654.87"/>
    <s v="NR"/>
    <m/>
    <n v="945.45000000000073"/>
    <n v="945.45000000000073"/>
    <s v="CEPAC (título)"/>
    <m/>
    <n v="829"/>
    <n v="0"/>
    <n v="829"/>
    <s v="FL-010/2010"/>
    <x v="1"/>
    <d v="2010-03-31T00:00:00"/>
    <m/>
    <m/>
    <m/>
    <m/>
    <s v="COMPLEMENTA A CERTIDÃO 021/2009 (CEPAC COMPLEMENTA - ACA TOTAL). CANCELADA E SUBSTITUIDA PELA CERTIDAO FL-005/2016"/>
    <s v="LUCIANA/21/07/2025"/>
  </r>
  <r>
    <s v="FL-0337"/>
    <x v="0"/>
    <m/>
    <s v="2008-0369479-9"/>
    <m/>
    <x v="0"/>
    <s v="DAVILAR PROJETOS E EMPREENDIMENTOS LTDA"/>
    <s v="43220847/0001-94;"/>
    <m/>
    <s v="RUA JOSE GONCALVES DE OLIVEIRA, RUA MARIA ROSA; TRAVESSA TOLSTOI DE CARVALHO E MELO"/>
    <x v="0"/>
    <x v="2"/>
    <s v="299124;"/>
    <s v="0012-5; 0013-3; 0014-1; 0015-1; 0016-8; 0017-6; 0018-4; 0019-2;  0020-6; 0021-4; 0022-2; 0023-0; 0024-9; 0025-7; 0026-5; 0027-3; 0028-1;  "/>
    <n v="3264.75"/>
    <s v="NR"/>
    <m/>
    <n v="7938.06"/>
    <n v="7938.06"/>
    <s v="CEPAC (título)"/>
    <m/>
    <n v="14257"/>
    <n v="0"/>
    <n v="14257"/>
    <s v="FL-005/2016"/>
    <x v="1"/>
    <d v="2016-06-30T00:00:00"/>
    <m/>
    <m/>
    <m/>
    <n v="558"/>
    <s v="CANCELA E SUBSTITUI AS CERTIDÕES 005/2009 E 021/2009. CANCELADA E SUBSTITUÍDA PELA CERTIDAO FL-006/2017"/>
    <s v="LUCIANA/21/07/2025"/>
  </r>
  <r>
    <s v="FL-0337"/>
    <x v="0"/>
    <m/>
    <s v="2016-0211333-1"/>
    <m/>
    <x v="0"/>
    <s v="DAVILAR PROJETOS E EMPREENDIMENTOS LTDA; TAMANDUA EMPREENDIMENTOS LTDA; M&amp;V ADMINISTRACAO E PARTICIPACOES LTDA;  BANCO BONSUCESSO S/A;  MNC PARTICIPACOES E NEGOCIOS LTDA; CA2 ADMINISTRACAO E PARTICIPACOES LTDA; SERIMOB - EMPREENDIMENTOS IMOBILIARIOS LTDA; ANTONIO BESTRAN MARTINEZ; LECY LAURENZA BELTRAN"/>
    <s v="43220847/0001-94; 64609258/000172; 69122547/0001-66; 71027866/0001-34; 01328182/0001-97; 10939167/0001-76; 10452930/0001-30;"/>
    <s v="004638098-15; 073690888-98;"/>
    <s v="RUA JOSE GONCALVES DE OLIVEIRA, RUA MARIA ROSA; TRAVESSA TOLSTOI DE CARVALHO E MELO"/>
    <x v="0"/>
    <x v="2"/>
    <s v="299124;"/>
    <s v="0012-5; 0013-3; 0014-1; 0015-1; 0016-8; 0017-6; 0018-4; 0019-2;  0020-6; 0021-4; 0022-2; 0023-0; 0024-9; 0025-7; 0026-5; 0027-3; 0028-1;  "/>
    <n v="3264.75"/>
    <s v="NR"/>
    <m/>
    <n v="7938.06"/>
    <n v="7938.06"/>
    <s v="CEPAC (título)"/>
    <m/>
    <n v="14257"/>
    <n v="0"/>
    <n v="14257"/>
    <s v="FL-006/2017"/>
    <x v="1"/>
    <d v="2017-06-30T00:00:00"/>
    <m/>
    <m/>
    <m/>
    <m/>
    <s v="CANCELA E SUBSTIUI A CERTIDÃO FL-005/2016"/>
    <s v="LUCIANA/21/07/2025"/>
  </r>
  <r>
    <s v="FL-0337"/>
    <x v="0"/>
    <m/>
    <s v="2016-0211333-1"/>
    <m/>
    <x v="0"/>
    <s v="DAVILAR PROJETOS E EMPREENDIMENTOS LTDA; TAMANDUA EMPREENDIMENTOS LTDA; M&amp;V ADMINISTRACAO E PARTICIPACOES LTDA;  BANCO BONSUCESSO S/A;  MNC PARTICIPACOES E NEGOCIOS LTDA; CA2 ADMINISTRACAO E PARTICIPACOES LTDA; SERIMOB - EMPREENDIMENTOS IMOBILIARIOS LTDA; ANTONIO BESTRAN MARTINEZ; LECY LAURENZA BELTRAN"/>
    <s v="43220847/0001-94; 64609258/000172; 69122547/0001-66; 71027866/0001-34; 01328182/0001-97; 10939167/0001-76; 10452930/0001-30;"/>
    <s v="004638098-15; 073690888-98;"/>
    <s v="RUA JOSE GONCALVES DE OLIVEIRA, RUA MARIA ROSA; TRAVESSA TOLSTOI DE CARVALHO E MELO"/>
    <x v="0"/>
    <x v="1"/>
    <s v="299124;"/>
    <s v="0012-5; 0013-3; 0014-1; 0015-1; 0016-8; 0017-6; 0018-4; 0019-2;  0020-6; 0021-4; 0022-2; 0023-0; 0024-9; 0025-7; 0026-5; 0027-3; 0028-1;  "/>
    <n v="3264.75"/>
    <s v="NR"/>
    <m/>
    <m/>
    <n v="0"/>
    <s v="CEPAC (título)"/>
    <m/>
    <n v="558"/>
    <m/>
    <n v="558"/>
    <s v="DV-001/2017"/>
    <x v="0"/>
    <d v="2017-06-30T00:00:00"/>
    <m/>
    <m/>
    <m/>
    <m/>
    <s v="CERTIDÃO DE DESVINCULAÇÃO DOS CEPACS EXCEDENTES DA CERTIDÃO FL-005/2016"/>
    <s v="LUCIANA/21/07/2025"/>
  </r>
  <r>
    <s v="FL-0337"/>
    <x v="0"/>
    <s v="7810.2019/0000377-8"/>
    <m/>
    <m/>
    <x v="0"/>
    <s v="DAVILAR PROJETOS E EMPREENDIMENTOS LTDA; TAMANDUA EMPREENDIMENTOS LTDA; M&amp;V ADMINISTRACAO E PARTICIPACOES LTDA;  BS2 S/A;  MNC PARTICIPACOES E NEGOCIOS LTDA; CA2 ADMINISTRACAO E PARTICIPACOES LTDA; SERIMOB - EMPREENDIMENTOS IMOBILIARIOS LTDA; ANTONIO BESTRAN MARTINEZ; LECY LAURENZA BELTRAN; FUNDO DE INVESTIMENTO IMOBILIARIO - FII BRISA RENDA IMOBILIARIA; FESTUNG ADMINISTRACAO E PARTICIPACOES LTDA"/>
    <s v="43220847/0001-94; 64609258/000172; 69122547/0001-66; 71027866/0001-34; 01328182/0001-97; 10939167/0001-76; 10452930/0001-30; 20680775/0001-62; 03489172/0001-69"/>
    <s v="004638098-15; 073690888-98;"/>
    <s v="RUA JOSE GONCALVES DE OLIVEIRA, RUA MARIA ROSA; TRAVESSA TOLSTOI DE CARVALHO E MELO"/>
    <x v="0"/>
    <x v="2"/>
    <s v="299124;"/>
    <s v="0062-1;"/>
    <n v="3264.75"/>
    <s v="NR"/>
    <m/>
    <n v="7938.06"/>
    <n v="7938.06"/>
    <s v="CEPAC (título)"/>
    <m/>
    <n v="11054"/>
    <n v="992"/>
    <n v="12046"/>
    <s v="FL-008/2019"/>
    <x v="1"/>
    <d v="2019-09-19T00:00:00"/>
    <m/>
    <m/>
    <m/>
    <m/>
    <s v="CANCELA E SUBSTITUI CERTIDAO FL-006/2017. ACOMPANHA CERTIDAO DESVINCULAÇÃO FL-002/2019. CANCELADA E SUBSTITUÍDA PELA CERTIDÃO FL.010/2022"/>
    <s v="LUCIANA/21/07/2025"/>
  </r>
  <r>
    <s v="FL-0337"/>
    <x v="0"/>
    <s v="7810.2019/0000377-8"/>
    <m/>
    <m/>
    <x v="0"/>
    <s v="DAVILAR PROJETOS E EMPREENDIMENTOS LTDA; TAMANDUA EMPREENDIMENTOS LTDA; M&amp;V ADMINISTRACAO E PARTICIPACOES LTDA;  BS2 S/A;  MNC PARTICIPACOES E NEGOCIOS LTDA; CA2 ADMINISTRACAO E PARTICIPACOES LTDA; SERIMOB - EMPREENDIMENTOS IMOBILIARIOS LTDA; ANTONIO BESTRAN MARTINEZ; LECY LAURENZA BELTRAN; FUNDO DE INVESTIMENTO IMOBILIARIO - FII BRISA RENDA IMOBILIARIA; FESTUNG ADMINISTRACAO E PARTICIPACOES LTDA"/>
    <s v="43220847/0001-94; 64609258/000172; 69122547/0001-66; 71027866/0001-34; 01328182/0001-97; 10939167/0001-76; 10452930/0001-30; 20680775/0001-62; 03489172/0001-69"/>
    <s v="004638098-15; 073690888-98;"/>
    <s v="RUA JOSE GONCALVES DE OLIVEIRA, RUA MARIA ROSA; TRAVESSA TOLSTOI DE CARVALHO E MELO"/>
    <x v="0"/>
    <x v="1"/>
    <s v="299124;"/>
    <s v="0062-1;"/>
    <n v="3264.75"/>
    <s v="NR"/>
    <m/>
    <m/>
    <n v="0"/>
    <s v="CEPAC (título)"/>
    <m/>
    <n v="2211"/>
    <m/>
    <n v="2211"/>
    <s v="DV-002/2019"/>
    <x v="0"/>
    <d v="2019-09-19T00:00:00"/>
    <m/>
    <m/>
    <m/>
    <m/>
    <s v="CERTIDÃO DE DESVINCULAÇÃO DOS CEPACS EXCEDENTES DA CERTIDÃO FL-006/2017"/>
    <s v="LUCIANA/21/07/2025"/>
  </r>
  <r>
    <s v="FL-0337"/>
    <x v="0"/>
    <s v="7810.2022/0000817-7"/>
    <m/>
    <m/>
    <x v="0"/>
    <s v="DAVILAR PROJETOS E EMPREENDIMENTOS LTDA; TAMANDUA EMPREENDIMENTOS LTDA; M&amp;V ADMINISTRACAO E PARTICIPACOES LTDA;  BS2 S/A;  MNC PARTICIPACOES E NEGOCIOS LTDA; CA2 ADMINISTRACAO E PARTICIPACOES LTDA; SERIMOB - EMPREENDIMENTOS IMOBILIARIOS LTDA; ANTONIO BESTRAN MARTINEZ; LECY LAURENZA BELTRAN; FUNDO DE INVESTIMENTO IMOBILIARIO - FII BRISA RENDA IMOBILIARIA; FESTUNG ADMINISTRACAO E PARTICIPACOES LTDA"/>
    <s v="43220847/0001-94; 64609258/000172; 69122547/0001-66; 71027866/0001-34; 01328182/0001-97; 10939167/0001-76; 10452930/0001-30; 20680775/0001-62; 03489172/0001-69"/>
    <s v="004638098-15; 073690888-98;"/>
    <s v="RUA JOSE GONCALVES DE OLIVEIRA, RUA MARIA ROSA; TRAVESSA TOLSTOI DE CARVALHO E MELO"/>
    <x v="0"/>
    <x v="2"/>
    <s v="299124;"/>
    <s v="0062-1; 0063-1; 0064-8; 0058-3; 0060-5;"/>
    <n v="3801.23"/>
    <s v="NR"/>
    <m/>
    <n v="7938.06"/>
    <n v="7938.06"/>
    <s v="CEPAC (título)"/>
    <m/>
    <n v="11054"/>
    <n v="992"/>
    <n v="12046"/>
    <s v="FL-010/2022"/>
    <x v="0"/>
    <d v="2022-11-21T00:00:00"/>
    <m/>
    <m/>
    <m/>
    <m/>
    <s v="CANCELA E SUBSTITUI CERTIDAO FL-008/2019."/>
    <s v="LUCIANA/21/07/2025"/>
  </r>
  <r>
    <s v="FL-0114"/>
    <x v="0"/>
    <m/>
    <s v="2007-0384894-8"/>
    <m/>
    <x v="0"/>
    <s v="WTORRE SAO PAULO EMPREENDIMENTO IMOBILIARIO LTDA;"/>
    <s v="05314015/0001-48;"/>
    <m/>
    <s v="AVENIDA JUSCELINO KUBITSCHECK ESQUINA COM A AVENIDA NACOES UNIDAS"/>
    <x v="4"/>
    <x v="0"/>
    <s v="299009;"/>
    <s v="0179-5;"/>
    <m/>
    <s v="NR"/>
    <m/>
    <n v="48214.75"/>
    <n v="48214.75"/>
    <s v="CEPAC (título)"/>
    <m/>
    <n v="53572"/>
    <m/>
    <n v="53572"/>
    <s v="FL-006/2008"/>
    <x v="0"/>
    <d v="2008-04-15T00:00:00"/>
    <m/>
    <m/>
    <m/>
    <m/>
    <m/>
    <s v="LUCIANA/21/07/2025"/>
  </r>
  <r>
    <s v="FL-0114"/>
    <x v="0"/>
    <s v="7810.2020/0001241-8"/>
    <m/>
    <m/>
    <x v="0"/>
    <s v="REAL AI TORRE D EMPREENDIMENTO IMOBILIARIO LTDA; PLANNER TRUSTEE DISTRIBUIDORA DE TÍTULOS E VALORES MOBILIARIOS LTDA; BR PROPERTIES S.A; JK IGUATEMI EMPREENDIMENTOS IMOBILIARIOS LTDA; TEXAS EMPREENDIMENTOS E PARTICIPACOES S/A; OKLAHOMA EMPREENDIMENTOS E PARTICIPAÇÕES; PLURAL S.A BANCO MULTIPLO, NA QUALIDADE DE ADMINISTRADOR DO FUNDO DE INVESTIMENTO IMOBILIARIO JK D-FII; BANCO SANTANDER (BRASIL); ROJO ENTRETENIMENTO S/A;"/>
    <m/>
    <m/>
    <s v="AVENIDA JUSCELINO KUBITSCHECK , 2041; AVENIDA DAS NACOES UNIDAS"/>
    <x v="4"/>
    <x v="0"/>
    <s v="299148;"/>
    <s v="0001-5;"/>
    <n v="59524.38"/>
    <s v="R"/>
    <n v="15994.2"/>
    <m/>
    <n v="15994.2"/>
    <s v="CEPAC (título)"/>
    <m/>
    <n v="7998"/>
    <m/>
    <n v="7998"/>
    <s v="FL-004/2021"/>
    <x v="0"/>
    <d v="2021-09-09T00:00:00"/>
    <m/>
    <m/>
    <m/>
    <m/>
    <m/>
    <s v="LUCIANA/21/07/2025"/>
  </r>
  <r>
    <m/>
    <x v="0"/>
    <m/>
    <m/>
    <m/>
    <x v="2"/>
    <s v="NÃO EXCLUIR. LINHA FAKE"/>
    <m/>
    <m/>
    <m/>
    <x v="4"/>
    <x v="3"/>
    <m/>
    <m/>
    <m/>
    <m/>
    <m/>
    <m/>
    <n v="0"/>
    <m/>
    <m/>
    <m/>
    <m/>
    <n v="0"/>
    <m/>
    <x v="2"/>
    <m/>
    <m/>
    <m/>
    <m/>
    <m/>
    <m/>
    <m/>
  </r>
  <r>
    <m/>
    <x v="0"/>
    <m/>
    <m/>
    <m/>
    <x v="2"/>
    <s v="NÃO EXCLUIR. LINHA FAKE"/>
    <m/>
    <m/>
    <m/>
    <x v="3"/>
    <x v="3"/>
    <m/>
    <m/>
    <m/>
    <m/>
    <m/>
    <m/>
    <n v="0"/>
    <m/>
    <m/>
    <m/>
    <m/>
    <n v="0"/>
    <m/>
    <x v="2"/>
    <m/>
    <m/>
    <m/>
    <m/>
    <m/>
    <m/>
    <m/>
  </r>
  <r>
    <m/>
    <x v="0"/>
    <m/>
    <m/>
    <m/>
    <x v="2"/>
    <s v="NÃO EXCLUIR. LINHA FAKE"/>
    <m/>
    <m/>
    <m/>
    <x v="0"/>
    <x v="3"/>
    <m/>
    <m/>
    <m/>
    <m/>
    <m/>
    <m/>
    <n v="0"/>
    <m/>
    <m/>
    <m/>
    <m/>
    <n v="0"/>
    <m/>
    <x v="2"/>
    <m/>
    <m/>
    <m/>
    <m/>
    <m/>
    <m/>
    <m/>
  </r>
  <r>
    <m/>
    <x v="0"/>
    <m/>
    <m/>
    <m/>
    <x v="2"/>
    <s v="NÃO EXCLUIR. LINHA FAKE"/>
    <m/>
    <m/>
    <m/>
    <x v="1"/>
    <x v="3"/>
    <m/>
    <m/>
    <m/>
    <m/>
    <m/>
    <m/>
    <n v="0"/>
    <m/>
    <m/>
    <m/>
    <m/>
    <n v="0"/>
    <m/>
    <x v="2"/>
    <m/>
    <m/>
    <m/>
    <m/>
    <m/>
    <m/>
    <m/>
  </r>
  <r>
    <m/>
    <x v="1"/>
    <m/>
    <m/>
    <m/>
    <x v="2"/>
    <s v="NÃO EXCLUIR. LINHA FAKE"/>
    <m/>
    <m/>
    <m/>
    <x v="3"/>
    <x v="0"/>
    <m/>
    <m/>
    <m/>
    <m/>
    <m/>
    <m/>
    <m/>
    <m/>
    <m/>
    <m/>
    <m/>
    <m/>
    <m/>
    <x v="0"/>
    <m/>
    <m/>
    <m/>
    <m/>
    <m/>
    <m/>
    <m/>
  </r>
  <r>
    <m/>
    <x v="1"/>
    <m/>
    <m/>
    <m/>
    <x v="2"/>
    <s v="NÃO EXCLUIR. LINHA FAKE"/>
    <m/>
    <m/>
    <m/>
    <x v="0"/>
    <x v="0"/>
    <m/>
    <m/>
    <m/>
    <m/>
    <m/>
    <m/>
    <m/>
    <m/>
    <m/>
    <m/>
    <m/>
    <m/>
    <m/>
    <x v="0"/>
    <m/>
    <m/>
    <m/>
    <m/>
    <m/>
    <m/>
    <m/>
  </r>
  <r>
    <m/>
    <x v="1"/>
    <m/>
    <m/>
    <m/>
    <x v="2"/>
    <s v="NÃO EXCLUIR. LINHA FAKE"/>
    <m/>
    <m/>
    <m/>
    <x v="1"/>
    <x v="0"/>
    <m/>
    <m/>
    <m/>
    <m/>
    <m/>
    <m/>
    <m/>
    <m/>
    <m/>
    <m/>
    <m/>
    <m/>
    <m/>
    <x v="0"/>
    <m/>
    <m/>
    <m/>
    <m/>
    <m/>
    <m/>
    <m/>
  </r>
  <r>
    <m/>
    <x v="1"/>
    <m/>
    <m/>
    <m/>
    <x v="2"/>
    <s v="NÃO EXCLUIR. LINHA FAKE"/>
    <m/>
    <m/>
    <m/>
    <x v="4"/>
    <x v="0"/>
    <m/>
    <m/>
    <m/>
    <m/>
    <m/>
    <m/>
    <m/>
    <m/>
    <m/>
    <m/>
    <m/>
    <m/>
    <m/>
    <x v="0"/>
    <m/>
    <m/>
    <m/>
    <m/>
    <m/>
    <m/>
    <m/>
  </r>
  <r>
    <s v="FL-0399"/>
    <x v="0"/>
    <s v="7810.2024/0001277-6"/>
    <m/>
    <m/>
    <x v="0"/>
    <s v="FLCJ SPE EMPREENDIMENTO IMOBILIARIO LTDA"/>
    <s v="14281580/0001-47;"/>
    <m/>
    <s v="AVENIDA PROFESSOR ARTHUR RAMOS, 111, 127, 135, 143 E 149 X AVENIDA CIDADE JARDIM, 514, 614 E 632 X RUA ARAÇARI X AVENIDA BRIGADEIRO FARIA LIMA"/>
    <x v="0"/>
    <x v="2"/>
    <s v="083068;"/>
    <s v="0009-5; 0010-9; 0018-4; 0019-2;"/>
    <n v="2657.45"/>
    <s v="NR"/>
    <m/>
    <n v="3627.57"/>
    <n v="3627.57"/>
    <s v="CEPAC (título)"/>
    <m/>
    <n v="5400"/>
    <m/>
    <n v="5400"/>
    <s v="FL-001/2025"/>
    <x v="1"/>
    <d v="2025-06-27T00:00:00"/>
    <m/>
    <m/>
    <n v="0"/>
    <m/>
    <s v="ACA LEI 13.769 (ACA TOTAL 6.678,97) - CANCELA A CERTIDÃO FL-003/2017 "/>
    <s v="PRISCILA/09/09/2025"/>
  </r>
  <r>
    <s v="FL-0399"/>
    <x v="1"/>
    <s v="7810.2024/0001277-6"/>
    <m/>
    <m/>
    <x v="0"/>
    <s v="FLCJ SPE EMPREENDIMENTO IMOBILIARIO LTDA"/>
    <s v="14281580/0001-47;"/>
    <m/>
    <s v="AVENIDA PROFESSOR ARTHUR RAMOS, 111, 127, 135, 143 E 149 X AVENIDA CIDADE JARDIM, 514, 614 E 632 X RUA ARAÇARI X AVENIDA BRIGADEIRO FARIA LIMA"/>
    <x v="0"/>
    <x v="2"/>
    <s v="083068;"/>
    <s v="0009-5; 0010-9; 0018-4; 0019-2;"/>
    <n v="2657.45"/>
    <s v="NR"/>
    <m/>
    <n v="3051.4"/>
    <n v="3051.4"/>
    <s v="CEPAC (título)"/>
    <m/>
    <n v="0"/>
    <m/>
    <n v="0"/>
    <s v="FL-001/2025"/>
    <x v="1"/>
    <d v="2025-06-27T00:00:00"/>
    <m/>
    <m/>
    <n v="0"/>
    <m/>
    <s v="ACA LEI 18.175 (ACA TOTAL 6.678,97) - CANCELA A CERTIDÃO FL-003/2017 "/>
    <s v="PRISCILA/09/09/2025"/>
  </r>
  <r>
    <s v="FL-0399"/>
    <x v="0"/>
    <s v="7810.2024/0001277-6"/>
    <m/>
    <m/>
    <x v="0"/>
    <s v="FLCJ SPE EMPREENDIMENTO IMOBILIARIO LTDA"/>
    <s v="14281580/0001-47;"/>
    <m/>
    <s v="AVENIDA PROFESSOR ARTHUR RAMOS, 111, 127, 135, 143 E 149 X AVENIDA CIDADE JARDIM, 514, 614 E 632 X RUA ARAÇARI X AVENIDA BRIGADEIRO FARIA LIMA"/>
    <x v="0"/>
    <x v="1"/>
    <s v="083068;"/>
    <s v="0009-5; 0010-9; 0018-4; 0019-2;"/>
    <n v="2657.45"/>
    <s v="R"/>
    <n v="7002.23"/>
    <m/>
    <m/>
    <s v="CEPAC (título)"/>
    <m/>
    <n v="0"/>
    <m/>
    <n v="0"/>
    <s v="FL-001/2025"/>
    <x v="0"/>
    <d v="2025-06-27T00:00:00"/>
    <m/>
    <m/>
    <n v="0"/>
    <m/>
    <s v="requerimento demarcado como desvinculação a fim de facilitar o RETORNO DE ACA R PARA O ESTOQUE ANTIGO EM 25/09/2025 "/>
    <s v="PRISCILA/11/09/2025"/>
  </r>
  <r>
    <s v="FL-0414"/>
    <x v="0"/>
    <s v="7810.2024/0001318-7"/>
    <m/>
    <m/>
    <x v="0"/>
    <s v="FUNCHAL 641 SPE EMPREENDIMENTOS IMOBILIÁRIOS LTDA"/>
    <s v="18597139/0001-20;"/>
    <m/>
    <s v="RUA FUNCHAL, 68, 76, 92, 102, 641, 651; AVENIDA DOUTOR CARDOSO DE MELO, 1761, "/>
    <x v="4"/>
    <x v="2"/>
    <s v="299078;"/>
    <s v="0034-1; 0039-0; 0040-4; 00041-2; 0043-9;"/>
    <n v="3732.62"/>
    <s v="R"/>
    <n v="9833.9599999999991"/>
    <m/>
    <n v="9833.9599999999991"/>
    <s v="CEPAC (título)"/>
    <m/>
    <n v="3209"/>
    <m/>
    <n v="3209"/>
    <s v="FL-002/2025"/>
    <x v="1"/>
    <d v="2025-06-27T00:00:00"/>
    <m/>
    <m/>
    <n v="0"/>
    <n v="2829"/>
    <s v="Os 2.829 CEPAC remanescentes da Certidão nº FL-012/2020 deverão ser oportunamente desvinculados por meio de processo administrativo específico. Utiliza a lei nova para aplicar os 30% de desconto, fica com CEPAC na nuvem e não consome estoque da lei 18.175/2024"/>
    <s v="PRISCILA/09/09/2025"/>
  </r>
  <r>
    <s v="FL-9413"/>
    <x v="1"/>
    <s v="7810.2024/0001498-1"/>
    <m/>
    <d v="2024-09-05T00:00:00"/>
    <x v="0"/>
    <s v="SAL ADMINISTRAÇÃO E INCORPORAÇÃO LTDA"/>
    <s v="11731233/0001-80; 04572018/0001-19; 06538651/0001-16;"/>
    <m/>
    <s v="SAL ADMINISTRAÇÃO E INCORPORAÇÃO LTDA; BES EMPREENDIMENTOS E PARTICIPAÇÕES LTDA; MHB ADMINISTRAÇÃO E PARTICIPAÇÕES LTDA;"/>
    <x v="1"/>
    <x v="2"/>
    <s v="041059;"/>
    <s v="0066-8; 0002-1; 0025-0; 0032-3; 0024-2; 0122-2; 0121-4; 0121-4; 0028-5; 0123-0; 0060-9; 0061-7; 0062-5; 0063-3; 0120-6; 0120-6; 0120-6; 0033-1; 0017-1; 0036-6;"/>
    <n v="8095.41"/>
    <s v="NR"/>
    <m/>
    <n v="259"/>
    <n v="259"/>
    <s v="CEPAC (título)"/>
    <m/>
    <n v="259"/>
    <m/>
    <n v="259"/>
    <s v="FL-003/2025"/>
    <x v="0"/>
    <d v="2025-07-18T00:00:00"/>
    <m/>
    <m/>
    <n v="0"/>
    <m/>
    <s v="DADOS DA CERTIDÃO (FL-332/HP e FL-0413, numeração consolidada em FL-9419) Trata-se de vinculação de CEPAC - com Auto de Conclusão parcial já emitido, portanto as Certidões de Pagamento de Outorga Onerosa em CEPAC FL-007/2009; FL-007/2017 e FL-003/2021 já foram consumidas e utilizadas."/>
    <s v="PRISCILA/10/09/2025"/>
  </r>
  <r>
    <s v="FL-0383"/>
    <x v="0"/>
    <s v="7810.2024/0001324-1"/>
    <m/>
    <d v="2024-08-16T00:00:00"/>
    <x v="0"/>
    <s v="EVEN SP 121 EMPREENDIMENTOS IMOBILIÁRIOS S.A"/>
    <s v="12360052/0001-58;"/>
    <m/>
    <s v="RUA DOS CARIRIS, 291 A 367; RUA CARDEAL ARCOVERDE, 2977 A 3041; RUA DIOGO MOREIRA, 222 A 322; AVENIDA EUSÉBIO MATOSO, 366 A 398;"/>
    <x v="3"/>
    <x v="2"/>
    <s v="015074;"/>
    <s v="0689-4;"/>
    <n v="15540.05"/>
    <s v="R"/>
    <n v="34278.239999999998"/>
    <m/>
    <n v="34278.239999999998"/>
    <s v="CEPAC (título)"/>
    <m/>
    <n v="7852"/>
    <n v="0"/>
    <n v="7852"/>
    <s v="FL-004/2025"/>
    <x v="1"/>
    <d v="2025-08-07T00:00:00"/>
    <m/>
    <m/>
    <m/>
    <n v="3292"/>
    <s v="Esta Certidão cancela e substitui a Certidão FL-011/2020. área total consumida na 13.769"/>
    <s v="PRISCILA/27/03/2026"/>
  </r>
  <r>
    <m/>
    <x v="1"/>
    <m/>
    <m/>
    <m/>
    <x v="2"/>
    <s v="NÃO EXCLUIR. LINHA FAKE"/>
    <m/>
    <m/>
    <m/>
    <x v="4"/>
    <x v="3"/>
    <m/>
    <m/>
    <m/>
    <m/>
    <m/>
    <m/>
    <n v="0"/>
    <m/>
    <m/>
    <m/>
    <m/>
    <n v="0"/>
    <m/>
    <x v="2"/>
    <m/>
    <m/>
    <m/>
    <m/>
    <m/>
    <m/>
    <m/>
  </r>
  <r>
    <m/>
    <x v="1"/>
    <m/>
    <m/>
    <m/>
    <x v="2"/>
    <s v="NÃO EXCLUIR. LINHA FAKE"/>
    <m/>
    <m/>
    <m/>
    <x v="3"/>
    <x v="3"/>
    <m/>
    <m/>
    <m/>
    <m/>
    <m/>
    <m/>
    <n v="0"/>
    <m/>
    <m/>
    <m/>
    <m/>
    <n v="0"/>
    <m/>
    <x v="2"/>
    <m/>
    <m/>
    <m/>
    <m/>
    <m/>
    <m/>
    <m/>
  </r>
  <r>
    <m/>
    <x v="1"/>
    <m/>
    <m/>
    <m/>
    <x v="2"/>
    <s v="NÃO EXCLUIR. LINHA FAKE"/>
    <m/>
    <m/>
    <m/>
    <x v="0"/>
    <x v="3"/>
    <m/>
    <m/>
    <m/>
    <m/>
    <m/>
    <m/>
    <n v="0"/>
    <m/>
    <m/>
    <m/>
    <m/>
    <n v="0"/>
    <m/>
    <x v="2"/>
    <m/>
    <m/>
    <m/>
    <m/>
    <m/>
    <m/>
    <m/>
  </r>
  <r>
    <m/>
    <x v="1"/>
    <m/>
    <m/>
    <m/>
    <x v="2"/>
    <s v="NÃO EXCLUIR. LINHA FAKE"/>
    <m/>
    <m/>
    <m/>
    <x v="1"/>
    <x v="3"/>
    <m/>
    <m/>
    <m/>
    <m/>
    <m/>
    <m/>
    <n v="0"/>
    <m/>
    <m/>
    <m/>
    <m/>
    <n v="0"/>
    <m/>
    <x v="2"/>
    <m/>
    <m/>
    <m/>
    <m/>
    <m/>
    <m/>
    <m/>
  </r>
  <r>
    <m/>
    <x v="1"/>
    <m/>
    <m/>
    <m/>
    <x v="0"/>
    <s v="NÃO EXCLUIR. LINHA FAKE"/>
    <m/>
    <m/>
    <m/>
    <x v="2"/>
    <x v="3"/>
    <m/>
    <m/>
    <m/>
    <m/>
    <m/>
    <m/>
    <m/>
    <m/>
    <m/>
    <m/>
    <m/>
    <m/>
    <m/>
    <x v="2"/>
    <m/>
    <m/>
    <m/>
    <m/>
    <m/>
    <m/>
    <m/>
  </r>
  <r>
    <m/>
    <x v="1"/>
    <m/>
    <m/>
    <m/>
    <x v="0"/>
    <s v="NÃO EXCLUIR. LINHA FAKE"/>
    <m/>
    <m/>
    <m/>
    <x v="2"/>
    <x v="3"/>
    <m/>
    <m/>
    <m/>
    <m/>
    <m/>
    <m/>
    <m/>
    <m/>
    <m/>
    <m/>
    <m/>
    <m/>
    <m/>
    <x v="2"/>
    <m/>
    <m/>
    <m/>
    <m/>
    <m/>
    <m/>
    <m/>
  </r>
  <r>
    <s v="FL-0383"/>
    <x v="0"/>
    <s v="7810.2025/0001104-6"/>
    <m/>
    <d v="2025-08-14T00:00:00"/>
    <x v="0"/>
    <s v="EVEN SP 121 EMPREENDIMENTOS IMOBILIARIOS S.A."/>
    <s v="12360052/0001-58;"/>
    <m/>
    <s v="RUA DOS CARIRIS, 291 A 367; RUA CARDEAL ARCOVERDE, 2977 A 3041; RUA DIOGO MOREIRA, 222 A 322; AVENIDA EUSÉBIO MATOSO, 366 A 398;"/>
    <x v="3"/>
    <x v="2"/>
    <s v="015074;"/>
    <s v="0689-4;"/>
    <n v="15540.05"/>
    <s v="R"/>
    <n v="34278.239999999998"/>
    <m/>
    <n v="34278.239999999998"/>
    <s v="CEPAC (título)"/>
    <m/>
    <n v="7852"/>
    <m/>
    <n v="7852"/>
    <s v="FL-023/2025"/>
    <x v="0"/>
    <d v="2025-12-02T00:00:00"/>
    <m/>
    <m/>
    <n v="0"/>
    <m/>
    <s v="CANCELA A CERTIDÃO FL-004/2025. DESVINCULAÇÃO DE 3292 CEPAC, SEM DESVINCULAÇÃO DE ÁREA.área total consumida na 13.769"/>
    <s v="PRISCILA/27/03/2026"/>
  </r>
  <r>
    <s v="FL-0424"/>
    <x v="1"/>
    <s v="1010.2025/0008826-4 "/>
    <m/>
    <d v="2025-08-25T00:00:00"/>
    <x v="0"/>
    <s v="B28 EMPREENDIMENTOS IMOBILIARIOS S.A.; "/>
    <s v="24081780/0001-00;"/>
    <m/>
    <s v="AVENIDA BRIGADEIRO FARIA LIMA, 3278"/>
    <x v="1"/>
    <x v="2"/>
    <s v="299129;"/>
    <s v="0024-1;"/>
    <n v="2990.56"/>
    <s v="MISTO"/>
    <n v="2272.8200000000002"/>
    <n v="7823.07"/>
    <n v="11364.13"/>
    <s v="CEPAC (título)"/>
    <m/>
    <n v="11863"/>
    <n v="0"/>
    <n v="11863"/>
    <s v="FL-006/2025"/>
    <x v="0"/>
    <m/>
    <m/>
    <m/>
    <m/>
    <m/>
    <s v="PEDIDO DE ALTERAÇÃO DA CERTIDÃO FL-008/2021. ACA TOTAL NR DE 9.091,31. ACA TOTAL DO PEDIDO 11.364,13. ERRO CAMPO DATA CERTIDÃO 16/10/2025."/>
    <s v="PRISCILA/19/11/2025"/>
  </r>
  <r>
    <s v="FL-0442"/>
    <x v="1"/>
    <s v="1010.2025/0008829-9"/>
    <m/>
    <d v="2025-08-25T00:00:00"/>
    <x v="0"/>
    <s v="CCM33 PARICIPAÇÃO E INCORPORAÇÃO LTDA.; BANCO INDUSTRIAL DO BRASIL S.A"/>
    <s v="37869918/0001-81; 31895683/0001-16;"/>
    <m/>
    <s v="AVENIDA PRESIDENTE JUSCELINO KUBITSCHEK, 1703; AVENIDA PRESIDENTE JUSCELINO KUBITSCHEK, 1695"/>
    <x v="4"/>
    <x v="0"/>
    <s v="299153;"/>
    <s v="0067-9; 0068-7;"/>
    <n v="5088.8599999999997"/>
    <s v="MISTO"/>
    <n v="3867.53"/>
    <n v="15470.14"/>
    <n v="19337.669999999998"/>
    <s v="CEPAC (título)"/>
    <m/>
    <n v="13663"/>
    <n v="0"/>
    <n v="13663"/>
    <s v="FL-015/2025"/>
    <x v="0"/>
    <m/>
    <m/>
    <m/>
    <m/>
    <m/>
    <s v="ERRO CAMPO DATA CERTIDÃO 29/10/2025."/>
    <s v="PRISCILA/19/11/2025"/>
  </r>
  <r>
    <s v="FL-0443"/>
    <x v="1"/>
    <s v="1010.2025/0008830-2"/>
    <m/>
    <d v="2025-08-25T00:00:00"/>
    <x v="0"/>
    <s v="FUNDO DE INVESTIMENTO IMOBILIARIO VBI PRIME PROPERTIES - RESPONSABILIDADE LIMITADA; BTG PACTUAL SERVICOS FINANDEIROS S.A DTVM; VBI TR FARIA LIMA 4440 FUNDO DE INVESTIMENTO IMOBILIARIO; VORTX DISTRIBUIDORA DE TITULOS E VALORES IMOBILIARIOS LTDA.;"/>
    <s v="35652102/0001-76; 59281253/0001-23; 50808042/0001-21; 22610500/0001-88"/>
    <m/>
    <s v="AVENIDA BRIGADEIRO FARIA LIMA, 4440"/>
    <x v="4"/>
    <x v="0"/>
    <s v="299135;"/>
    <s v="0029-9"/>
    <n v="5540.66"/>
    <s v="NR"/>
    <m/>
    <n v="1108.96"/>
    <n v="1108.96"/>
    <s v="CEPAC (título)"/>
    <m/>
    <n v="1"/>
    <n v="0"/>
    <n v="1"/>
    <s v="FL-001/2026"/>
    <x v="0"/>
    <m/>
    <m/>
    <m/>
    <m/>
    <m/>
    <m/>
    <s v="PRISCILA/16/01/2026"/>
  </r>
  <r>
    <s v="FL-0444"/>
    <x v="1"/>
    <s v="1010.2025/0008831-0"/>
    <m/>
    <d v="2025-08-25T00:00:00"/>
    <x v="0"/>
    <s v="CONDOMINIO SHOPPING CENTER IGUATEMI"/>
    <s v="53.991378/0001-60"/>
    <m/>
    <s v="AVENIDA BRIGADEIRO FARIA LIMA, 2232; RUA ANGELINA MAFFEI VITA, 200;"/>
    <x v="0"/>
    <x v="0"/>
    <s v="083226;"/>
    <s v="0340-1"/>
    <n v="41089"/>
    <s v="NR"/>
    <n v="0"/>
    <n v="2725.42"/>
    <n v="2725.42"/>
    <s v="CEPAC (título)"/>
    <m/>
    <n v="3407"/>
    <n v="0"/>
    <n v="3407"/>
    <s v="FL-013/2025"/>
    <x v="0"/>
    <m/>
    <m/>
    <m/>
    <m/>
    <m/>
    <s v="ERRO CAMPO DATA CERTIDÃO 29/10/2025."/>
    <s v="PRISCILA/17/09/2025"/>
  </r>
  <r>
    <s v="FL-0445"/>
    <x v="1"/>
    <s v="1010.2025/0008833-7"/>
    <m/>
    <d v="2025-08-25T00:00:00"/>
    <x v="0"/>
    <s v="BI SAO PAULO II EMPREENDIMENTOS IMOBILIARIOS S.A.;"/>
    <s v="17888906/0001-97"/>
    <m/>
    <s v="RUA MINISTRO JESUINO CARDOSO, 235; RUA MINISTRO JESUINO CARDOSO, 287;"/>
    <x v="4"/>
    <x v="0"/>
    <s v="299132;"/>
    <s v="0031-6"/>
    <n v="2633.75"/>
    <s v="NR"/>
    <n v="0"/>
    <n v="6938.37"/>
    <n v="6938.37"/>
    <s v="CEPAC (título)"/>
    <m/>
    <n v="6539"/>
    <n v="1317"/>
    <n v="7856"/>
    <s v="FL-010/2025"/>
    <x v="0"/>
    <m/>
    <m/>
    <m/>
    <m/>
    <m/>
    <s v="ERRO CAMPO DATA CERTIDÃO 30/10/2025."/>
    <s v="PRISCILA/19/11/2025"/>
  </r>
  <r>
    <s v="FL-0446"/>
    <x v="1"/>
    <s v="1010.2025/0008837-0"/>
    <m/>
    <d v="2025-08-25T00:00:00"/>
    <x v="0"/>
    <s v="CAPSICUM EMPREENDIMENTOS E PARTICIPACOES LTDA.; LUIZA TIEKO YAMAKOA;"/>
    <s v="25186614/0001-04;"/>
    <s v="037133318-04;"/>
    <s v="RUA FERNAO DIAS, 590; RUA FERNAO DIAS, 682; RUA GUAICUI, 47; RUA GUAICUI, 51; PRACA PADRE SEPTIMO ARANTES, 26; PRACA PADRE SEPTIMO ARANTES, 42;"/>
    <x v="3"/>
    <x v="0"/>
    <s v="083045;"/>
    <s v="0015-9; 0016-7; 0017-5; 0018-3; 0019-1; 0020-5; 0021-3; 0061-2; 0062-0; 0083-3;"/>
    <n v="3518.87"/>
    <s v="R"/>
    <n v="13371.71"/>
    <n v="0"/>
    <n v="13371.71"/>
    <s v="CEPAC (título)"/>
    <m/>
    <n v="3540"/>
    <n v="0"/>
    <n v="3540"/>
    <s v="FL-016/2025"/>
    <x v="0"/>
    <m/>
    <m/>
    <m/>
    <m/>
    <m/>
    <s v="ERRO CAMPO DATA CERTIDÃO 05/11/2025."/>
    <s v="PRISCILA/17/09/2025"/>
  </r>
  <r>
    <s v="FL-0447"/>
    <x v="1"/>
    <s v="1010.2025/0008838-8"/>
    <m/>
    <d v="2025-08-25T00:00:00"/>
    <x v="0"/>
    <s v="B28 EMPREENDIMENTOS IMOBILIARIOS S.A.; ITAU VIDA E PREVIDENCIA S.A.; ITAU RENT ADMINISTRAÇÃO E PARTICIPACOES LTDA.;"/>
    <s v="24081780/0001-00; 92661388/0001-90; 02180133/0001-12;"/>
    <m/>
    <s v="AVENIDA BRIGADEIRO FARIA LIMA, 3728"/>
    <x v="1"/>
    <x v="0"/>
    <s v="299129;"/>
    <s v="0020-9;"/>
    <n v="1957.05"/>
    <s v="MISTO"/>
    <n v="1330.79"/>
    <n v="5323.18"/>
    <n v="6653.97"/>
    <s v="CEPAC (título)"/>
    <m/>
    <n v="7763"/>
    <n v="0"/>
    <n v="7763"/>
    <s v="FL-011/2025"/>
    <x v="0"/>
    <m/>
    <m/>
    <m/>
    <m/>
    <m/>
    <s v="ERRO CAMPO DATA CERTIDÃO 28/10/2025."/>
    <s v="PRISCILA/19/11/2025"/>
  </r>
  <r>
    <s v="FL-0448"/>
    <x v="1"/>
    <s v="1010.2025/0008840-0"/>
    <m/>
    <d v="2025-08-25T00:00:00"/>
    <x v="0"/>
    <s v="NILLO PARTICIPACOES E EMPREENDIMENTOS LTDA.; CELSO LUIZ RISI; MARIA DO CARMO RISI MOREIRA DE AZEVEDO;"/>
    <s v="05862759/0001-05;"/>
    <s v="006978038-21; 033405018-90;"/>
    <s v="RUA DOUTOR EDUARDO ARANHA, 323; RUA DOUTOR EDUARDO ARANHA, 329; RUA DOUTOR EDUARDO ARANHA, 333; RUA DOUTOR EDUARDO ARANHA, 341; RUA DOUTOR EDUARDO ARANHA, 357; RUA BANDEIRA PAULISTA, 1108; RUA BANDEIRA PAULISTA, 1118; RUA BANDEIRA PAULISTA, 1120; RUA BANDEIRA PAULISTA, 1130;  RUA PROFESSOR JOAO BRITO, 169; RUA PROFESSOR JOAO BRITO, 169; RUA PRINCIPE REAL, 41; RUA PRINCIPE REAL, 49; RUA PRINCIPE REAL, 65; "/>
    <x v="1"/>
    <x v="0"/>
    <s v="016155;"/>
    <s v="0080-4; 0084-7; 0089-8;"/>
    <n v="4397"/>
    <s v="R"/>
    <n v="13191"/>
    <n v="0"/>
    <n v="13191"/>
    <s v="CEPAC (título)"/>
    <m/>
    <n v="3518"/>
    <n v="0"/>
    <n v="3518"/>
    <s v="FL-017/2025"/>
    <x v="0"/>
    <m/>
    <m/>
    <m/>
    <m/>
    <m/>
    <s v="ERRO CAMPO DATA CERTIDÃO 11/11/2025."/>
    <s v="PRISCILA/19/11/2025"/>
  </r>
  <r>
    <s v="FL-0449"/>
    <x v="1"/>
    <s v="1010.2025/0008841-8"/>
    <m/>
    <d v="2025-08-25T00:00:00"/>
    <x v="0"/>
    <s v="TRISUL 33 EMPREENDIMENTOS IMOBILIARIOS LTDA.;"/>
    <s v="35165682/0001-77;"/>
    <m/>
    <s v="RUA CHIPRE, 36"/>
    <x v="4"/>
    <x v="0"/>
    <s v="299058;"/>
    <s v="0002-4; 0152-7;"/>
    <n v="1600"/>
    <s v="R"/>
    <n v="3840"/>
    <n v="0"/>
    <n v="3840"/>
    <s v="CEPAC (título)"/>
    <m/>
    <n v="1920"/>
    <n v="0"/>
    <n v="1920"/>
    <s v="FL-024/2025"/>
    <x v="0"/>
    <m/>
    <m/>
    <m/>
    <m/>
    <m/>
    <m/>
    <s v="PRISCILA/17/12/2025"/>
  </r>
  <r>
    <s v="FL-0450"/>
    <x v="1"/>
    <s v="1010.2025/0008842-6"/>
    <m/>
    <d v="2025-08-25T00:00:00"/>
    <x v="0"/>
    <s v="CAPSICUM EMPREENDIMENTOS E PARTICIPACOES LTDA.; S&amp;Z HOLDING PARTICIPACOES LTDA.; MARCIA PONTES SIMOES; CARMEN LUCIA PORTES SIMOES; MARI KATAGIRI; KAZUNORI KATAGIRI; AZEKA PARTICIPACOES LTDA.; PS CONSUTORIA E ASSESSORIA ECONOMICO FINANCEIRA S/S LTDA.;"/>
    <s v="25186614/0001-30; 57616991/0001-59; 12933190/0001-89; 55948061/0001-77;"/>
    <s v="736915269-34; 830389739-04; 157548528-44;"/>
    <s v="RUA MARTIM CARRASCO, 50; RUA MARTIM CARRASCO, 102; AVENIDA BRIGADEIRO FARIA LIMA, 724; AVENIDA BRIGADEIRO FARIA LIMA, 870; RUA FERNAO DIAS, 485; RUA FERNAO DIAS, 501;"/>
    <x v="3"/>
    <x v="0"/>
    <s v="083032;"/>
    <s v="0046-1; 0047-1; 0053-4; 0054-2; 0055-0; 0056-9; 0057-7; 0058-5; 0059-3; 0060-7; 0063-1; 0080-1; 0081-1; 0500-5; 0501-3; 0502-1; 0503-1; 0505-6; 0542-0; 0543-9; 0547-1; 0548-1; 1651-1; 1652-1;"/>
    <n v="7178.36"/>
    <s v="R"/>
    <n v="12821.27"/>
    <n v="0"/>
    <n v="12821.27"/>
    <s v="CEPAC (título)"/>
    <m/>
    <n v="6379"/>
    <n v="0"/>
    <n v="6379"/>
    <s v="FL-018/2025"/>
    <x v="0"/>
    <m/>
    <m/>
    <m/>
    <m/>
    <m/>
    <m/>
    <s v="PRISCILA/17/12/2025"/>
  </r>
  <r>
    <s v="FL-0399"/>
    <x v="1"/>
    <s v="1010.2025/0008851-5"/>
    <m/>
    <d v="2025-08-25T00:00:00"/>
    <x v="0"/>
    <s v="FLCJ SPE EMPREENDIMENTO IMOBILIARIO LTDA"/>
    <s v="14281580/0001-47;"/>
    <m/>
    <s v="AVENIDA PROFESSOR ARHTUR RAMOS, 111; AVENIDA PROFESSOR ARHTUR RAMOS, 127; AVENIDA PROFESSOR ARHTUR RAMOS, 135; AVENIDA PROFESSOR ARHTUR RAMOS, 143; AVENIDA PROFESSOR ARHTUR RAMOS, 149; AVENIDA CIDADE JARDIM, 541; AVENIDA CIDADE JARDIM, 614;  AVENIDA CIDADE JARDIM, 632;"/>
    <x v="0"/>
    <x v="2"/>
    <s v="083068;"/>
    <s v="0020-6;"/>
    <s v="2,657,45"/>
    <s v="MISTO"/>
    <n v="4513.32"/>
    <n v="5584.99"/>
    <n v="10098.31"/>
    <s v="CEPAC (título)"/>
    <m/>
    <n v="2229"/>
    <n v="0"/>
    <n v="2229"/>
    <s v="FL-012/2025"/>
    <x v="0"/>
    <m/>
    <m/>
    <m/>
    <m/>
    <m/>
    <s v="PEDIDO DE ALTERAÇÃO DA CERTIDÃO FL-001/2025. TOTAL DE 7.629 CEPAC/ ERRO CAMPO DATA CERTIDÃO 28/10/2025."/>
    <s v="PRISCILA/19/11/2025"/>
  </r>
  <r>
    <s v="FL-0437"/>
    <x v="1"/>
    <s v="1010.2025/0008852-3"/>
    <m/>
    <d v="2025-08-25T00:00:00"/>
    <x v="2"/>
    <s v="JHSF PARTICIPACOES S.A.;"/>
    <s v="08294224/0001-65;"/>
    <m/>
    <s v="RUA LEOPOLDO COUTO MAGALHAES, 912; RUA LEOPOLDO COUTO MAGALHAES, 928; RUA PROFESSOR ATILIO INNOCENTI, 54; RUA PROFESSOR ATILIO INNOCENTI, 62; AVENIDA BRIGADEIRO FARIA LIMA, S/N;"/>
    <x v="1"/>
    <x v="2"/>
    <s v="299127;"/>
    <s v="0005-6; 0007-2; 0024-2; 0025-0;"/>
    <n v="3776.4"/>
    <s v="MISTO"/>
    <n v="4854.71"/>
    <n v="175.82999999999993"/>
    <n v="14350.32"/>
    <s v="CEPAC (título)"/>
    <m/>
    <n v="1906"/>
    <n v="0"/>
    <n v="1906"/>
    <m/>
    <x v="3"/>
    <m/>
    <m/>
    <m/>
    <m/>
    <m/>
    <s v="PEDIDO DE ALTERAÇÃO DA CERTIDÃO FL-009/2022; TOTAL DE ACA 14.350,32; TOTAL DE 11.226 CEPAC."/>
    <s v="PRISCILA/23/09/2025"/>
  </r>
  <r>
    <s v="FL-0451"/>
    <x v="1"/>
    <s v="1010.2025/0008856-6"/>
    <m/>
    <d v="2025-08-25T00:00:00"/>
    <x v="0"/>
    <s v="SUMMER EMPREENDIMENTOS LTDA."/>
    <s v="05644674/0001-42"/>
    <m/>
    <s v="AVENIDA BRIGADEIRO FARIA LIMA, 2491"/>
    <x v="0"/>
    <x v="0"/>
    <s v="015116;"/>
    <s v="0393-3;"/>
    <n v="1581.56"/>
    <s v="R"/>
    <n v="4774.68"/>
    <n v="0"/>
    <n v="4774.68"/>
    <s v="CEPAC (título)"/>
    <m/>
    <n v="4592"/>
    <n v="0"/>
    <n v="4592"/>
    <s v="FL-009/2025"/>
    <x v="0"/>
    <m/>
    <m/>
    <m/>
    <m/>
    <m/>
    <s v="ERRO CAMPO DATA CERTIDÃO 28/10/2025."/>
    <s v="PRISCILA/19/11/2025"/>
  </r>
  <r>
    <s v="FL-0452"/>
    <x v="1"/>
    <s v="1010.2025/0008862-0"/>
    <m/>
    <d v="2025-08-25T00:00:00"/>
    <x v="0"/>
    <s v="HBR 84 - INVESTIMENTOS IMOBILIARIOS LTDA.;"/>
    <s v="43180385/0001-29;"/>
    <m/>
    <s v="AVENIDA BRIGADEIRO FARIA LIMA, 4433"/>
    <x v="4"/>
    <x v="0"/>
    <s v="299058;"/>
    <s v="0151-9;"/>
    <n v="823.66"/>
    <s v="MISTO"/>
    <n v="708.1"/>
    <n v="1351.37"/>
    <n v="2059.4699999999998"/>
    <s v="CEPAC (título)"/>
    <m/>
    <n v="1857"/>
    <n v="0"/>
    <n v="1857"/>
    <s v="FL-008/2025"/>
    <x v="0"/>
    <m/>
    <m/>
    <m/>
    <m/>
    <m/>
    <s v="ERRO CAMPO DATA CERTIDÃO 21/10/2025."/>
    <s v="PRISCILA/19/11/2025"/>
  </r>
  <r>
    <s v="FL-0453"/>
    <x v="1"/>
    <s v="1010.2025/0008870-1"/>
    <m/>
    <d v="2025-08-25T00:00:00"/>
    <x v="0"/>
    <s v="HORACIO LAFER INCORPORADORA SPE LTDA.;"/>
    <s v="09046188/000183;"/>
    <m/>
    <s v="AVENIDA HORACIO LAFER, 73"/>
    <x v="1"/>
    <x v="0"/>
    <s v="299018;"/>
    <s v="0039-9;"/>
    <n v="1650"/>
    <s v="R"/>
    <n v="6270"/>
    <n v="0"/>
    <n v="6270"/>
    <s v="CEPAC (título)"/>
    <m/>
    <n v="2508"/>
    <n v="0"/>
    <n v="2508"/>
    <s v="FL-020/2025"/>
    <x v="0"/>
    <m/>
    <m/>
    <m/>
    <m/>
    <m/>
    <m/>
    <s v="PRISCILA/17/12/2025"/>
  </r>
  <r>
    <s v="FL-0454"/>
    <x v="1"/>
    <s v="1010.2025/0008877-9"/>
    <m/>
    <d v="2025-08-25T00:00:00"/>
    <x v="0"/>
    <s v="SP LEO EMPREENDIMENTOS IMOBILIARIOS LTDA."/>
    <s v="09026090/0001-64;"/>
    <m/>
    <s v="RUA LEOPOLDO COUTO DE MAGALHAES, 1448; RUA LEOPOLDO COUTO DE MAGALHAES, 1466; "/>
    <x v="0"/>
    <x v="0"/>
    <s v="299015;"/>
    <s v="0127-8; 0128-6; 0442-0;"/>
    <n v="1363.1"/>
    <s v="R"/>
    <n v="5179.78"/>
    <n v="0"/>
    <n v="5179.78"/>
    <s v="CEPAC (título)"/>
    <m/>
    <n v="3065"/>
    <n v="0"/>
    <n v="3065"/>
    <s v="FL-014/2025"/>
    <x v="0"/>
    <m/>
    <m/>
    <m/>
    <m/>
    <m/>
    <s v="ERRO CAMPO DATA CERTIDÃO 29/10/2025."/>
    <s v="PRISCILA/19/11/2025"/>
  </r>
  <r>
    <s v="FL-0455"/>
    <x v="1"/>
    <s v="1010.2025/0008884-1"/>
    <m/>
    <d v="2025-08-25T00:00:00"/>
    <x v="0"/>
    <s v="SAO JOSE DESENVOLVIMENTO IMOBILIARIO 3 LTDA."/>
    <s v="07684115/0001-91;"/>
    <m/>
    <s v="RUA LEOPOLDO COUTO DE MAGALHAES JUNIOR, 1246"/>
    <x v="0"/>
    <x v="0"/>
    <s v="299015;"/>
    <s v="0002-6; 0463-3"/>
    <n v="1586.83"/>
    <s v="R"/>
    <n v="4737.16"/>
    <n v="0"/>
    <n v="4737.16"/>
    <s v="CEPAC (título)"/>
    <m/>
    <n v="3644"/>
    <n v="0"/>
    <n v="3644"/>
    <s v="FL-022/2025"/>
    <x v="0"/>
    <m/>
    <m/>
    <m/>
    <m/>
    <m/>
    <s v="campo &quot;DATA CERTIDÃO&quot; não funcionando. Certidão emitida em 18/11/2025"/>
    <s v="PRISCILA/17/12/2025"/>
  </r>
  <r>
    <s v="FL-0456"/>
    <x v="1"/>
    <s v="1010.2025/0008885-0"/>
    <m/>
    <d v="2025-08-25T00:00:00"/>
    <x v="0"/>
    <s v="FUNDO DE INVESTIMENTO IMOBILIARIO - FII BRISA RENDA IMOBILIARIA RESPONSABILIDADE LIMITADA; BTG PACTUAL SERVIÇOS FINANCEIROS S.A. DTVM; FUNDO DE INVESTIMENTO IMOBILIARIO VBI PRIME PROPERTIES - RESPONSABILIDADE LIMITADA; BTG PACTUAL SERVIÇOS FINANCEIROS S.A. DTVM; VERA CRUZ II DESENVOLVIMENTO IMOBILIARIO LTDA.; "/>
    <s v="20680775/0001-62; 59281253/0001-23; 35652102/0001-76; 59281253/0001-23; 11702125/0001-80;"/>
    <m/>
    <s v="RUA ELVIRA FERRAZ, 68"/>
    <x v="4"/>
    <x v="0"/>
    <s v="299134;"/>
    <s v="0023-4; 0024-2; 0025-0; 0026-9; 0027-7; 0028-5; 0029-3; 0030-7; 0031-5; 0032-3; 0033-1; 0034-1; 0035-8; 0036-6; 0037-4; 0038-2; 0039-0; 0040-4; 0041-2; 0042-0; 0043-9; 0044-7;"/>
    <n v="6317"/>
    <s v="NR"/>
    <n v="0"/>
    <n v="1264.03"/>
    <n v="1264.03"/>
    <s v="CEPAC (título)"/>
    <m/>
    <n v="1"/>
    <n v="0"/>
    <n v="1"/>
    <s v="FL-025/2025"/>
    <x v="0"/>
    <m/>
    <m/>
    <m/>
    <m/>
    <m/>
    <m/>
    <s v="PRISCILA/17/12/2025"/>
  </r>
  <r>
    <s v="FL-0457"/>
    <x v="1"/>
    <s v="1010.2025/0008932-5"/>
    <m/>
    <d v="2025-08-25T00:00:00"/>
    <x v="0"/>
    <s v="SP GBFL EMPREENDIMENTOS IMOBILIARIOS LTDA.;"/>
    <s v="16595842/0001-73;"/>
    <m/>
    <s v="RUA TUCUMA, 375"/>
    <x v="0"/>
    <x v="0"/>
    <s v="083178;"/>
    <s v="0682-0;"/>
    <n v="585"/>
    <s v="R"/>
    <n v="501.29"/>
    <m/>
    <n v="501.29"/>
    <s v="CEPAC (título)"/>
    <m/>
    <n v="351"/>
    <n v="0"/>
    <n v="351"/>
    <s v="FL-007/2025"/>
    <x v="0"/>
    <m/>
    <m/>
    <m/>
    <m/>
    <m/>
    <s v="ACA REGULAR EXISTENTE 1065,04 (FAZ A CONTA SEM CONSIDERAR O BÁSICO ACIMA DE 1,0, contudo, chega no mesmo resultado pois subtraí a aca regular existente./ERRO CAMPO DATA CERTIDÃO 21/10/2025."/>
    <s v="PRISCILA/19/11/2025"/>
  </r>
  <r>
    <s v="FL-0458"/>
    <x v="1"/>
    <s v="1010.2025/0008933-3"/>
    <m/>
    <d v="2025-08-25T00:00:00"/>
    <x v="0"/>
    <s v="BI São Paulo IV Empreendimentos Imobiliários S.A.;"/>
    <s v="19175757/0001-44"/>
    <m/>
    <s v="RUA CORONEL JOAQUIM FERREIRA LOBO, 139; RUA CORONEL JOAQUIM FERREIRA LOBO, 171; AVENIDA BRIGADEIRO FARIA LIMA, S/N; RUA CHILON, 140"/>
    <x v="4"/>
    <x v="0"/>
    <n v="299047"/>
    <s v="0012-3; 0126-1; 0204-5; 0209-6;"/>
    <n v="3744.92"/>
    <s v="NR"/>
    <n v="0"/>
    <n v="9650.7099999999991"/>
    <n v="9650.7099999999991"/>
    <s v="CEPAC (título)"/>
    <m/>
    <n v="9059"/>
    <n v="1873"/>
    <n v="10932"/>
    <s v="FL-019/2025"/>
    <x v="0"/>
    <m/>
    <m/>
    <m/>
    <m/>
    <m/>
    <s v="campo &quot;DATA CERTIDÃO&quot; não funcionando. Certidão emitida em 13/11/2025"/>
    <s v="PRISCILA/11/12/2025"/>
  </r>
  <r>
    <s v="FL-0414"/>
    <x v="1"/>
    <s v="7810.2025/0000957-2"/>
    <m/>
    <m/>
    <x v="2"/>
    <s v="FUNCHAL 641 SPE EMPREENDIMENTOS IMOBILIÁRIOS LTDA"/>
    <s v="18597139/0001-20;"/>
    <m/>
    <s v="RUA FUNCHAL, 68, 76, 92, 102, 641, 651; AVENIDA DOUTOR CARDOSO DE MELO, 1761, "/>
    <x v="4"/>
    <x v="1"/>
    <s v="299078;"/>
    <s v="0034-1; 0039-0; 0040-4; 00041-2; 0043-9;"/>
    <n v="3732.62"/>
    <s v="R"/>
    <m/>
    <m/>
    <m/>
    <s v="CEPAC (título)"/>
    <m/>
    <n v="2754"/>
    <m/>
    <n v="2754"/>
    <s v="DV-001/2025"/>
    <x v="3"/>
    <d v="2025-10-24T00:00:00"/>
    <m/>
    <m/>
    <m/>
    <m/>
    <s v="Os 2.754 CEPAC desvinculados pela presente Certidão só poderão ser novamente_x000a_vinculados a outro terreno, a partir de 24/ 04/2026, ou seja, 180 (cento e oitenta)_x000a_dias após a publicação da decisão que autorizou a desvinculação (DOC, 24/10/2025,_x000a_pag. 240)144960274;"/>
    <s v="PRISCILA/13/10/2025"/>
  </r>
  <r>
    <s v="FL-0414"/>
    <x v="0"/>
    <s v="7810.2025/0000957-2"/>
    <m/>
    <m/>
    <x v="0"/>
    <s v="FUNCHAL 641 SPE EMPREENDIMENTOS IMOBILIÁRIOS LTDA"/>
    <s v="18597139/0001-20;"/>
    <m/>
    <s v="RUA FUNCHAL, 68, 76, 92, 102, 641, 651; AVENIDA DOUTOR CARDOSO DE MELO, 1761, "/>
    <x v="4"/>
    <x v="2"/>
    <s v="299078;"/>
    <s v="0034-1; 0039-0; 0040-4; 00041-2; 0043-9;"/>
    <n v="3732.62"/>
    <s v="R"/>
    <n v="9833.9599999999991"/>
    <m/>
    <n v="9833.9599999999991"/>
    <s v="CEPAC (título)"/>
    <m/>
    <n v="3209"/>
    <m/>
    <n v="3209"/>
    <s v="FL-005/2025"/>
    <x v="0"/>
    <m/>
    <m/>
    <m/>
    <m/>
    <n v="75"/>
    <s v="ESTOQUE CONSUMIDO NA LEI 13.769/2004. Os 2.754 CEPAC desvinculados pela presente Certidão só poderão ser novamente_x000a_vinculados a outro terreno, a partir de 24/ 04/2026, ou seja, 180 (cento e oitenta)_x000a_dias após a publicação da decisão que autorizou a desvinculação (DOC, 24/10/2025,_x000a_pag. 240)144960274;"/>
    <s v="PRISCILA/13/10/2025"/>
  </r>
  <r>
    <s v="FL-0253"/>
    <x v="1"/>
    <s v="7810.2024/0001769-7"/>
    <m/>
    <d v="2024-10-30T00:00:00"/>
    <x v="0"/>
    <s v="FUNDO DE INVESTIMENTO IMOBILIRARIO - FII; ADMINISTRADORA PMV LTDA.;"/>
    <s v="19419994/0001-03; 05083840/0001-89;"/>
    <m/>
    <s v="AVENIDA CHEDID JAFFET, 75; AVENIDA JUSCELINO KUBITSCHECK, 1909; RUA FUNCHAL, 160; RUA PEQUETITA, 170"/>
    <x v="4"/>
    <x v="0"/>
    <s v="299153;"/>
    <s v="299.153.002-4;0004-0;0005-9;0006-7; 0007-5; 0008-3; 0009-1; 0010-5; 0011-3; 0012-1;"/>
    <n v="38803.440000000002"/>
    <s v="NR"/>
    <m/>
    <n v="4088.58"/>
    <n v="4088.58"/>
    <s v="CEPAC (título)"/>
    <m/>
    <n v="10"/>
    <n v="0"/>
    <n v="10"/>
    <s v="FL-021/2025"/>
    <x v="0"/>
    <d v="2025-11-17T00:00:00"/>
    <m/>
    <m/>
    <m/>
    <m/>
    <m/>
    <s v="PRISCILA/17/12/2025"/>
  </r>
  <r>
    <s v="FL-0114"/>
    <x v="1"/>
    <s v="7810.2025/0001181-0"/>
    <m/>
    <m/>
    <x v="2"/>
    <s v="8.000C-PAKS EMPREENDIMENTO IMOBILIÁRIO LTDA"/>
    <s v="1.092.510/0001-60"/>
    <m/>
    <s v="AVENIDA JUSCELINO KUBITSCHECK , 2041; AVENIDA DAS NACOES UNIDAS"/>
    <x v="4"/>
    <x v="1"/>
    <s v="299148;"/>
    <s v="0001-5;"/>
    <n v="61055.85"/>
    <s v="R"/>
    <n v="15994.2"/>
    <m/>
    <m/>
    <s v="CEPAC (título)"/>
    <m/>
    <n v="7988"/>
    <m/>
    <n v="7988"/>
    <m/>
    <x v="3"/>
    <m/>
    <m/>
    <m/>
    <m/>
    <m/>
    <s v="a data final será 15/07/2026. (estoque da certidão FL-004/2021) Os 7.998 CEPAC desvinculados pela presente certidão só poderão ser novamente vinculados a outro terreno, após 180 (cento e oitenta) dias da publicação da decisão que autorizou a desvinculação (DOC, 16/01/2026, pág. 226);_x000a__x000a_2. A área adicional de construção de 15.994,20 m² deverá ser restituída ao estoque de área adicional de construção do Setor Olimpíadas, Subsetor 4b, podendo ser novamente utilizada, exclusivamente para o uso Residencial, após 90 (noventa) dias da publicação que autorizou a desvinculação (DOC, 16/01/2026, pág. 226)_x000a__x000a_3. Pelo despacho proferido em 16 de janeiro de 2026  foi cancelada a Certidão FL-004/2021 sendo invalidados, a partir da data de publicação do despacho, quaisquer efeitos jurídicos dela decorrentes."/>
    <s v="PRISCILA/16/01/2026"/>
  </r>
  <r>
    <s v="FL-0383"/>
    <x v="1"/>
    <s v="7810.2025/0001104-6"/>
    <m/>
    <d v="2025-08-14T00:00:00"/>
    <x v="2"/>
    <s v="EVEN SP 121 EMPREENDIMENTOS IMOBILIARIOS S.A."/>
    <s v="12360052/0001-58;"/>
    <m/>
    <s v="RUA DOS CARIRIS, 291 A 367; RUA CARDEAL ARCOVERDE, 2977 A 3041; RUA DIOGO MOREIRA, 222 A 322; AVENIDA EUSÉBIO MATOSO, 366 A 398;"/>
    <x v="3"/>
    <x v="1"/>
    <s v="015074;"/>
    <s v="0689-4;"/>
    <n v="15540.05"/>
    <m/>
    <m/>
    <m/>
    <n v="0"/>
    <s v="CEPAC (título)"/>
    <m/>
    <n v="3292"/>
    <m/>
    <n v="3292"/>
    <s v="DV-002/2025"/>
    <x v="3"/>
    <m/>
    <m/>
    <m/>
    <m/>
    <n v="0"/>
    <s v="a data final será 31/05/2026. CANCELA A CERTIDÃO FL-004/2025. DESVINCULAÇÃO DE 3292 CEPAC, SEM DESVINCULAÇÃO DE ÁREA"/>
    <s v="PRISCILA/27/03/2026"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m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n v="0"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n v="0"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n v="0"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n v="0"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n v="0"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n v="0"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n v="0"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n v="0"/>
    <m/>
    <m/>
    <m/>
  </r>
  <r>
    <m/>
    <x v="2"/>
    <m/>
    <m/>
    <m/>
    <x v="1"/>
    <m/>
    <m/>
    <m/>
    <m/>
    <x v="2"/>
    <x v="3"/>
    <m/>
    <m/>
    <m/>
    <m/>
    <m/>
    <m/>
    <n v="0"/>
    <m/>
    <m/>
    <m/>
    <m/>
    <n v="0"/>
    <m/>
    <x v="2"/>
    <m/>
    <m/>
    <m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E4FFB-C929-4B15-875F-3D7DA18AC2E2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6:C11" firstHeaderRow="0" firstDataRow="1" firstDataCol="1" rowPageCount="4" colPageCount="1"/>
  <pivotFields count="33"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axis="axisPage" multipleItemSelectionAllowed="1" showAll="0">
      <items count="5">
        <item x="2"/>
        <item h="1" x="1"/>
        <item x="0"/>
        <item h="1"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4">
    <pageField fld="5" item="0" hier="-1"/>
    <pageField fld="25" hier="-1"/>
    <pageField fld="1" item="1" hier="-1"/>
    <pageField fld="11" hier="-1"/>
  </pageFields>
  <dataFields count="2">
    <dataField name="Soma de ACA-R" fld="16" baseField="0" baseItem="0"/>
    <dataField name="Soma de ACA-NR" fld="17" baseField="1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39FA3-B3FD-4D3A-A705-B3D2CEA919F8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0:C35" firstHeaderRow="0" firstDataRow="1" firstDataCol="1" rowPageCount="4" colPageCount="1"/>
  <pivotFields count="33"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axis="axisPage" multipleItemSelectionAllowed="1" showAll="0">
      <items count="5">
        <item h="1" x="2"/>
        <item x="1"/>
        <item h="1" x="0"/>
        <item h="1"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4">
    <pageField fld="5" hier="-1"/>
    <pageField fld="25" hier="-1"/>
    <pageField fld="1" hier="-1"/>
    <pageField fld="11" hier="-1"/>
  </pageFields>
  <dataFields count="2">
    <dataField name="Soma de ACA-R" fld="16" baseField="0" baseItem="0"/>
    <dataField name="Soma de ACA-NR" fld="17" baseField="1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2A18C1-8005-4D49-95B7-AEEC46471367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E6:G11" firstHeaderRow="0" firstDataRow="1" firstDataCol="1" rowPageCount="4" colPageCount="1"/>
  <pivotFields count="33"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axis="axisPage" multipleItemSelectionAllowed="1" showAll="0">
      <items count="5">
        <item x="2"/>
        <item h="1"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4">
    <pageField fld="5" item="1" hier="-1"/>
    <pageField fld="25" item="2" hier="-1"/>
    <pageField fld="1" item="1" hier="-1"/>
    <pageField fld="11" hier="-1"/>
  </pageFields>
  <dataFields count="2">
    <dataField name="Soma de ACA-R" fld="16" baseField="0" baseItem="0"/>
    <dataField name="Soma de ACA-NR" fld="17" baseField="1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DB725-872F-4ED1-BFD8-2B8A3B101F69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E18:G23" firstHeaderRow="0" firstDataRow="1" firstDataCol="1" rowPageCount="4" colPageCount="1"/>
  <pivotFields count="33"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axis="axisPage" multipleItemSelectionAllowed="1" showAll="0">
      <items count="5">
        <item x="2"/>
        <item h="1"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4">
    <pageField fld="5" item="1" hier="-1"/>
    <pageField fld="25" item="2" hier="-1"/>
    <pageField fld="1" item="1" hier="-1"/>
    <pageField fld="11" hier="-1"/>
  </pageFields>
  <dataFields count="2">
    <dataField name="Soma de CEPAC ACA" fld="21" baseField="0" baseItem="0"/>
    <dataField name="Soma de CEPAC PARAMETROS" fld="22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080B5-401A-4FBB-AFAC-10F0A67739F1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8:C23" firstHeaderRow="0" firstDataRow="1" firstDataCol="1" rowPageCount="4" colPageCount="1"/>
  <pivotFields count="33"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axis="axisPage" multipleItemSelectionAllowed="1" showAll="0">
      <items count="5">
        <item x="2"/>
        <item h="1"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4">
    <pageField fld="5" item="0" hier="-1"/>
    <pageField fld="25" hier="-1"/>
    <pageField fld="1" item="1" hier="-1"/>
    <pageField fld="11" hier="-1"/>
  </pageFields>
  <dataFields count="2">
    <dataField name="Soma de CEPAC ACA" fld="21" baseField="0" baseItem="0"/>
    <dataField name="Soma de CEPAC PARAMETROS" fld="22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1190-582A-4D5A-BD36-7369254E0642}">
  <dimension ref="E1:AC39"/>
  <sheetViews>
    <sheetView topLeftCell="C3" zoomScale="90" zoomScaleNormal="90" workbookViewId="0">
      <selection activeCell="F33" sqref="F33"/>
    </sheetView>
  </sheetViews>
  <sheetFormatPr defaultRowHeight="15"/>
  <cols>
    <col min="1" max="5" width="10.7109375" customWidth="1"/>
    <col min="6" max="6" width="21.85546875" customWidth="1"/>
    <col min="7" max="7" width="18.28515625" customWidth="1"/>
    <col min="8" max="8" width="15.85546875" customWidth="1"/>
    <col min="9" max="9" width="20.140625" customWidth="1"/>
    <col min="10" max="10" width="15.85546875" customWidth="1"/>
    <col min="11" max="13" width="16.140625" customWidth="1"/>
    <col min="14" max="14" width="15.5703125" customWidth="1"/>
    <col min="15" max="15" width="15.28515625" customWidth="1"/>
    <col min="16" max="16" width="12.5703125" customWidth="1"/>
    <col min="17" max="17" width="18" customWidth="1"/>
    <col min="18" max="18" width="16.42578125" customWidth="1"/>
    <col min="19" max="19" width="16.28515625" customWidth="1"/>
    <col min="20" max="20" width="13" customWidth="1"/>
    <col min="21" max="21" width="10.85546875" bestFit="1" customWidth="1"/>
    <col min="24" max="24" width="11.140625" bestFit="1" customWidth="1"/>
    <col min="25" max="25" width="15.28515625" bestFit="1" customWidth="1"/>
    <col min="26" max="26" width="11.140625" bestFit="1" customWidth="1"/>
    <col min="27" max="27" width="15.28515625" bestFit="1" customWidth="1"/>
  </cols>
  <sheetData>
    <row r="1" spans="5:25" ht="30" customHeight="1"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5:25" ht="30" customHeight="1">
      <c r="E2" s="66"/>
      <c r="F2" s="341" t="s">
        <v>53</v>
      </c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66"/>
    </row>
    <row r="3" spans="5:25" ht="30" customHeight="1">
      <c r="E3" s="66"/>
      <c r="F3" s="341" t="s">
        <v>54</v>
      </c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66"/>
    </row>
    <row r="4" spans="5:25" ht="30" customHeight="1">
      <c r="E4" s="66"/>
      <c r="F4" s="341" t="s">
        <v>3336</v>
      </c>
      <c r="G4" s="341"/>
      <c r="H4" s="341"/>
      <c r="I4" s="341"/>
      <c r="J4" s="341"/>
      <c r="K4" s="341"/>
      <c r="L4" s="341"/>
      <c r="M4" s="341"/>
      <c r="N4" s="341"/>
      <c r="O4" s="341"/>
      <c r="P4" s="341"/>
      <c r="Q4" s="341"/>
      <c r="R4" s="341"/>
      <c r="S4" s="341"/>
      <c r="T4" s="66"/>
    </row>
    <row r="5" spans="5:25" ht="30" customHeight="1" thickBot="1">
      <c r="E5" s="66"/>
      <c r="F5" s="342"/>
      <c r="G5" s="342"/>
      <c r="H5" s="342"/>
      <c r="I5" s="342"/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66"/>
    </row>
    <row r="6" spans="5:25" ht="36.75" customHeight="1" thickBot="1">
      <c r="E6" s="66"/>
      <c r="F6" s="327" t="s">
        <v>9</v>
      </c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9"/>
      <c r="R6" s="64"/>
      <c r="S6" s="64"/>
      <c r="T6" s="66"/>
    </row>
    <row r="7" spans="5:25" ht="51.75" customHeight="1">
      <c r="E7" s="66"/>
      <c r="F7" s="303" t="s">
        <v>0</v>
      </c>
      <c r="G7" s="295" t="s">
        <v>8</v>
      </c>
      <c r="H7" s="295"/>
      <c r="I7" s="305" t="s">
        <v>10</v>
      </c>
      <c r="J7" s="295" t="s">
        <v>31</v>
      </c>
      <c r="K7" s="295"/>
      <c r="L7" s="295" t="s">
        <v>11</v>
      </c>
      <c r="M7" s="295"/>
      <c r="N7" s="295" t="s">
        <v>48</v>
      </c>
      <c r="O7" s="295"/>
      <c r="P7" s="295" t="s">
        <v>12</v>
      </c>
      <c r="Q7" s="296"/>
      <c r="R7" s="65"/>
      <c r="S7" s="65"/>
      <c r="T7" s="66"/>
    </row>
    <row r="8" spans="5:25" ht="30" customHeight="1" thickBot="1">
      <c r="E8" s="66"/>
      <c r="F8" s="304"/>
      <c r="G8" s="4" t="s">
        <v>1172</v>
      </c>
      <c r="H8" s="4" t="s">
        <v>1161</v>
      </c>
      <c r="I8" s="306"/>
      <c r="J8" s="4" t="s">
        <v>1172</v>
      </c>
      <c r="K8" s="4" t="s">
        <v>1161</v>
      </c>
      <c r="L8" s="4" t="s">
        <v>1172</v>
      </c>
      <c r="M8" s="4" t="s">
        <v>1161</v>
      </c>
      <c r="N8" s="4" t="s">
        <v>1172</v>
      </c>
      <c r="O8" s="4" t="s">
        <v>1161</v>
      </c>
      <c r="P8" s="4" t="s">
        <v>1172</v>
      </c>
      <c r="Q8" s="5" t="s">
        <v>1161</v>
      </c>
      <c r="R8" s="66"/>
      <c r="S8" s="66"/>
      <c r="T8" s="66"/>
    </row>
    <row r="9" spans="5:25">
      <c r="E9" s="66"/>
      <c r="F9" s="9" t="s">
        <v>1</v>
      </c>
      <c r="G9" s="3">
        <v>292445</v>
      </c>
      <c r="H9" s="3">
        <v>182505</v>
      </c>
      <c r="I9" s="3">
        <f>G9+H9</f>
        <v>474950</v>
      </c>
      <c r="J9" s="3">
        <f>279084.28</f>
        <v>279084.28000000003</v>
      </c>
      <c r="K9" s="3">
        <f>162600.47</f>
        <v>162600.47</v>
      </c>
      <c r="L9" s="258">
        <f t="shared" ref="L9:M12" si="0">(G9-J9)+N9</f>
        <v>13360.719999999972</v>
      </c>
      <c r="M9" s="258">
        <f t="shared" si="0"/>
        <v>19904.53</v>
      </c>
      <c r="N9" s="3">
        <v>0</v>
      </c>
      <c r="O9" s="13">
        <v>0</v>
      </c>
      <c r="P9" s="297">
        <f>N14</f>
        <v>22996.43</v>
      </c>
      <c r="Q9" s="298"/>
      <c r="R9" s="67"/>
      <c r="S9" s="65"/>
      <c r="T9" s="66"/>
      <c r="X9">
        <v>13360.719999999972</v>
      </c>
      <c r="Y9">
        <v>19904.53</v>
      </c>
    </row>
    <row r="10" spans="5:25">
      <c r="E10" s="66"/>
      <c r="F10" s="10" t="s">
        <v>2</v>
      </c>
      <c r="G10" s="2">
        <v>288190</v>
      </c>
      <c r="H10" s="2">
        <v>73715</v>
      </c>
      <c r="I10" s="3">
        <f>G10+H10</f>
        <v>361905</v>
      </c>
      <c r="J10" s="259">
        <f>133370.09</f>
        <v>133370.09</v>
      </c>
      <c r="K10" s="259">
        <f>73552.78</f>
        <v>73552.78</v>
      </c>
      <c r="L10" s="258">
        <f t="shared" si="0"/>
        <v>161822.14000000001</v>
      </c>
      <c r="M10" s="258">
        <f t="shared" si="0"/>
        <v>162.22000000000116</v>
      </c>
      <c r="N10" s="2">
        <f>GETPIVOTDATA("Soma de ACA-R",'5_18175'!$A$30,"SETOR OUC","FARIA LIMA")</f>
        <v>7002.23</v>
      </c>
      <c r="O10" s="14">
        <v>0</v>
      </c>
      <c r="P10" s="299"/>
      <c r="Q10" s="300"/>
      <c r="R10" s="67"/>
      <c r="S10" s="65"/>
      <c r="T10" s="66"/>
      <c r="X10">
        <v>168824.37000000002</v>
      </c>
      <c r="Y10">
        <v>162.22000000000116</v>
      </c>
    </row>
    <row r="11" spans="5:25">
      <c r="E11" s="66"/>
      <c r="F11" s="10" t="s">
        <v>3</v>
      </c>
      <c r="G11" s="2">
        <v>286695</v>
      </c>
      <c r="H11" s="2">
        <v>96600</v>
      </c>
      <c r="I11" s="3">
        <f>G11+H11</f>
        <v>383295</v>
      </c>
      <c r="J11" s="2">
        <f>146445.55</f>
        <v>146445.54999999999</v>
      </c>
      <c r="K11" s="2">
        <f>95217.97</f>
        <v>95217.97</v>
      </c>
      <c r="L11" s="258">
        <f t="shared" si="0"/>
        <v>140249.45000000001</v>
      </c>
      <c r="M11" s="258">
        <f t="shared" si="0"/>
        <v>1382.0299999999988</v>
      </c>
      <c r="N11" s="2">
        <v>0</v>
      </c>
      <c r="O11" s="14">
        <v>0</v>
      </c>
      <c r="P11" s="299"/>
      <c r="Q11" s="300"/>
      <c r="R11" s="67"/>
      <c r="S11" s="65"/>
      <c r="T11" s="66"/>
      <c r="X11">
        <v>140249.45000000001</v>
      </c>
      <c r="Y11">
        <v>1382.0299999999988</v>
      </c>
    </row>
    <row r="12" spans="5:25" ht="15.75" thickBot="1">
      <c r="E12" s="66"/>
      <c r="F12" s="11" t="s">
        <v>4</v>
      </c>
      <c r="G12" s="6">
        <v>190440</v>
      </c>
      <c r="H12" s="6">
        <v>95565</v>
      </c>
      <c r="I12" s="3">
        <f>G12+H12</f>
        <v>286005</v>
      </c>
      <c r="J12" s="6">
        <f>87199.88</f>
        <v>87199.88</v>
      </c>
      <c r="K12" s="6">
        <v>95563.02</v>
      </c>
      <c r="L12" s="258">
        <f t="shared" si="0"/>
        <v>119234.31999999999</v>
      </c>
      <c r="M12" s="258">
        <f t="shared" si="0"/>
        <v>1.9799999999959255</v>
      </c>
      <c r="N12" s="6">
        <f>GETPIVOTDATA("Soma de ACA-R",'5_18175'!$A$30,"SETOR OUC","OLIMPÍADAS")</f>
        <v>15994.2</v>
      </c>
      <c r="O12" s="15">
        <v>0</v>
      </c>
      <c r="P12" s="299"/>
      <c r="Q12" s="300"/>
      <c r="R12" s="67"/>
      <c r="S12" s="67"/>
      <c r="T12" s="66"/>
      <c r="X12">
        <v>103240.12</v>
      </c>
      <c r="Y12">
        <v>1.9799999999959255</v>
      </c>
    </row>
    <row r="13" spans="5:25" ht="29.25" customHeight="1" thickBot="1">
      <c r="E13" s="66"/>
      <c r="F13" s="309" t="s">
        <v>5</v>
      </c>
      <c r="G13" s="8">
        <f t="shared" ref="G13:O13" si="1">SUM(G9:G12)</f>
        <v>1057770</v>
      </c>
      <c r="H13" s="7">
        <f t="shared" si="1"/>
        <v>448385</v>
      </c>
      <c r="I13" s="7">
        <f t="shared" si="1"/>
        <v>1506155</v>
      </c>
      <c r="J13" s="7">
        <f t="shared" si="1"/>
        <v>646099.79999999993</v>
      </c>
      <c r="K13" s="7">
        <f t="shared" si="1"/>
        <v>426934.24</v>
      </c>
      <c r="L13" s="261">
        <f t="shared" si="1"/>
        <v>434666.63</v>
      </c>
      <c r="M13" s="261">
        <f t="shared" si="1"/>
        <v>21450.759999999995</v>
      </c>
      <c r="N13" s="7">
        <f t="shared" si="1"/>
        <v>22996.43</v>
      </c>
      <c r="O13" s="16">
        <f t="shared" si="1"/>
        <v>0</v>
      </c>
      <c r="P13" s="301"/>
      <c r="Q13" s="302"/>
      <c r="R13" s="66"/>
      <c r="S13" s="68"/>
      <c r="T13" s="66"/>
    </row>
    <row r="14" spans="5:25" ht="15.75" thickBot="1">
      <c r="E14" s="66"/>
      <c r="F14" s="310"/>
      <c r="G14" s="311">
        <f>G13+H13</f>
        <v>1506155</v>
      </c>
      <c r="H14" s="312"/>
      <c r="I14" s="12"/>
      <c r="J14" s="313">
        <f>J13+K13</f>
        <v>1073034.04</v>
      </c>
      <c r="K14" s="312"/>
      <c r="L14" s="313">
        <f>L13+M13</f>
        <v>456117.39</v>
      </c>
      <c r="M14" s="312"/>
      <c r="N14" s="313">
        <f>N13+O13</f>
        <v>22996.43</v>
      </c>
      <c r="O14" s="312"/>
      <c r="P14" s="66"/>
      <c r="Q14" s="66"/>
      <c r="R14" s="66"/>
      <c r="S14" s="66"/>
      <c r="T14" s="66"/>
    </row>
    <row r="15" spans="5:25" ht="15.75" thickBot="1"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</row>
    <row r="16" spans="5:25" ht="30.75" customHeight="1" thickBot="1">
      <c r="E16" s="66"/>
      <c r="F16" s="327" t="s">
        <v>18</v>
      </c>
      <c r="G16" s="328"/>
      <c r="H16" s="328"/>
      <c r="I16" s="328"/>
      <c r="J16" s="328"/>
      <c r="K16" s="328"/>
      <c r="L16" s="328"/>
      <c r="M16" s="328"/>
      <c r="N16" s="328"/>
      <c r="O16" s="328"/>
      <c r="P16" s="328"/>
      <c r="Q16" s="328"/>
      <c r="R16" s="328"/>
      <c r="S16" s="329"/>
      <c r="T16" s="64"/>
    </row>
    <row r="17" spans="5:29" ht="81" customHeight="1">
      <c r="E17" s="66"/>
      <c r="F17" s="303" t="s">
        <v>0</v>
      </c>
      <c r="G17" s="295" t="s">
        <v>21</v>
      </c>
      <c r="H17" s="295"/>
      <c r="I17" s="305" t="s">
        <v>22</v>
      </c>
      <c r="J17" s="295" t="s">
        <v>13</v>
      </c>
      <c r="K17" s="295"/>
      <c r="L17" s="295" t="s">
        <v>23</v>
      </c>
      <c r="M17" s="295"/>
      <c r="N17" s="295" t="s">
        <v>14</v>
      </c>
      <c r="O17" s="295"/>
      <c r="P17" s="307" t="s">
        <v>19</v>
      </c>
      <c r="Q17" s="308"/>
      <c r="R17" s="295" t="s">
        <v>15</v>
      </c>
      <c r="S17" s="296"/>
      <c r="T17" s="66"/>
    </row>
    <row r="18" spans="5:29" ht="30" customHeight="1" thickBot="1">
      <c r="E18" s="66"/>
      <c r="F18" s="304"/>
      <c r="G18" s="4" t="s">
        <v>1172</v>
      </c>
      <c r="H18" s="4" t="s">
        <v>1161</v>
      </c>
      <c r="I18" s="306"/>
      <c r="J18" s="4" t="s">
        <v>1172</v>
      </c>
      <c r="K18" s="4" t="s">
        <v>1161</v>
      </c>
      <c r="L18" s="4" t="s">
        <v>1172</v>
      </c>
      <c r="M18" s="4" t="s">
        <v>1161</v>
      </c>
      <c r="N18" s="4" t="s">
        <v>1172</v>
      </c>
      <c r="O18" s="4" t="s">
        <v>1161</v>
      </c>
      <c r="P18" s="4" t="s">
        <v>1172</v>
      </c>
      <c r="Q18" s="4" t="s">
        <v>1161</v>
      </c>
      <c r="R18" s="25" t="s">
        <v>1172</v>
      </c>
      <c r="S18" s="4" t="s">
        <v>1161</v>
      </c>
      <c r="T18" s="65"/>
    </row>
    <row r="19" spans="5:29" ht="15.75" thickBot="1">
      <c r="E19" s="66"/>
      <c r="F19" s="9" t="s">
        <v>1</v>
      </c>
      <c r="G19" s="3">
        <v>292445</v>
      </c>
      <c r="H19" s="3">
        <v>182505</v>
      </c>
      <c r="I19" s="3">
        <v>576700</v>
      </c>
      <c r="J19" s="3">
        <f t="shared" ref="J19:K22" si="2">J9</f>
        <v>279084.28000000003</v>
      </c>
      <c r="K19" s="2">
        <f>K9</f>
        <v>162600.47</v>
      </c>
      <c r="L19" s="258">
        <f>'5_18175'!R7</f>
        <v>21066.57</v>
      </c>
      <c r="M19" s="258">
        <f>'5_18175'!S7</f>
        <v>12448.27</v>
      </c>
      <c r="N19" s="258">
        <f>GETPIVOTDATA("Soma de ACA-R",'5_18175'!$A$6,"SETOR OUC","HÉLIO PELEGRINO")</f>
        <v>4854.71</v>
      </c>
      <c r="O19" s="258">
        <f>GETPIVOTDATA("Soma de ACA-NR",'5_18175'!$A$6,"SETOR OUC","HÉLIO PELEGRINO")</f>
        <v>175.82999999999993</v>
      </c>
      <c r="P19" s="345">
        <f>101750-L19-M19</f>
        <v>68235.159999999989</v>
      </c>
      <c r="Q19" s="346"/>
      <c r="R19" s="297">
        <f>250000-L24</f>
        <v>128601.59999999999</v>
      </c>
      <c r="S19" s="298"/>
      <c r="T19" s="91"/>
    </row>
    <row r="20" spans="5:29" ht="15.75" thickBot="1">
      <c r="E20" s="66"/>
      <c r="F20" s="10" t="s">
        <v>2</v>
      </c>
      <c r="G20" s="2">
        <v>288190</v>
      </c>
      <c r="H20" s="2">
        <v>73715</v>
      </c>
      <c r="I20" s="2">
        <v>402905</v>
      </c>
      <c r="J20" s="2">
        <f>J10</f>
        <v>133370.09</v>
      </c>
      <c r="K20" s="2">
        <f>K10</f>
        <v>73552.78</v>
      </c>
      <c r="L20" s="258">
        <f>'5_18175'!R8</f>
        <v>19231.149999999998</v>
      </c>
      <c r="M20" s="258">
        <f>'5_18175'!S8</f>
        <v>7722.5199999999995</v>
      </c>
      <c r="N20" s="259">
        <f>GETPIVOTDATA("Soma de ACA-R",'5_18175'!$A$6,"SETOR OUC","FARIA LIMA")</f>
        <v>0</v>
      </c>
      <c r="O20" s="259">
        <f>GETPIVOTDATA("Soma de ACA-NR",'5_18175'!$A$6,"SETOR OUC","FARIA LIMA")</f>
        <v>0</v>
      </c>
      <c r="P20" s="345">
        <f>41000-L20-M20</f>
        <v>14046.330000000002</v>
      </c>
      <c r="Q20" s="346"/>
      <c r="R20" s="299"/>
      <c r="S20" s="300"/>
      <c r="T20" s="91"/>
    </row>
    <row r="21" spans="5:29" ht="15.75" thickBot="1">
      <c r="E21" s="66"/>
      <c r="F21" s="10" t="s">
        <v>3</v>
      </c>
      <c r="G21" s="2">
        <v>286695</v>
      </c>
      <c r="H21" s="2">
        <v>96600</v>
      </c>
      <c r="I21" s="2">
        <v>437145</v>
      </c>
      <c r="J21" s="2">
        <f t="shared" si="2"/>
        <v>146445.54999999999</v>
      </c>
      <c r="K21" s="2">
        <f t="shared" si="2"/>
        <v>95217.97</v>
      </c>
      <c r="L21" s="258">
        <f>'5_18175'!R9</f>
        <v>21914.1</v>
      </c>
      <c r="M21" s="258">
        <f>'5_18175'!S9</f>
        <v>0</v>
      </c>
      <c r="N21" s="259">
        <f>GETPIVOTDATA("Soma de ACA-R",'5_18175'!$A$6,"SETOR OUC","PINHEIROS")</f>
        <v>0</v>
      </c>
      <c r="O21" s="259">
        <f>GETPIVOTDATA("Soma de ACA-NR",'5_18175'!$A$6,"SETOR OUC","PINHEIROS")</f>
        <v>0</v>
      </c>
      <c r="P21" s="345">
        <f>53850-L21-M21</f>
        <v>31935.9</v>
      </c>
      <c r="Q21" s="346"/>
      <c r="R21" s="299"/>
      <c r="S21" s="300"/>
      <c r="T21" s="91"/>
    </row>
    <row r="22" spans="5:29" ht="15.75" thickBot="1">
      <c r="E22" s="66"/>
      <c r="F22" s="11" t="s">
        <v>4</v>
      </c>
      <c r="G22" s="6">
        <v>190440</v>
      </c>
      <c r="H22" s="6">
        <v>95565</v>
      </c>
      <c r="I22" s="6">
        <v>339405</v>
      </c>
      <c r="J22" s="6">
        <f t="shared" si="2"/>
        <v>87199.88</v>
      </c>
      <c r="K22" s="6">
        <f t="shared" si="2"/>
        <v>95563.02</v>
      </c>
      <c r="L22" s="258">
        <f>'5_18175'!R10</f>
        <v>8140.1999999999989</v>
      </c>
      <c r="M22" s="258">
        <f>'5_18175'!S10</f>
        <v>30875.590000000004</v>
      </c>
      <c r="N22" s="260">
        <f>GETPIVOTDATA("Soma de ACA-R",'5_18175'!$A$6,"SETOR OUC","OLIMPÍADAS")</f>
        <v>0</v>
      </c>
      <c r="O22" s="260">
        <f>GETPIVOTDATA("Soma de ACA-NR",'5_18175'!$A$6,"SETOR OUC","OLIMPÍADAS")</f>
        <v>0</v>
      </c>
      <c r="P22" s="345">
        <f>53400-L22-M22</f>
        <v>14384.21</v>
      </c>
      <c r="Q22" s="346"/>
      <c r="R22" s="299"/>
      <c r="S22" s="300"/>
      <c r="T22" s="91"/>
    </row>
    <row r="23" spans="5:29" ht="15.75" thickBot="1">
      <c r="E23" s="66"/>
      <c r="F23" s="309" t="s">
        <v>5</v>
      </c>
      <c r="G23" s="8">
        <f t="shared" ref="G23:O23" si="3">SUM(G19:G22)</f>
        <v>1057770</v>
      </c>
      <c r="H23" s="7">
        <f t="shared" si="3"/>
        <v>448385</v>
      </c>
      <c r="I23" s="338">
        <f t="shared" si="3"/>
        <v>1756155</v>
      </c>
      <c r="J23" s="7">
        <f t="shared" si="3"/>
        <v>646099.79999999993</v>
      </c>
      <c r="K23" s="7">
        <f t="shared" si="3"/>
        <v>426934.24</v>
      </c>
      <c r="L23" s="7">
        <f t="shared" si="3"/>
        <v>70352.02</v>
      </c>
      <c r="M23" s="7">
        <f t="shared" si="3"/>
        <v>51046.380000000005</v>
      </c>
      <c r="N23" s="7">
        <f t="shared" si="3"/>
        <v>4854.71</v>
      </c>
      <c r="O23" s="7">
        <f t="shared" si="3"/>
        <v>175.82999999999993</v>
      </c>
      <c r="P23" s="324">
        <f>SUM(P19:Q22)</f>
        <v>128601.59999999998</v>
      </c>
      <c r="Q23" s="340"/>
      <c r="R23" s="301"/>
      <c r="S23" s="302"/>
      <c r="T23" s="65"/>
      <c r="U23" s="247">
        <f>R19-N24</f>
        <v>123571.06</v>
      </c>
    </row>
    <row r="24" spans="5:29" ht="15.75" thickBot="1">
      <c r="E24" s="66"/>
      <c r="F24" s="310"/>
      <c r="G24" s="311">
        <f>G23+H23</f>
        <v>1506155</v>
      </c>
      <c r="H24" s="312"/>
      <c r="I24" s="339"/>
      <c r="J24" s="313">
        <f>J23+K23</f>
        <v>1073034.04</v>
      </c>
      <c r="K24" s="312"/>
      <c r="L24" s="313">
        <f>L23+M23</f>
        <v>121398.40000000001</v>
      </c>
      <c r="M24" s="312"/>
      <c r="N24" s="313">
        <f>N23+O23</f>
        <v>5030.54</v>
      </c>
      <c r="O24" s="312"/>
      <c r="P24" s="66"/>
      <c r="Q24" s="66"/>
      <c r="R24" s="66"/>
      <c r="S24" s="66"/>
      <c r="T24" s="66"/>
    </row>
    <row r="25" spans="5:29"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</row>
    <row r="26" spans="5:29" ht="50.1" customHeight="1" thickBot="1">
      <c r="E26" s="66"/>
      <c r="F26" s="330" t="s">
        <v>24</v>
      </c>
      <c r="G26" s="331"/>
      <c r="H26" s="87"/>
      <c r="I26" s="330" t="s">
        <v>32</v>
      </c>
      <c r="J26" s="331"/>
      <c r="K26" s="88"/>
      <c r="L26" s="332" t="s">
        <v>0</v>
      </c>
      <c r="M26" s="334" t="s">
        <v>33</v>
      </c>
      <c r="N26" s="335"/>
      <c r="O26" s="83"/>
      <c r="P26" s="336" t="s">
        <v>0</v>
      </c>
      <c r="Q26" s="330" t="s">
        <v>34</v>
      </c>
      <c r="R26" s="331"/>
      <c r="S26" s="66"/>
      <c r="T26" s="66"/>
    </row>
    <row r="27" spans="5:29" ht="50.1" customHeight="1">
      <c r="E27" s="66"/>
      <c r="F27" s="61" t="s">
        <v>25</v>
      </c>
      <c r="G27" s="62">
        <v>2500000</v>
      </c>
      <c r="H27" s="66"/>
      <c r="I27" s="26" t="s">
        <v>35</v>
      </c>
      <c r="J27" s="27">
        <v>664030</v>
      </c>
      <c r="K27" s="88"/>
      <c r="L27" s="333"/>
      <c r="M27" s="28" t="s">
        <v>36</v>
      </c>
      <c r="N27" s="29" t="s">
        <v>37</v>
      </c>
      <c r="O27" s="89"/>
      <c r="P27" s="337"/>
      <c r="Q27" s="30" t="s">
        <v>38</v>
      </c>
      <c r="R27" s="29" t="s">
        <v>37</v>
      </c>
      <c r="S27" s="69"/>
      <c r="T27" s="69"/>
      <c r="X27" s="295" t="s">
        <v>16</v>
      </c>
      <c r="Y27" s="295"/>
      <c r="Z27" s="295" t="s">
        <v>20</v>
      </c>
      <c r="AA27" s="295"/>
      <c r="AB27" s="295" t="s">
        <v>17</v>
      </c>
      <c r="AC27" s="296"/>
    </row>
    <row r="28" spans="5:29" ht="50.1" customHeight="1" thickBot="1">
      <c r="E28" s="66"/>
      <c r="F28" s="17" t="s">
        <v>26</v>
      </c>
      <c r="G28" s="18">
        <v>940000</v>
      </c>
      <c r="H28" s="66"/>
      <c r="I28" s="31" t="s">
        <v>39</v>
      </c>
      <c r="J28" s="32">
        <v>117452</v>
      </c>
      <c r="K28" s="84"/>
      <c r="L28" s="33" t="s">
        <v>40</v>
      </c>
      <c r="M28" s="34">
        <v>266344</v>
      </c>
      <c r="N28" s="27">
        <v>33269</v>
      </c>
      <c r="O28" s="90"/>
      <c r="P28" s="33" t="s">
        <v>40</v>
      </c>
      <c r="Q28" s="35">
        <f>348+424+1943+2211</f>
        <v>4926</v>
      </c>
      <c r="R28" s="36">
        <v>0</v>
      </c>
      <c r="S28" s="70"/>
      <c r="T28" s="70"/>
      <c r="X28" s="4" t="s">
        <v>6</v>
      </c>
      <c r="Y28" s="4" t="s">
        <v>7</v>
      </c>
      <c r="Z28" s="4" t="s">
        <v>6</v>
      </c>
      <c r="AA28" s="4" t="s">
        <v>7</v>
      </c>
      <c r="AB28" s="4" t="s">
        <v>6</v>
      </c>
      <c r="AC28" s="5" t="s">
        <v>7</v>
      </c>
    </row>
    <row r="29" spans="5:29" ht="50.1" customHeight="1" thickBot="1">
      <c r="E29" s="66"/>
      <c r="F29" s="19" t="s">
        <v>27</v>
      </c>
      <c r="G29" s="20">
        <v>1560000</v>
      </c>
      <c r="H29" s="66"/>
      <c r="I29" s="37" t="s">
        <v>41</v>
      </c>
      <c r="J29" s="38">
        <v>-774382</v>
      </c>
      <c r="K29" s="84"/>
      <c r="L29" s="37" t="s">
        <v>2</v>
      </c>
      <c r="M29" s="39">
        <v>199360</v>
      </c>
      <c r="N29" s="32">
        <v>13377</v>
      </c>
      <c r="O29" s="84"/>
      <c r="P29" s="37" t="s">
        <v>2</v>
      </c>
      <c r="Q29" s="40">
        <f>1335+6009+2239+38</f>
        <v>9621</v>
      </c>
      <c r="R29" s="41">
        <f>45+1470+558</f>
        <v>2073</v>
      </c>
      <c r="S29" s="86"/>
      <c r="T29" s="71"/>
      <c r="X29" s="3">
        <f t="shared" ref="X29:Y32" si="4">N9</f>
        <v>0</v>
      </c>
      <c r="Y29" s="3">
        <f t="shared" si="4"/>
        <v>0</v>
      </c>
      <c r="Z29" s="316">
        <f>P19</f>
        <v>68235.159999999989</v>
      </c>
      <c r="AA29" s="317"/>
      <c r="AB29" s="318">
        <f>Z34+X35</f>
        <v>151598.02999999997</v>
      </c>
      <c r="AC29" s="319"/>
    </row>
    <row r="30" spans="5:29" ht="50.1" customHeight="1" thickBot="1">
      <c r="E30" s="66"/>
      <c r="F30" s="17" t="s">
        <v>28</v>
      </c>
      <c r="G30" s="21">
        <v>244719.95</v>
      </c>
      <c r="H30" s="66"/>
      <c r="I30" s="37" t="s">
        <v>42</v>
      </c>
      <c r="J30" s="42">
        <f>SUM(J27:J29)</f>
        <v>7100</v>
      </c>
      <c r="K30" s="84"/>
      <c r="L30" s="37" t="s">
        <v>3</v>
      </c>
      <c r="M30" s="39">
        <v>93446</v>
      </c>
      <c r="N30" s="32">
        <v>14827</v>
      </c>
      <c r="O30" s="84"/>
      <c r="P30" s="37" t="s">
        <v>3</v>
      </c>
      <c r="Q30" s="40">
        <f>2343+72</f>
        <v>2415</v>
      </c>
      <c r="R30" s="41">
        <v>2343</v>
      </c>
      <c r="S30" s="86"/>
      <c r="T30" s="71"/>
      <c r="X30" s="2">
        <f t="shared" si="4"/>
        <v>7002.23</v>
      </c>
      <c r="Y30" s="3">
        <f t="shared" si="4"/>
        <v>0</v>
      </c>
      <c r="Z30" s="316">
        <f>P20</f>
        <v>14046.330000000002</v>
      </c>
      <c r="AA30" s="317"/>
      <c r="AB30" s="320"/>
      <c r="AC30" s="321"/>
    </row>
    <row r="31" spans="5:29" ht="50.1" customHeight="1" thickBot="1">
      <c r="E31" s="66"/>
      <c r="F31" s="17" t="s">
        <v>50</v>
      </c>
      <c r="G31" s="21">
        <f>1065280.05+N10</f>
        <v>1072282.28</v>
      </c>
      <c r="H31" s="66"/>
      <c r="I31" s="43" t="s">
        <v>43</v>
      </c>
      <c r="J31" s="44">
        <v>1000000</v>
      </c>
      <c r="K31" s="84"/>
      <c r="L31" s="37" t="s">
        <v>4</v>
      </c>
      <c r="M31" s="39">
        <v>147927</v>
      </c>
      <c r="N31" s="32">
        <v>5832</v>
      </c>
      <c r="O31" s="84"/>
      <c r="P31" s="45" t="s">
        <v>4</v>
      </c>
      <c r="Q31" s="46">
        <v>174</v>
      </c>
      <c r="R31" s="47">
        <v>0</v>
      </c>
      <c r="S31" s="86"/>
      <c r="T31" s="71"/>
      <c r="X31" s="2">
        <f t="shared" si="4"/>
        <v>0</v>
      </c>
      <c r="Y31" s="3">
        <f t="shared" si="4"/>
        <v>0</v>
      </c>
      <c r="Z31" s="316">
        <f>P21</f>
        <v>31935.9</v>
      </c>
      <c r="AA31" s="317"/>
      <c r="AB31" s="320"/>
      <c r="AC31" s="321"/>
    </row>
    <row r="32" spans="5:29" ht="50.1" customHeight="1" thickBot="1">
      <c r="E32" s="66"/>
      <c r="F32" s="17" t="s">
        <v>3337</v>
      </c>
      <c r="G32" s="21">
        <f>L24</f>
        <v>121398.40000000001</v>
      </c>
      <c r="H32" s="66"/>
      <c r="I32" s="48" t="s">
        <v>44</v>
      </c>
      <c r="J32" s="49">
        <f>J31-(J27+J28)</f>
        <v>218518</v>
      </c>
      <c r="K32" s="82"/>
      <c r="L32" s="50" t="s">
        <v>45</v>
      </c>
      <c r="M32" s="51">
        <f>SUM(M28:M31)</f>
        <v>707077</v>
      </c>
      <c r="N32" s="52">
        <f>SUM(N28:N31)</f>
        <v>67305</v>
      </c>
      <c r="O32" s="84"/>
      <c r="P32" s="53" t="s">
        <v>46</v>
      </c>
      <c r="Q32" s="54">
        <f>SUM(Q28:Q31)</f>
        <v>17136</v>
      </c>
      <c r="R32" s="55">
        <f>SUM(R28:R31)</f>
        <v>4416</v>
      </c>
      <c r="S32" s="86"/>
      <c r="T32" s="71"/>
      <c r="X32" s="2">
        <f t="shared" si="4"/>
        <v>15994.2</v>
      </c>
      <c r="Y32" s="3">
        <f t="shared" si="4"/>
        <v>0</v>
      </c>
      <c r="Z32" s="316">
        <f>P22</f>
        <v>14384.21</v>
      </c>
      <c r="AA32" s="317"/>
      <c r="AB32" s="322"/>
      <c r="AC32" s="323"/>
    </row>
    <row r="33" spans="5:29" ht="84.75" customHeight="1" thickBot="1">
      <c r="E33" s="66"/>
      <c r="F33" s="268" t="s">
        <v>52</v>
      </c>
      <c r="G33" s="63">
        <v>0</v>
      </c>
      <c r="H33" s="66"/>
      <c r="I33" s="80"/>
      <c r="J33" s="81"/>
      <c r="K33" s="82"/>
      <c r="L33" s="56" t="s">
        <v>46</v>
      </c>
      <c r="M33" s="343">
        <f>M32+N32</f>
        <v>774382</v>
      </c>
      <c r="N33" s="344"/>
      <c r="O33" s="84"/>
      <c r="P33" s="85"/>
      <c r="Q33" s="81"/>
      <c r="R33" s="81"/>
      <c r="S33" s="86"/>
      <c r="T33" s="71"/>
      <c r="X33" s="57"/>
      <c r="Y33" s="57"/>
      <c r="Z33" s="58"/>
      <c r="AA33" s="59"/>
      <c r="AB33" s="60"/>
      <c r="AC33" s="24"/>
    </row>
    <row r="34" spans="5:29" ht="69.95" customHeight="1" thickBot="1">
      <c r="E34" s="66"/>
      <c r="F34" s="22" t="s">
        <v>29</v>
      </c>
      <c r="G34" s="23">
        <f>G27-G28-G30-G31-G32</f>
        <v>121599.37000000001</v>
      </c>
      <c r="H34" s="66"/>
      <c r="I34" s="83"/>
      <c r="J34" s="83"/>
      <c r="K34" s="83"/>
      <c r="L34" s="66"/>
      <c r="M34" s="66"/>
      <c r="N34" s="66"/>
      <c r="O34" s="82"/>
      <c r="P34" s="326" t="s">
        <v>47</v>
      </c>
      <c r="Q34" s="326"/>
      <c r="R34" s="326"/>
      <c r="S34" s="71"/>
      <c r="T34" s="72"/>
      <c r="X34" s="7">
        <f>SUM(X29:X32)</f>
        <v>22996.43</v>
      </c>
      <c r="Y34" s="7">
        <f>SUM(Y29:Y32)</f>
        <v>0</v>
      </c>
      <c r="Z34" s="324">
        <f>SUM(Z29:AA32)</f>
        <v>128601.59999999998</v>
      </c>
      <c r="AA34" s="325"/>
      <c r="AB34" s="314"/>
      <c r="AC34" s="315"/>
    </row>
    <row r="35" spans="5:29" ht="16.5" customHeight="1" thickBot="1">
      <c r="E35" s="66"/>
      <c r="F35" s="73" t="s">
        <v>49</v>
      </c>
      <c r="G35" s="74"/>
      <c r="H35" s="66"/>
      <c r="I35" s="75"/>
      <c r="J35" s="75"/>
      <c r="K35" s="75"/>
      <c r="L35" s="75"/>
      <c r="M35" s="76"/>
      <c r="N35" s="76"/>
      <c r="O35" s="75"/>
      <c r="P35" s="77"/>
      <c r="Q35" s="77"/>
      <c r="R35" s="77"/>
      <c r="S35" s="65"/>
      <c r="T35" s="65"/>
      <c r="X35" s="313">
        <f>X34+Y34</f>
        <v>22996.43</v>
      </c>
      <c r="Y35" s="312"/>
    </row>
    <row r="36" spans="5:29">
      <c r="E36" s="66"/>
      <c r="F36" s="73" t="s">
        <v>30</v>
      </c>
      <c r="G36" s="78"/>
      <c r="H36" s="66"/>
      <c r="I36" s="78"/>
      <c r="J36" s="78"/>
      <c r="K36" s="78"/>
      <c r="L36" s="78"/>
      <c r="M36" s="78"/>
      <c r="N36" s="78"/>
      <c r="O36" s="79"/>
      <c r="P36" s="77"/>
      <c r="Q36" s="77"/>
      <c r="R36" s="77"/>
      <c r="S36" s="66"/>
      <c r="T36" s="66"/>
    </row>
    <row r="37" spans="5:29">
      <c r="E37" s="66"/>
      <c r="F37" s="73" t="s">
        <v>51</v>
      </c>
      <c r="G37" s="74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</row>
    <row r="38" spans="5:29">
      <c r="E38" s="66"/>
      <c r="F38" s="73"/>
      <c r="G38" s="78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</row>
    <row r="39" spans="5:29">
      <c r="Q39" s="1"/>
    </row>
  </sheetData>
  <mergeCells count="58">
    <mergeCell ref="F2:S2"/>
    <mergeCell ref="F3:S3"/>
    <mergeCell ref="F4:S4"/>
    <mergeCell ref="F5:S5"/>
    <mergeCell ref="M33:N33"/>
    <mergeCell ref="P19:Q19"/>
    <mergeCell ref="P20:Q20"/>
    <mergeCell ref="P21:Q21"/>
    <mergeCell ref="P22:Q22"/>
    <mergeCell ref="N14:O14"/>
    <mergeCell ref="F17:F18"/>
    <mergeCell ref="G17:H17"/>
    <mergeCell ref="I17:I18"/>
    <mergeCell ref="J17:K17"/>
    <mergeCell ref="L17:M17"/>
    <mergeCell ref="N7:O7"/>
    <mergeCell ref="P34:R34"/>
    <mergeCell ref="F6:Q6"/>
    <mergeCell ref="F16:S16"/>
    <mergeCell ref="F26:G26"/>
    <mergeCell ref="I26:J26"/>
    <mergeCell ref="L26:L27"/>
    <mergeCell ref="M26:N26"/>
    <mergeCell ref="P26:P27"/>
    <mergeCell ref="Q26:R26"/>
    <mergeCell ref="F23:F24"/>
    <mergeCell ref="I23:I24"/>
    <mergeCell ref="P23:Q23"/>
    <mergeCell ref="G24:H24"/>
    <mergeCell ref="J24:K24"/>
    <mergeCell ref="L24:M24"/>
    <mergeCell ref="N24:O24"/>
    <mergeCell ref="AB34:AC34"/>
    <mergeCell ref="X35:Y35"/>
    <mergeCell ref="X27:Y27"/>
    <mergeCell ref="Z27:AA27"/>
    <mergeCell ref="AB27:AC27"/>
    <mergeCell ref="Z29:AA29"/>
    <mergeCell ref="AB29:AC32"/>
    <mergeCell ref="Z30:AA30"/>
    <mergeCell ref="Z31:AA31"/>
    <mergeCell ref="Z32:AA32"/>
    <mergeCell ref="Z34:AA34"/>
    <mergeCell ref="P7:Q7"/>
    <mergeCell ref="R19:S23"/>
    <mergeCell ref="F7:F8"/>
    <mergeCell ref="G7:H7"/>
    <mergeCell ref="I7:I8"/>
    <mergeCell ref="J7:K7"/>
    <mergeCell ref="L7:M7"/>
    <mergeCell ref="N17:O17"/>
    <mergeCell ref="P17:Q17"/>
    <mergeCell ref="R17:S17"/>
    <mergeCell ref="P9:Q13"/>
    <mergeCell ref="F13:F14"/>
    <mergeCell ref="G14:H14"/>
    <mergeCell ref="J14:K14"/>
    <mergeCell ref="L14:M14"/>
  </mergeCells>
  <pageMargins left="0.51181102362204722" right="0.51181102362204722" top="0.39370078740157483" bottom="0.39370078740157483" header="0.31496062992125984" footer="0.31496062992125984"/>
  <pageSetup paperSize="9" scale="50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7FF6-9E52-4379-A7E7-8B5F6EF4D3A2}">
  <dimension ref="A1:S35"/>
  <sheetViews>
    <sheetView workbookViewId="0">
      <selection activeCell="R7" sqref="R7"/>
    </sheetView>
  </sheetViews>
  <sheetFormatPr defaultRowHeight="15"/>
  <cols>
    <col min="1" max="1" width="18" bestFit="1" customWidth="1"/>
    <col min="2" max="2" width="18.42578125" bestFit="1" customWidth="1"/>
    <col min="3" max="3" width="16.140625" bestFit="1" customWidth="1"/>
    <col min="5" max="5" width="18" bestFit="1" customWidth="1"/>
    <col min="6" max="6" width="15.140625" bestFit="1" customWidth="1"/>
    <col min="7" max="7" width="16.140625" bestFit="1" customWidth="1"/>
    <col min="18" max="18" width="14.7109375" bestFit="1" customWidth="1"/>
    <col min="19" max="19" width="16.140625" bestFit="1" customWidth="1"/>
  </cols>
  <sheetData>
    <row r="1" spans="1:19">
      <c r="A1" s="236" t="s">
        <v>55</v>
      </c>
      <c r="B1" t="s">
        <v>60</v>
      </c>
      <c r="E1" s="236" t="s">
        <v>55</v>
      </c>
      <c r="F1" t="s">
        <v>58</v>
      </c>
    </row>
    <row r="2" spans="1:19">
      <c r="A2" s="236" t="s">
        <v>133</v>
      </c>
      <c r="B2" t="s">
        <v>3226</v>
      </c>
      <c r="E2" s="236" t="s">
        <v>133</v>
      </c>
      <c r="F2" t="s">
        <v>59</v>
      </c>
    </row>
    <row r="3" spans="1:19">
      <c r="A3" s="236" t="s">
        <v>3079</v>
      </c>
      <c r="B3" t="s">
        <v>3084</v>
      </c>
      <c r="E3" s="236" t="s">
        <v>3079</v>
      </c>
      <c r="F3" t="s">
        <v>3084</v>
      </c>
    </row>
    <row r="4" spans="1:19">
      <c r="A4" s="236" t="s">
        <v>93</v>
      </c>
      <c r="B4" t="s">
        <v>3229</v>
      </c>
      <c r="E4" s="236" t="s">
        <v>93</v>
      </c>
      <c r="F4" t="s">
        <v>3229</v>
      </c>
    </row>
    <row r="5" spans="1:19">
      <c r="I5" s="347" t="s">
        <v>3335</v>
      </c>
      <c r="J5" s="347"/>
      <c r="K5" s="347"/>
      <c r="L5" s="291"/>
      <c r="M5" s="291"/>
      <c r="N5" s="291"/>
      <c r="O5" s="291"/>
    </row>
    <row r="6" spans="1:19">
      <c r="A6" s="236" t="s">
        <v>3222</v>
      </c>
      <c r="B6" t="s">
        <v>3224</v>
      </c>
      <c r="C6" t="s">
        <v>3225</v>
      </c>
      <c r="E6" s="236" t="s">
        <v>3222</v>
      </c>
      <c r="F6" t="s">
        <v>3224</v>
      </c>
      <c r="G6" t="s">
        <v>3225</v>
      </c>
      <c r="I6" t="s">
        <v>1172</v>
      </c>
      <c r="J6" s="294"/>
      <c r="K6" t="s">
        <v>1161</v>
      </c>
      <c r="Q6" s="290" t="s">
        <v>3222</v>
      </c>
      <c r="R6" s="290" t="s">
        <v>3224</v>
      </c>
      <c r="S6" s="290" t="s">
        <v>3225</v>
      </c>
    </row>
    <row r="7" spans="1:19">
      <c r="A7" s="237" t="s">
        <v>40</v>
      </c>
      <c r="B7" s="238">
        <v>4854.71</v>
      </c>
      <c r="C7" s="238">
        <v>175.82999999999993</v>
      </c>
      <c r="E7" s="237" t="s">
        <v>40</v>
      </c>
      <c r="F7" s="238">
        <v>23064.61</v>
      </c>
      <c r="G7" s="238">
        <v>13405.25</v>
      </c>
      <c r="I7">
        <v>239.24</v>
      </c>
      <c r="J7" s="294">
        <v>1758.8</v>
      </c>
      <c r="K7">
        <v>956.98</v>
      </c>
      <c r="Q7" s="237" t="s">
        <v>40</v>
      </c>
      <c r="R7" s="238">
        <f>23064.61-I7-J7</f>
        <v>21066.57</v>
      </c>
      <c r="S7" s="238">
        <f>13405.25-K7</f>
        <v>12448.27</v>
      </c>
    </row>
    <row r="8" spans="1:19">
      <c r="A8" s="237" t="s">
        <v>2</v>
      </c>
      <c r="B8" s="238"/>
      <c r="C8" s="238"/>
      <c r="E8" s="237" t="s">
        <v>2</v>
      </c>
      <c r="F8" s="238">
        <v>19706.23</v>
      </c>
      <c r="G8" s="238">
        <v>8310.41</v>
      </c>
      <c r="I8">
        <v>475.08</v>
      </c>
      <c r="J8" s="294"/>
      <c r="K8">
        <v>587.89</v>
      </c>
      <c r="Q8" s="237" t="s">
        <v>2</v>
      </c>
      <c r="R8" s="238">
        <f>19706.23-I8</f>
        <v>19231.149999999998</v>
      </c>
      <c r="S8" s="238">
        <f>8310.41-K8</f>
        <v>7722.5199999999995</v>
      </c>
    </row>
    <row r="9" spans="1:19">
      <c r="A9" s="237" t="s">
        <v>3</v>
      </c>
      <c r="B9" s="238"/>
      <c r="C9" s="238"/>
      <c r="E9" s="237" t="s">
        <v>3</v>
      </c>
      <c r="F9" s="238">
        <v>26192.98</v>
      </c>
      <c r="G9" s="238">
        <v>0</v>
      </c>
      <c r="I9">
        <v>1407.54</v>
      </c>
      <c r="J9" s="294">
        <v>2871.34</v>
      </c>
      <c r="Q9" s="237" t="s">
        <v>3</v>
      </c>
      <c r="R9" s="238">
        <f>26192.98-I9-J9</f>
        <v>21914.1</v>
      </c>
      <c r="S9" s="238">
        <v>0</v>
      </c>
    </row>
    <row r="10" spans="1:19">
      <c r="A10" s="237" t="s">
        <v>4</v>
      </c>
      <c r="B10" s="238"/>
      <c r="C10" s="238"/>
      <c r="E10" s="237" t="s">
        <v>4</v>
      </c>
      <c r="F10" s="238">
        <v>8415.630000000001</v>
      </c>
      <c r="G10" s="238">
        <v>39872.159999999996</v>
      </c>
      <c r="I10">
        <v>275.43</v>
      </c>
      <c r="J10" s="294"/>
      <c r="K10">
        <v>1101.71</v>
      </c>
      <c r="L10">
        <v>1497.96</v>
      </c>
      <c r="M10">
        <v>4080</v>
      </c>
      <c r="N10">
        <v>1263.4000000000001</v>
      </c>
      <c r="O10">
        <v>1053.5</v>
      </c>
      <c r="Q10" s="237" t="s">
        <v>4</v>
      </c>
      <c r="R10" s="238">
        <f>8415.63-I10</f>
        <v>8140.1999999999989</v>
      </c>
      <c r="S10" s="238">
        <f>39872.16-K10-L10-M10-N10-O10</f>
        <v>30875.590000000004</v>
      </c>
    </row>
    <row r="11" spans="1:19">
      <c r="A11" s="237" t="s">
        <v>3223</v>
      </c>
      <c r="B11" s="238">
        <v>4854.71</v>
      </c>
      <c r="C11" s="238">
        <v>175.82999999999993</v>
      </c>
      <c r="E11" s="237" t="s">
        <v>3223</v>
      </c>
      <c r="F11" s="238">
        <v>77379.45</v>
      </c>
      <c r="G11" s="238">
        <v>61587.819999999992</v>
      </c>
      <c r="Q11" s="292" t="s">
        <v>3223</v>
      </c>
      <c r="R11" s="293">
        <f>SUM(R7:R10)</f>
        <v>70352.02</v>
      </c>
      <c r="S11" s="293">
        <f>SUM(S7:S10)</f>
        <v>51046.380000000005</v>
      </c>
    </row>
    <row r="12" spans="1:19">
      <c r="A12" s="237"/>
      <c r="B12" s="238"/>
      <c r="C12" s="238"/>
      <c r="K12">
        <f>K7+K8+K10+L10+M10+N10+O10</f>
        <v>10541.44</v>
      </c>
    </row>
    <row r="13" spans="1:19">
      <c r="A13" s="236" t="s">
        <v>55</v>
      </c>
      <c r="B13" t="s">
        <v>60</v>
      </c>
      <c r="C13" s="238"/>
      <c r="E13" s="236" t="s">
        <v>55</v>
      </c>
      <c r="F13" t="s">
        <v>58</v>
      </c>
    </row>
    <row r="14" spans="1:19">
      <c r="A14" s="236" t="s">
        <v>133</v>
      </c>
      <c r="B14" t="s">
        <v>3226</v>
      </c>
      <c r="E14" s="236" t="s">
        <v>133</v>
      </c>
      <c r="F14" t="s">
        <v>59</v>
      </c>
    </row>
    <row r="15" spans="1:19">
      <c r="A15" s="236" t="s">
        <v>3079</v>
      </c>
      <c r="B15" t="s">
        <v>3084</v>
      </c>
      <c r="E15" s="236" t="s">
        <v>3079</v>
      </c>
      <c r="F15" t="s">
        <v>3084</v>
      </c>
    </row>
    <row r="16" spans="1:19">
      <c r="A16" s="236" t="s">
        <v>93</v>
      </c>
      <c r="B16" t="s">
        <v>3229</v>
      </c>
      <c r="E16" s="236" t="s">
        <v>93</v>
      </c>
      <c r="F16" t="s">
        <v>3229</v>
      </c>
    </row>
    <row r="18" spans="1:7">
      <c r="A18" s="236" t="s">
        <v>3222</v>
      </c>
      <c r="B18" t="s">
        <v>3227</v>
      </c>
      <c r="C18" t="s">
        <v>3228</v>
      </c>
      <c r="E18" s="236" t="s">
        <v>3222</v>
      </c>
      <c r="F18" t="s">
        <v>3227</v>
      </c>
      <c r="G18" t="s">
        <v>3228</v>
      </c>
    </row>
    <row r="19" spans="1:7">
      <c r="A19" s="237" t="s">
        <v>40</v>
      </c>
      <c r="B19" s="239">
        <v>1906</v>
      </c>
      <c r="C19" s="239">
        <v>0</v>
      </c>
      <c r="E19" s="237" t="s">
        <v>40</v>
      </c>
      <c r="F19" s="239">
        <v>25911</v>
      </c>
      <c r="G19" s="239">
        <v>0</v>
      </c>
    </row>
    <row r="20" spans="1:7">
      <c r="A20" s="237" t="s">
        <v>2</v>
      </c>
      <c r="B20" s="239"/>
      <c r="C20" s="239"/>
      <c r="E20" s="237" t="s">
        <v>2</v>
      </c>
      <c r="F20" s="239">
        <v>17288</v>
      </c>
      <c r="G20" s="239">
        <v>0</v>
      </c>
    </row>
    <row r="21" spans="1:7">
      <c r="A21" s="237" t="s">
        <v>3</v>
      </c>
      <c r="B21" s="239"/>
      <c r="C21" s="239"/>
      <c r="E21" s="237" t="s">
        <v>3</v>
      </c>
      <c r="F21" s="239">
        <v>9919</v>
      </c>
      <c r="G21" s="239">
        <v>0</v>
      </c>
    </row>
    <row r="22" spans="1:7">
      <c r="A22" s="237" t="s">
        <v>4</v>
      </c>
      <c r="B22" s="239"/>
      <c r="C22" s="239"/>
      <c r="E22" s="237" t="s">
        <v>4</v>
      </c>
      <c r="F22" s="239">
        <v>33050</v>
      </c>
      <c r="G22" s="239">
        <v>3190</v>
      </c>
    </row>
    <row r="23" spans="1:7">
      <c r="A23" s="237" t="s">
        <v>3223</v>
      </c>
      <c r="B23" s="239">
        <v>1906</v>
      </c>
      <c r="C23" s="239">
        <v>0</v>
      </c>
      <c r="E23" s="237" t="s">
        <v>3223</v>
      </c>
      <c r="F23" s="239">
        <v>86168</v>
      </c>
      <c r="G23" s="239">
        <v>3190</v>
      </c>
    </row>
    <row r="25" spans="1:7">
      <c r="A25" s="236" t="s">
        <v>55</v>
      </c>
      <c r="B25" t="s">
        <v>3226</v>
      </c>
    </row>
    <row r="26" spans="1:7">
      <c r="A26" s="236" t="s">
        <v>133</v>
      </c>
      <c r="B26" t="s">
        <v>3226</v>
      </c>
    </row>
    <row r="27" spans="1:7">
      <c r="A27" s="236" t="s">
        <v>3079</v>
      </c>
      <c r="B27" t="s">
        <v>3226</v>
      </c>
    </row>
    <row r="28" spans="1:7">
      <c r="A28" s="236" t="s">
        <v>93</v>
      </c>
      <c r="B28" t="s">
        <v>1195</v>
      </c>
    </row>
    <row r="30" spans="1:7">
      <c r="A30" s="236" t="s">
        <v>3222</v>
      </c>
      <c r="B30" t="s">
        <v>3224</v>
      </c>
      <c r="C30" t="s">
        <v>3225</v>
      </c>
    </row>
    <row r="31" spans="1:7">
      <c r="A31" s="237" t="s">
        <v>2</v>
      </c>
      <c r="B31" s="238">
        <v>7002.23</v>
      </c>
      <c r="C31" s="238"/>
    </row>
    <row r="32" spans="1:7">
      <c r="A32" s="237" t="s">
        <v>3</v>
      </c>
      <c r="B32" s="238"/>
      <c r="C32" s="238"/>
    </row>
    <row r="33" spans="1:3">
      <c r="A33" s="237" t="s">
        <v>4</v>
      </c>
      <c r="B33" s="238">
        <v>15994.2</v>
      </c>
      <c r="C33" s="238"/>
    </row>
    <row r="34" spans="1:3">
      <c r="A34" s="237" t="s">
        <v>3328</v>
      </c>
      <c r="B34" s="238"/>
      <c r="C34" s="238"/>
    </row>
    <row r="35" spans="1:3">
      <c r="A35" s="237" t="s">
        <v>3223</v>
      </c>
      <c r="B35" s="238">
        <v>22996.43</v>
      </c>
      <c r="C35" s="238"/>
    </row>
  </sheetData>
  <mergeCells count="1">
    <mergeCell ref="I5:K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3AA1-C9CF-442B-8F92-0963F9202E8A}">
  <sheetPr filterMode="1"/>
  <dimension ref="A1:K746"/>
  <sheetViews>
    <sheetView zoomScale="90" zoomScaleNormal="90" workbookViewId="0">
      <pane ySplit="1" topLeftCell="A503" activePane="bottomLeft" state="frozen"/>
      <selection pane="bottomLeft" activeCell="F588" sqref="F588"/>
    </sheetView>
  </sheetViews>
  <sheetFormatPr defaultColWidth="20.7109375" defaultRowHeight="15"/>
  <cols>
    <col min="1" max="1" width="20.7109375" style="151"/>
    <col min="2" max="2" width="0" style="152" hidden="1" customWidth="1"/>
    <col min="3" max="3" width="22.85546875" style="153" hidden="1" customWidth="1"/>
    <col min="4" max="4" width="0" style="153" hidden="1" customWidth="1"/>
    <col min="5" max="5" width="48.85546875" style="153" customWidth="1"/>
    <col min="6" max="6" width="28" style="153" customWidth="1"/>
    <col min="7" max="7" width="20.7109375" style="153"/>
    <col min="8" max="8" width="25.85546875" style="153" customWidth="1"/>
    <col min="9" max="9" width="15" style="153" customWidth="1"/>
    <col min="10" max="10" width="33.85546875" style="153" customWidth="1"/>
    <col min="11" max="16384" width="20.7109375" style="153"/>
  </cols>
  <sheetData>
    <row r="1" spans="1:11" s="145" customFormat="1" ht="20.100000000000001" customHeight="1" thickBot="1">
      <c r="A1" s="142" t="s">
        <v>1119</v>
      </c>
      <c r="B1" s="143" t="s">
        <v>130</v>
      </c>
      <c r="C1" s="144" t="s">
        <v>57</v>
      </c>
      <c r="D1" s="144" t="s">
        <v>1196</v>
      </c>
      <c r="E1" s="144" t="s">
        <v>79</v>
      </c>
      <c r="F1" s="144" t="s">
        <v>1197</v>
      </c>
      <c r="G1" s="144" t="s">
        <v>1198</v>
      </c>
      <c r="H1" s="144" t="s">
        <v>69</v>
      </c>
      <c r="I1" s="144" t="s">
        <v>1199</v>
      </c>
      <c r="J1" s="144" t="s">
        <v>116</v>
      </c>
    </row>
    <row r="2" spans="1:11" s="150" customFormat="1" ht="20.100000000000001" hidden="1" customHeight="1">
      <c r="A2" s="146" t="s">
        <v>1125</v>
      </c>
      <c r="B2" s="147" t="s">
        <v>1127</v>
      </c>
      <c r="C2" s="148" t="s">
        <v>1200</v>
      </c>
      <c r="D2" s="149" t="s">
        <v>1201</v>
      </c>
      <c r="E2" s="148" t="s">
        <v>1202</v>
      </c>
      <c r="F2" s="149" t="s">
        <v>1203</v>
      </c>
      <c r="G2" s="149" t="s">
        <v>1204</v>
      </c>
      <c r="H2" s="148" t="s">
        <v>1205</v>
      </c>
      <c r="I2" s="148" t="s">
        <v>1206</v>
      </c>
      <c r="J2" s="148" t="s">
        <v>1207</v>
      </c>
      <c r="K2" s="150" t="s">
        <v>1128</v>
      </c>
    </row>
    <row r="3" spans="1:11" ht="20.100000000000001" customHeight="1">
      <c r="A3" s="151" t="s">
        <v>165</v>
      </c>
      <c r="B3" s="152" t="s">
        <v>166</v>
      </c>
      <c r="D3" s="153">
        <v>1995</v>
      </c>
      <c r="E3" s="153" t="s">
        <v>1208</v>
      </c>
      <c r="F3" s="154" t="s">
        <v>1209</v>
      </c>
      <c r="G3" s="153" t="s">
        <v>2</v>
      </c>
      <c r="H3" s="153" t="s">
        <v>1210</v>
      </c>
      <c r="I3" s="153" t="s">
        <v>58</v>
      </c>
    </row>
    <row r="4" spans="1:11" ht="45">
      <c r="A4" s="151" t="s">
        <v>167</v>
      </c>
      <c r="B4" s="152" t="s">
        <v>168</v>
      </c>
      <c r="D4" s="153">
        <v>1995</v>
      </c>
      <c r="E4" s="153" t="s">
        <v>1211</v>
      </c>
      <c r="F4" s="155" t="s">
        <v>1212</v>
      </c>
      <c r="G4" s="153" t="s">
        <v>2</v>
      </c>
      <c r="H4" s="153" t="s">
        <v>1213</v>
      </c>
      <c r="I4" s="153" t="s">
        <v>58</v>
      </c>
    </row>
    <row r="5" spans="1:11" ht="20.100000000000001" customHeight="1">
      <c r="A5" s="151" t="s">
        <v>169</v>
      </c>
      <c r="B5" s="152" t="s">
        <v>170</v>
      </c>
      <c r="D5" s="153">
        <v>1996</v>
      </c>
      <c r="E5" s="153" t="s">
        <v>1214</v>
      </c>
      <c r="F5" s="156" t="s">
        <v>1215</v>
      </c>
      <c r="G5" s="153" t="s">
        <v>2</v>
      </c>
      <c r="H5" s="153" t="s">
        <v>1216</v>
      </c>
      <c r="I5" s="153" t="s">
        <v>58</v>
      </c>
    </row>
    <row r="6" spans="1:11" ht="30" customHeight="1">
      <c r="A6" s="151" t="s">
        <v>171</v>
      </c>
      <c r="B6" s="152" t="s">
        <v>172</v>
      </c>
      <c r="D6" s="153">
        <v>1996</v>
      </c>
      <c r="E6" s="153" t="s">
        <v>1217</v>
      </c>
      <c r="F6" s="157" t="s">
        <v>1218</v>
      </c>
      <c r="H6" s="153" t="s">
        <v>1219</v>
      </c>
      <c r="I6" s="153" t="s">
        <v>58</v>
      </c>
    </row>
    <row r="7" spans="1:11" ht="75">
      <c r="A7" s="151" t="s">
        <v>171</v>
      </c>
      <c r="B7" s="152" t="s">
        <v>173</v>
      </c>
      <c r="D7" s="153">
        <v>1997</v>
      </c>
      <c r="E7" s="153" t="s">
        <v>1220</v>
      </c>
      <c r="F7" s="157" t="s">
        <v>1221</v>
      </c>
      <c r="H7" s="153" t="s">
        <v>1222</v>
      </c>
      <c r="I7" s="153" t="s">
        <v>58</v>
      </c>
    </row>
    <row r="8" spans="1:11" hidden="1">
      <c r="A8" s="151" t="s">
        <v>174</v>
      </c>
      <c r="F8" s="158"/>
    </row>
    <row r="9" spans="1:11" ht="20.100000000000001" hidden="1" customHeight="1">
      <c r="A9" s="151" t="s">
        <v>176</v>
      </c>
      <c r="F9" s="154"/>
    </row>
    <row r="10" spans="1:11" ht="20.100000000000001" customHeight="1">
      <c r="A10" s="151" t="s">
        <v>177</v>
      </c>
      <c r="B10" s="152" t="s">
        <v>178</v>
      </c>
      <c r="D10" s="153">
        <v>1997</v>
      </c>
      <c r="E10" s="153" t="s">
        <v>1223</v>
      </c>
      <c r="F10" s="154" t="s">
        <v>1224</v>
      </c>
      <c r="G10" s="153" t="s">
        <v>1</v>
      </c>
      <c r="H10" s="159" t="s">
        <v>1225</v>
      </c>
      <c r="I10" s="153" t="s">
        <v>58</v>
      </c>
    </row>
    <row r="11" spans="1:11" ht="20.100000000000001" customHeight="1">
      <c r="A11" s="151" t="s">
        <v>177</v>
      </c>
      <c r="B11" s="152" t="s">
        <v>179</v>
      </c>
      <c r="D11" s="153">
        <v>2000</v>
      </c>
      <c r="E11" s="153" t="s">
        <v>1223</v>
      </c>
      <c r="F11" s="156" t="s">
        <v>1224</v>
      </c>
      <c r="G11" s="153" t="s">
        <v>1</v>
      </c>
      <c r="H11" s="159" t="s">
        <v>1225</v>
      </c>
      <c r="I11" s="153" t="s">
        <v>58</v>
      </c>
    </row>
    <row r="12" spans="1:11" ht="33" customHeight="1">
      <c r="A12" s="151" t="s">
        <v>180</v>
      </c>
      <c r="B12" s="152" t="s">
        <v>181</v>
      </c>
      <c r="D12" s="153">
        <v>1997</v>
      </c>
      <c r="E12" s="153" t="s">
        <v>1226</v>
      </c>
      <c r="F12" s="156" t="s">
        <v>1227</v>
      </c>
      <c r="G12" s="153" t="s">
        <v>3</v>
      </c>
      <c r="H12" s="153" t="s">
        <v>1228</v>
      </c>
      <c r="I12" s="153" t="s">
        <v>58</v>
      </c>
    </row>
    <row r="13" spans="1:11" ht="20.100000000000001" hidden="1" customHeight="1">
      <c r="A13" s="151" t="s">
        <v>182</v>
      </c>
      <c r="F13" s="156"/>
    </row>
    <row r="14" spans="1:11" ht="30" customHeight="1">
      <c r="A14" s="151" t="s">
        <v>183</v>
      </c>
      <c r="B14" s="152" t="s">
        <v>184</v>
      </c>
      <c r="D14" s="153">
        <v>1996</v>
      </c>
      <c r="E14" s="153" t="s">
        <v>1229</v>
      </c>
      <c r="F14" s="157" t="s">
        <v>1230</v>
      </c>
      <c r="G14" s="153" t="s">
        <v>3</v>
      </c>
      <c r="H14" s="153" t="s">
        <v>1231</v>
      </c>
      <c r="I14" s="153" t="s">
        <v>58</v>
      </c>
    </row>
    <row r="15" spans="1:11" ht="20.100000000000001" customHeight="1">
      <c r="A15" s="151" t="s">
        <v>185</v>
      </c>
      <c r="B15" s="152" t="s">
        <v>186</v>
      </c>
      <c r="D15" s="153">
        <v>1996</v>
      </c>
      <c r="E15" s="153" t="s">
        <v>1232</v>
      </c>
      <c r="F15" s="157" t="s">
        <v>1233</v>
      </c>
      <c r="H15" s="153" t="s">
        <v>1234</v>
      </c>
      <c r="I15" s="153" t="s">
        <v>58</v>
      </c>
    </row>
    <row r="16" spans="1:11" ht="20.100000000000001" customHeight="1">
      <c r="A16" s="151" t="s">
        <v>185</v>
      </c>
      <c r="B16" s="152" t="s">
        <v>187</v>
      </c>
      <c r="D16" s="153">
        <v>1997</v>
      </c>
      <c r="E16" s="153" t="s">
        <v>1232</v>
      </c>
      <c r="F16" s="157" t="s">
        <v>1235</v>
      </c>
      <c r="H16" s="153" t="s">
        <v>1236</v>
      </c>
      <c r="I16" s="153" t="s">
        <v>58</v>
      </c>
    </row>
    <row r="17" spans="1:11" ht="45.75" customHeight="1">
      <c r="A17" s="151" t="s">
        <v>188</v>
      </c>
      <c r="B17" s="152" t="s">
        <v>189</v>
      </c>
      <c r="D17" s="153">
        <v>1996</v>
      </c>
      <c r="E17" s="153" t="s">
        <v>1237</v>
      </c>
      <c r="F17" s="157" t="s">
        <v>1238</v>
      </c>
      <c r="G17" s="153" t="s">
        <v>2</v>
      </c>
      <c r="H17" s="153" t="s">
        <v>1239</v>
      </c>
      <c r="I17" s="153" t="s">
        <v>58</v>
      </c>
    </row>
    <row r="18" spans="1:11" ht="45.75" customHeight="1">
      <c r="A18" s="151" t="s">
        <v>188</v>
      </c>
      <c r="B18" s="152" t="s">
        <v>190</v>
      </c>
      <c r="D18" s="153">
        <v>1996</v>
      </c>
      <c r="E18" s="153" t="s">
        <v>1237</v>
      </c>
      <c r="F18" s="157" t="s">
        <v>1240</v>
      </c>
      <c r="G18" s="153" t="s">
        <v>2</v>
      </c>
      <c r="H18" s="153" t="s">
        <v>1239</v>
      </c>
      <c r="I18" s="153" t="s">
        <v>58</v>
      </c>
    </row>
    <row r="19" spans="1:11" ht="20.100000000000001" hidden="1" customHeight="1">
      <c r="A19" s="151" t="s">
        <v>191</v>
      </c>
      <c r="F19" s="154"/>
    </row>
    <row r="20" spans="1:11" ht="20.100000000000001" customHeight="1">
      <c r="A20" s="151" t="s">
        <v>192</v>
      </c>
      <c r="B20" s="152" t="s">
        <v>193</v>
      </c>
      <c r="D20" s="153">
        <v>1996</v>
      </c>
      <c r="E20" s="153" t="s">
        <v>1241</v>
      </c>
      <c r="F20" s="156" t="s">
        <v>1242</v>
      </c>
      <c r="G20" s="153" t="s">
        <v>3</v>
      </c>
      <c r="H20" s="153" t="s">
        <v>1243</v>
      </c>
      <c r="I20" s="153" t="s">
        <v>58</v>
      </c>
    </row>
    <row r="21" spans="1:11" ht="60">
      <c r="A21" s="151" t="s">
        <v>194</v>
      </c>
      <c r="B21" s="152" t="s">
        <v>195</v>
      </c>
      <c r="D21" s="153">
        <v>1996</v>
      </c>
      <c r="E21" s="153" t="s">
        <v>1244</v>
      </c>
      <c r="F21" s="157" t="s">
        <v>1245</v>
      </c>
      <c r="G21" s="153" t="s">
        <v>2</v>
      </c>
      <c r="H21" s="153" t="s">
        <v>1246</v>
      </c>
      <c r="I21" s="153" t="s">
        <v>58</v>
      </c>
    </row>
    <row r="22" spans="1:11" ht="47.25" customHeight="1">
      <c r="A22" s="151" t="s">
        <v>196</v>
      </c>
      <c r="B22" s="152" t="s">
        <v>197</v>
      </c>
      <c r="D22" s="153">
        <v>1996</v>
      </c>
      <c r="E22" s="153" t="s">
        <v>1247</v>
      </c>
      <c r="F22" s="157" t="s">
        <v>1248</v>
      </c>
      <c r="G22" s="153" t="s">
        <v>2</v>
      </c>
      <c r="H22" s="153" t="s">
        <v>1249</v>
      </c>
      <c r="I22" s="153" t="s">
        <v>58</v>
      </c>
    </row>
    <row r="23" spans="1:11" ht="20.100000000000001" customHeight="1">
      <c r="A23" s="151" t="s">
        <v>198</v>
      </c>
      <c r="B23" s="152" t="s">
        <v>199</v>
      </c>
      <c r="D23" s="153">
        <v>1996</v>
      </c>
      <c r="E23" s="153" t="s">
        <v>1250</v>
      </c>
      <c r="F23" s="156" t="s">
        <v>1251</v>
      </c>
      <c r="H23" s="153" t="s">
        <v>1252</v>
      </c>
      <c r="I23" s="153" t="s">
        <v>58</v>
      </c>
    </row>
    <row r="24" spans="1:11" ht="20.100000000000001" hidden="1" customHeight="1">
      <c r="A24" s="151" t="s">
        <v>200</v>
      </c>
      <c r="F24" s="156"/>
    </row>
    <row r="25" spans="1:11" ht="20.100000000000001" customHeight="1">
      <c r="A25" s="151" t="s">
        <v>201</v>
      </c>
      <c r="B25" s="152" t="s">
        <v>202</v>
      </c>
      <c r="D25" s="153">
        <v>1996</v>
      </c>
      <c r="E25" s="153" t="s">
        <v>1253</v>
      </c>
      <c r="F25" s="156" t="s">
        <v>1254</v>
      </c>
      <c r="G25" s="153" t="s">
        <v>3</v>
      </c>
      <c r="H25" s="153" t="s">
        <v>1255</v>
      </c>
      <c r="I25" s="153" t="s">
        <v>58</v>
      </c>
    </row>
    <row r="26" spans="1:11" ht="20.100000000000001" customHeight="1">
      <c r="A26" s="151" t="s">
        <v>201</v>
      </c>
      <c r="B26" s="152" t="s">
        <v>203</v>
      </c>
      <c r="D26" s="153">
        <v>1996</v>
      </c>
      <c r="E26" s="153" t="s">
        <v>1256</v>
      </c>
      <c r="F26" s="156" t="s">
        <v>1254</v>
      </c>
      <c r="G26" s="153" t="s">
        <v>3</v>
      </c>
      <c r="H26" s="153" t="s">
        <v>1255</v>
      </c>
      <c r="I26" s="153" t="s">
        <v>58</v>
      </c>
      <c r="K26" s="153" t="s">
        <v>1257</v>
      </c>
    </row>
    <row r="27" spans="1:11" ht="45">
      <c r="A27" s="151" t="s">
        <v>201</v>
      </c>
      <c r="B27" s="152" t="s">
        <v>204</v>
      </c>
      <c r="D27" s="153">
        <v>1998</v>
      </c>
      <c r="E27" s="153" t="s">
        <v>1253</v>
      </c>
      <c r="F27" s="160" t="s">
        <v>1258</v>
      </c>
      <c r="G27" s="153" t="s">
        <v>3</v>
      </c>
      <c r="H27" s="159" t="s">
        <v>1259</v>
      </c>
      <c r="I27" s="153" t="s">
        <v>58</v>
      </c>
    </row>
    <row r="28" spans="1:11" s="155" customFormat="1" ht="45">
      <c r="A28" s="161" t="s">
        <v>201</v>
      </c>
      <c r="B28" s="162" t="s">
        <v>205</v>
      </c>
      <c r="D28" s="155">
        <v>2000</v>
      </c>
      <c r="E28" s="155" t="s">
        <v>1253</v>
      </c>
      <c r="F28" s="157" t="s">
        <v>1258</v>
      </c>
      <c r="G28" s="155" t="s">
        <v>3</v>
      </c>
      <c r="H28" s="155" t="s">
        <v>1259</v>
      </c>
      <c r="I28" s="153" t="s">
        <v>58</v>
      </c>
      <c r="J28" s="153"/>
    </row>
    <row r="29" spans="1:11" ht="20.100000000000001" customHeight="1">
      <c r="A29" s="151" t="s">
        <v>206</v>
      </c>
      <c r="B29" s="152" t="s">
        <v>207</v>
      </c>
      <c r="D29" s="153">
        <v>1996</v>
      </c>
      <c r="E29" s="153" t="s">
        <v>1260</v>
      </c>
      <c r="F29" s="156" t="s">
        <v>1261</v>
      </c>
      <c r="G29" s="153" t="s">
        <v>3</v>
      </c>
      <c r="H29" s="153" t="s">
        <v>1262</v>
      </c>
      <c r="I29" s="153" t="s">
        <v>58</v>
      </c>
    </row>
    <row r="30" spans="1:11" ht="20.100000000000001" customHeight="1">
      <c r="A30" s="151" t="s">
        <v>208</v>
      </c>
      <c r="B30" s="152" t="s">
        <v>209</v>
      </c>
      <c r="D30" s="153">
        <v>1996</v>
      </c>
      <c r="E30" s="153" t="s">
        <v>1263</v>
      </c>
      <c r="F30" s="156" t="s">
        <v>1264</v>
      </c>
      <c r="G30" s="153" t="s">
        <v>3</v>
      </c>
      <c r="H30" s="153" t="s">
        <v>1265</v>
      </c>
      <c r="I30" s="153" t="s">
        <v>58</v>
      </c>
    </row>
    <row r="31" spans="1:11" ht="30.75" customHeight="1">
      <c r="A31" s="151" t="s">
        <v>210</v>
      </c>
      <c r="B31" s="152" t="s">
        <v>211</v>
      </c>
      <c r="D31" s="153">
        <v>1996</v>
      </c>
      <c r="E31" s="153" t="s">
        <v>1266</v>
      </c>
      <c r="F31" s="157" t="s">
        <v>1267</v>
      </c>
      <c r="G31" s="153" t="s">
        <v>1268</v>
      </c>
      <c r="H31" s="153" t="s">
        <v>1269</v>
      </c>
      <c r="I31" s="153" t="s">
        <v>58</v>
      </c>
    </row>
    <row r="32" spans="1:11" ht="20.100000000000001" hidden="1" customHeight="1">
      <c r="A32" s="151" t="s">
        <v>212</v>
      </c>
      <c r="F32" s="156"/>
    </row>
    <row r="33" spans="1:9" ht="31.5" hidden="1" customHeight="1">
      <c r="A33" s="151" t="s">
        <v>213</v>
      </c>
      <c r="F33" s="156"/>
    </row>
    <row r="34" spans="1:9" ht="20.100000000000001" hidden="1" customHeight="1">
      <c r="A34" s="151" t="s">
        <v>214</v>
      </c>
      <c r="F34" s="156"/>
    </row>
    <row r="35" spans="1:9" ht="20.100000000000001" customHeight="1">
      <c r="A35" s="151" t="s">
        <v>215</v>
      </c>
      <c r="B35" s="152" t="s">
        <v>216</v>
      </c>
      <c r="D35" s="153">
        <v>1997</v>
      </c>
      <c r="E35" s="153" t="s">
        <v>1270</v>
      </c>
      <c r="F35" s="156" t="s">
        <v>1271</v>
      </c>
      <c r="G35" s="153" t="s">
        <v>2</v>
      </c>
      <c r="H35" s="153" t="s">
        <v>1272</v>
      </c>
      <c r="I35" s="153" t="s">
        <v>58</v>
      </c>
    </row>
    <row r="36" spans="1:9" hidden="1">
      <c r="A36" s="151" t="s">
        <v>217</v>
      </c>
      <c r="F36" s="156"/>
    </row>
    <row r="37" spans="1:9" ht="20.100000000000001" customHeight="1">
      <c r="A37" s="151" t="s">
        <v>218</v>
      </c>
      <c r="B37" s="152" t="s">
        <v>219</v>
      </c>
      <c r="D37" s="153">
        <v>1997</v>
      </c>
      <c r="E37" s="153" t="s">
        <v>1273</v>
      </c>
      <c r="F37" s="156" t="s">
        <v>1274</v>
      </c>
      <c r="G37" s="153" t="s">
        <v>2</v>
      </c>
      <c r="H37" s="153" t="s">
        <v>1275</v>
      </c>
      <c r="I37" s="153" t="s">
        <v>58</v>
      </c>
    </row>
    <row r="38" spans="1:9" ht="45">
      <c r="A38" s="151" t="s">
        <v>220</v>
      </c>
      <c r="B38" s="152" t="s">
        <v>221</v>
      </c>
      <c r="D38" s="153">
        <v>2000</v>
      </c>
      <c r="E38" s="153" t="s">
        <v>1276</v>
      </c>
      <c r="F38" s="157" t="s">
        <v>1277</v>
      </c>
      <c r="G38" s="153" t="s">
        <v>2</v>
      </c>
      <c r="H38" s="153" t="s">
        <v>1278</v>
      </c>
      <c r="I38" s="153" t="s">
        <v>58</v>
      </c>
    </row>
    <row r="39" spans="1:9" ht="20.100000000000001" hidden="1" customHeight="1">
      <c r="A39" s="151" t="s">
        <v>222</v>
      </c>
      <c r="F39" s="156"/>
    </row>
    <row r="40" spans="1:9" ht="30">
      <c r="A40" s="151" t="s">
        <v>223</v>
      </c>
      <c r="B40" s="152" t="s">
        <v>224</v>
      </c>
      <c r="D40" s="153">
        <v>1997</v>
      </c>
      <c r="E40" s="153" t="s">
        <v>1279</v>
      </c>
      <c r="F40" s="157" t="s">
        <v>1280</v>
      </c>
      <c r="G40" s="153" t="s">
        <v>1</v>
      </c>
      <c r="H40" s="159" t="s">
        <v>1281</v>
      </c>
      <c r="I40" s="153" t="s">
        <v>58</v>
      </c>
    </row>
    <row r="41" spans="1:9" ht="75">
      <c r="A41" s="151" t="s">
        <v>223</v>
      </c>
      <c r="B41" s="152" t="s">
        <v>225</v>
      </c>
      <c r="D41" s="153">
        <v>2004</v>
      </c>
      <c r="E41" s="153" t="s">
        <v>1282</v>
      </c>
      <c r="F41" s="157" t="s">
        <v>1283</v>
      </c>
      <c r="G41" s="153" t="s">
        <v>1</v>
      </c>
      <c r="H41" s="153" t="s">
        <v>1284</v>
      </c>
      <c r="I41" s="153" t="s">
        <v>58</v>
      </c>
    </row>
    <row r="42" spans="1:9">
      <c r="A42" s="151" t="s">
        <v>226</v>
      </c>
      <c r="B42" s="152" t="s">
        <v>227</v>
      </c>
      <c r="D42" s="153">
        <v>1996</v>
      </c>
      <c r="E42" s="153" t="s">
        <v>1285</v>
      </c>
      <c r="F42" s="156" t="s">
        <v>1286</v>
      </c>
      <c r="G42" s="153" t="s">
        <v>2</v>
      </c>
      <c r="H42" s="153" t="s">
        <v>1287</v>
      </c>
      <c r="I42" s="153" t="s">
        <v>58</v>
      </c>
    </row>
    <row r="43" spans="1:9">
      <c r="A43" s="151" t="s">
        <v>228</v>
      </c>
      <c r="B43" s="152" t="s">
        <v>229</v>
      </c>
      <c r="D43" s="153">
        <v>1997</v>
      </c>
      <c r="E43" s="153" t="s">
        <v>1288</v>
      </c>
      <c r="F43" s="156" t="s">
        <v>1289</v>
      </c>
      <c r="G43" s="153" t="s">
        <v>1</v>
      </c>
      <c r="H43" s="153" t="s">
        <v>1290</v>
      </c>
      <c r="I43" s="153" t="s">
        <v>58</v>
      </c>
    </row>
    <row r="44" spans="1:9">
      <c r="A44" s="151" t="s">
        <v>230</v>
      </c>
      <c r="B44" s="152" t="s">
        <v>231</v>
      </c>
      <c r="D44" s="153">
        <v>1997</v>
      </c>
      <c r="E44" s="153" t="s">
        <v>1288</v>
      </c>
      <c r="F44" s="156" t="s">
        <v>1289</v>
      </c>
      <c r="G44" s="153" t="s">
        <v>1</v>
      </c>
      <c r="H44" s="153" t="s">
        <v>1291</v>
      </c>
      <c r="I44" s="153" t="s">
        <v>58</v>
      </c>
    </row>
    <row r="45" spans="1:9">
      <c r="A45" s="151" t="s">
        <v>230</v>
      </c>
      <c r="B45" s="152" t="s">
        <v>232</v>
      </c>
      <c r="D45" s="153">
        <v>1998</v>
      </c>
      <c r="E45" s="153" t="s">
        <v>1288</v>
      </c>
      <c r="F45" s="159" t="s">
        <v>1289</v>
      </c>
      <c r="G45" s="153" t="s">
        <v>1</v>
      </c>
      <c r="H45" s="153" t="s">
        <v>1292</v>
      </c>
      <c r="I45" s="153" t="s">
        <v>58</v>
      </c>
    </row>
    <row r="46" spans="1:9" ht="75">
      <c r="A46" s="151" t="s">
        <v>233</v>
      </c>
      <c r="B46" s="152" t="s">
        <v>234</v>
      </c>
      <c r="D46" s="153">
        <v>1998</v>
      </c>
      <c r="E46" s="153" t="s">
        <v>1293</v>
      </c>
      <c r="F46" s="157" t="s">
        <v>1294</v>
      </c>
      <c r="G46" s="153" t="s">
        <v>1</v>
      </c>
      <c r="H46" s="153" t="s">
        <v>1295</v>
      </c>
      <c r="I46" s="153" t="s">
        <v>58</v>
      </c>
    </row>
    <row r="47" spans="1:9" ht="105">
      <c r="A47" s="151" t="s">
        <v>235</v>
      </c>
      <c r="B47" s="152" t="s">
        <v>236</v>
      </c>
      <c r="D47" s="153">
        <v>1997</v>
      </c>
      <c r="E47" s="153" t="s">
        <v>1276</v>
      </c>
      <c r="F47" s="157" t="s">
        <v>1296</v>
      </c>
      <c r="H47" s="153" t="s">
        <v>1297</v>
      </c>
      <c r="I47" s="153" t="s">
        <v>58</v>
      </c>
    </row>
    <row r="48" spans="1:9" ht="105">
      <c r="A48" s="151" t="s">
        <v>235</v>
      </c>
      <c r="B48" s="152" t="s">
        <v>237</v>
      </c>
      <c r="D48" s="153">
        <v>1998</v>
      </c>
      <c r="E48" s="153" t="s">
        <v>1276</v>
      </c>
      <c r="F48" s="157" t="s">
        <v>1298</v>
      </c>
      <c r="H48" s="153" t="s">
        <v>1297</v>
      </c>
      <c r="I48" s="153" t="s">
        <v>58</v>
      </c>
    </row>
    <row r="49" spans="1:9" hidden="1">
      <c r="A49" s="151" t="s">
        <v>238</v>
      </c>
      <c r="F49" s="156"/>
    </row>
    <row r="50" spans="1:9">
      <c r="A50" s="151" t="s">
        <v>239</v>
      </c>
      <c r="B50" s="152" t="s">
        <v>240</v>
      </c>
      <c r="D50" s="153">
        <v>1997</v>
      </c>
      <c r="E50" s="153" t="s">
        <v>1237</v>
      </c>
      <c r="F50" s="156" t="s">
        <v>1299</v>
      </c>
      <c r="G50" s="153" t="s">
        <v>2</v>
      </c>
      <c r="H50" s="153" t="s">
        <v>1300</v>
      </c>
      <c r="I50" s="153" t="s">
        <v>58</v>
      </c>
    </row>
    <row r="51" spans="1:9" ht="60">
      <c r="A51" s="151" t="s">
        <v>241</v>
      </c>
      <c r="B51" s="152" t="s">
        <v>242</v>
      </c>
      <c r="D51" s="153">
        <v>1997</v>
      </c>
      <c r="E51" s="153" t="s">
        <v>1301</v>
      </c>
      <c r="F51" s="157" t="s">
        <v>1302</v>
      </c>
      <c r="G51" s="153" t="s">
        <v>2</v>
      </c>
      <c r="H51" s="153" t="s">
        <v>1303</v>
      </c>
      <c r="I51" s="153" t="s">
        <v>58</v>
      </c>
    </row>
    <row r="52" spans="1:9" ht="60">
      <c r="A52" s="151" t="s">
        <v>241</v>
      </c>
      <c r="B52" s="152" t="s">
        <v>243</v>
      </c>
      <c r="D52" s="153">
        <v>1998</v>
      </c>
      <c r="E52" s="153" t="s">
        <v>1304</v>
      </c>
      <c r="F52" s="160" t="s">
        <v>1302</v>
      </c>
      <c r="G52" s="153" t="s">
        <v>2</v>
      </c>
      <c r="H52" s="153" t="s">
        <v>1303</v>
      </c>
      <c r="I52" s="153" t="s">
        <v>58</v>
      </c>
    </row>
    <row r="53" spans="1:9">
      <c r="A53" s="151" t="s">
        <v>244</v>
      </c>
      <c r="B53" s="152" t="s">
        <v>245</v>
      </c>
      <c r="D53" s="153">
        <v>1998</v>
      </c>
      <c r="E53" s="153" t="s">
        <v>1305</v>
      </c>
      <c r="F53" s="157" t="s">
        <v>1306</v>
      </c>
      <c r="G53" s="153" t="s">
        <v>3</v>
      </c>
      <c r="H53" s="153" t="s">
        <v>1307</v>
      </c>
      <c r="I53" s="153" t="s">
        <v>58</v>
      </c>
    </row>
    <row r="54" spans="1:9">
      <c r="A54" s="151" t="s">
        <v>246</v>
      </c>
      <c r="B54" s="152" t="s">
        <v>247</v>
      </c>
      <c r="D54" s="153">
        <v>2000</v>
      </c>
      <c r="E54" s="153" t="s">
        <v>1308</v>
      </c>
      <c r="F54" s="156" t="s">
        <v>1309</v>
      </c>
      <c r="H54" s="153" t="s">
        <v>1310</v>
      </c>
      <c r="I54" s="153" t="s">
        <v>58</v>
      </c>
    </row>
    <row r="55" spans="1:9" ht="30.75" hidden="1" customHeight="1">
      <c r="A55" s="151" t="s">
        <v>248</v>
      </c>
      <c r="F55" s="156"/>
    </row>
    <row r="56" spans="1:9" ht="20.100000000000001" hidden="1" customHeight="1">
      <c r="A56" s="151" t="s">
        <v>249</v>
      </c>
      <c r="F56" s="156"/>
    </row>
    <row r="57" spans="1:9">
      <c r="A57" s="151" t="s">
        <v>250</v>
      </c>
      <c r="B57" s="152" t="s">
        <v>251</v>
      </c>
      <c r="D57" s="153">
        <v>1997</v>
      </c>
      <c r="E57" s="153" t="s">
        <v>1311</v>
      </c>
      <c r="F57" s="156" t="s">
        <v>1312</v>
      </c>
      <c r="G57" s="153" t="s">
        <v>1</v>
      </c>
      <c r="H57" s="153" t="s">
        <v>1313</v>
      </c>
      <c r="I57" s="153" t="s">
        <v>58</v>
      </c>
    </row>
    <row r="58" spans="1:9" ht="20.100000000000001" hidden="1" customHeight="1">
      <c r="A58" s="151" t="s">
        <v>252</v>
      </c>
      <c r="F58" s="156"/>
    </row>
    <row r="59" spans="1:9">
      <c r="A59" s="151" t="s">
        <v>253</v>
      </c>
      <c r="B59" s="152" t="s">
        <v>254</v>
      </c>
      <c r="D59" s="153">
        <v>1997</v>
      </c>
      <c r="E59" s="153" t="s">
        <v>1314</v>
      </c>
      <c r="F59" s="156" t="s">
        <v>1315</v>
      </c>
      <c r="G59" s="153" t="s">
        <v>1</v>
      </c>
      <c r="H59" s="153" t="s">
        <v>1316</v>
      </c>
      <c r="I59" s="153" t="s">
        <v>58</v>
      </c>
    </row>
    <row r="60" spans="1:9" ht="45.75" hidden="1" customHeight="1">
      <c r="A60" s="151" t="s">
        <v>255</v>
      </c>
      <c r="F60" s="156"/>
    </row>
    <row r="61" spans="1:9">
      <c r="A61" s="151" t="s">
        <v>256</v>
      </c>
      <c r="B61" s="152" t="s">
        <v>257</v>
      </c>
      <c r="D61" s="153">
        <v>1998</v>
      </c>
      <c r="E61" s="153" t="s">
        <v>1317</v>
      </c>
      <c r="F61" s="156" t="s">
        <v>1318</v>
      </c>
      <c r="G61" s="153" t="s">
        <v>1</v>
      </c>
      <c r="H61" s="153" t="s">
        <v>1319</v>
      </c>
      <c r="I61" s="153" t="s">
        <v>58</v>
      </c>
    </row>
    <row r="62" spans="1:9" hidden="1">
      <c r="A62" s="151" t="s">
        <v>258</v>
      </c>
      <c r="F62" s="156"/>
    </row>
    <row r="63" spans="1:9">
      <c r="A63" s="151" t="s">
        <v>259</v>
      </c>
      <c r="B63" s="152" t="s">
        <v>260</v>
      </c>
      <c r="D63" s="153">
        <v>1997</v>
      </c>
      <c r="E63" s="153" t="s">
        <v>1285</v>
      </c>
      <c r="F63" s="156" t="s">
        <v>1320</v>
      </c>
      <c r="G63" s="153" t="s">
        <v>1</v>
      </c>
      <c r="H63" s="153" t="s">
        <v>1321</v>
      </c>
      <c r="I63" s="153" t="s">
        <v>58</v>
      </c>
    </row>
    <row r="64" spans="1:9" ht="30">
      <c r="A64" s="151" t="s">
        <v>259</v>
      </c>
      <c r="B64" s="152" t="s">
        <v>261</v>
      </c>
      <c r="D64" s="153">
        <v>1999</v>
      </c>
      <c r="E64" s="153" t="s">
        <v>1311</v>
      </c>
      <c r="F64" s="157" t="s">
        <v>1322</v>
      </c>
      <c r="G64" s="153" t="s">
        <v>1</v>
      </c>
      <c r="H64" s="153" t="s">
        <v>1321</v>
      </c>
      <c r="I64" s="153" t="s">
        <v>58</v>
      </c>
    </row>
    <row r="65" spans="1:9" ht="20.100000000000001" customHeight="1">
      <c r="A65" s="151" t="s">
        <v>259</v>
      </c>
      <c r="B65" s="152" t="s">
        <v>262</v>
      </c>
      <c r="D65" s="153">
        <v>2000</v>
      </c>
      <c r="E65" s="153" t="s">
        <v>1311</v>
      </c>
      <c r="F65" s="156" t="s">
        <v>1320</v>
      </c>
      <c r="G65" s="153" t="s">
        <v>1</v>
      </c>
      <c r="H65" s="153" t="s">
        <v>1321</v>
      </c>
      <c r="I65" s="153" t="s">
        <v>58</v>
      </c>
    </row>
    <row r="66" spans="1:9">
      <c r="A66" s="151" t="s">
        <v>263</v>
      </c>
      <c r="B66" s="152" t="s">
        <v>264</v>
      </c>
      <c r="D66" s="153">
        <v>1999</v>
      </c>
      <c r="E66" s="153" t="s">
        <v>1323</v>
      </c>
      <c r="F66" s="156" t="s">
        <v>1324</v>
      </c>
      <c r="G66" s="153" t="s">
        <v>2</v>
      </c>
      <c r="H66" s="153" t="s">
        <v>1325</v>
      </c>
      <c r="I66" s="153" t="s">
        <v>58</v>
      </c>
    </row>
    <row r="67" spans="1:9" ht="20.100000000000001" customHeight="1">
      <c r="A67" s="151" t="s">
        <v>265</v>
      </c>
      <c r="B67" s="152" t="s">
        <v>266</v>
      </c>
      <c r="D67" s="153">
        <v>1997</v>
      </c>
      <c r="E67" s="153" t="s">
        <v>1237</v>
      </c>
      <c r="F67" s="156" t="s">
        <v>1326</v>
      </c>
      <c r="G67" s="153" t="s">
        <v>2</v>
      </c>
      <c r="H67" s="153" t="s">
        <v>1327</v>
      </c>
      <c r="I67" s="153" t="s">
        <v>58</v>
      </c>
    </row>
    <row r="68" spans="1:9" ht="30">
      <c r="A68" s="151" t="s">
        <v>267</v>
      </c>
      <c r="B68" s="152" t="s">
        <v>268</v>
      </c>
      <c r="D68" s="153">
        <v>1997</v>
      </c>
      <c r="E68" s="153" t="s">
        <v>1328</v>
      </c>
      <c r="F68" s="157" t="s">
        <v>1329</v>
      </c>
      <c r="G68" s="153" t="s">
        <v>1</v>
      </c>
      <c r="H68" s="153" t="s">
        <v>1330</v>
      </c>
      <c r="I68" s="153" t="s">
        <v>58</v>
      </c>
    </row>
    <row r="69" spans="1:9" ht="20.100000000000001" customHeight="1">
      <c r="A69" s="151" t="s">
        <v>269</v>
      </c>
      <c r="B69" s="152" t="s">
        <v>270</v>
      </c>
      <c r="D69" s="153">
        <v>1998</v>
      </c>
      <c r="E69" s="153" t="s">
        <v>1331</v>
      </c>
      <c r="F69" s="156" t="s">
        <v>1332</v>
      </c>
      <c r="G69" s="153" t="s">
        <v>2</v>
      </c>
      <c r="H69" s="153" t="s">
        <v>1333</v>
      </c>
      <c r="I69" s="153" t="s">
        <v>58</v>
      </c>
    </row>
    <row r="70" spans="1:9" hidden="1">
      <c r="A70" s="151" t="s">
        <v>271</v>
      </c>
      <c r="F70" s="156"/>
    </row>
    <row r="71" spans="1:9" ht="75">
      <c r="A71" s="151" t="s">
        <v>272</v>
      </c>
      <c r="B71" s="152" t="s">
        <v>273</v>
      </c>
      <c r="D71" s="153">
        <v>1997</v>
      </c>
      <c r="E71" s="153" t="s">
        <v>1279</v>
      </c>
      <c r="F71" s="158" t="s">
        <v>1334</v>
      </c>
      <c r="G71" s="153" t="s">
        <v>1</v>
      </c>
      <c r="H71" s="153" t="s">
        <v>1335</v>
      </c>
      <c r="I71" s="153" t="s">
        <v>58</v>
      </c>
    </row>
    <row r="72" spans="1:9" hidden="1">
      <c r="A72" s="151" t="s">
        <v>274</v>
      </c>
      <c r="F72" s="156"/>
    </row>
    <row r="73" spans="1:9" ht="20.100000000000001" hidden="1" customHeight="1">
      <c r="A73" s="151" t="s">
        <v>275</v>
      </c>
      <c r="F73" s="156"/>
    </row>
    <row r="74" spans="1:9">
      <c r="A74" s="151" t="s">
        <v>276</v>
      </c>
      <c r="B74" s="152" t="s">
        <v>277</v>
      </c>
      <c r="D74" s="153">
        <v>1997</v>
      </c>
      <c r="E74" s="153" t="s">
        <v>1266</v>
      </c>
      <c r="F74" s="156" t="s">
        <v>1336</v>
      </c>
      <c r="H74" s="159" t="s">
        <v>1337</v>
      </c>
      <c r="I74" s="153" t="s">
        <v>58</v>
      </c>
    </row>
    <row r="75" spans="1:9" ht="45">
      <c r="A75" s="151" t="s">
        <v>278</v>
      </c>
      <c r="B75" s="152" t="s">
        <v>279</v>
      </c>
      <c r="D75" s="153">
        <v>1998</v>
      </c>
      <c r="E75" s="153" t="s">
        <v>1338</v>
      </c>
      <c r="F75" s="157" t="s">
        <v>1339</v>
      </c>
      <c r="G75" s="153" t="s">
        <v>1</v>
      </c>
      <c r="H75" s="153" t="s">
        <v>1340</v>
      </c>
      <c r="I75" s="153" t="s">
        <v>58</v>
      </c>
    </row>
    <row r="76" spans="1:9" ht="20.100000000000001" customHeight="1">
      <c r="A76" s="151" t="s">
        <v>280</v>
      </c>
      <c r="B76" s="152" t="s">
        <v>281</v>
      </c>
      <c r="D76" s="153">
        <v>1997</v>
      </c>
      <c r="E76" s="153" t="s">
        <v>1266</v>
      </c>
      <c r="F76" s="156" t="s">
        <v>1341</v>
      </c>
      <c r="G76" s="153" t="s">
        <v>1</v>
      </c>
      <c r="H76" s="153" t="s">
        <v>1342</v>
      </c>
      <c r="I76" s="153" t="s">
        <v>58</v>
      </c>
    </row>
    <row r="77" spans="1:9" ht="240">
      <c r="A77" s="151" t="s">
        <v>282</v>
      </c>
      <c r="B77" s="152" t="s">
        <v>283</v>
      </c>
      <c r="D77" s="153">
        <v>1998</v>
      </c>
      <c r="E77" s="153" t="s">
        <v>1343</v>
      </c>
      <c r="F77" s="157" t="s">
        <v>1344</v>
      </c>
      <c r="G77" s="153" t="s">
        <v>2</v>
      </c>
      <c r="H77" s="153" t="s">
        <v>1345</v>
      </c>
      <c r="I77" s="153" t="s">
        <v>58</v>
      </c>
    </row>
    <row r="78" spans="1:9" ht="20.100000000000001" customHeight="1">
      <c r="A78" s="151" t="s">
        <v>284</v>
      </c>
      <c r="B78" s="152" t="s">
        <v>285</v>
      </c>
      <c r="D78" s="153">
        <v>1997</v>
      </c>
      <c r="E78" s="153" t="s">
        <v>1346</v>
      </c>
      <c r="F78" s="156" t="s">
        <v>1347</v>
      </c>
      <c r="G78" s="153" t="s">
        <v>3</v>
      </c>
      <c r="H78" s="153" t="s">
        <v>1348</v>
      </c>
      <c r="I78" s="153" t="s">
        <v>58</v>
      </c>
    </row>
    <row r="79" spans="1:9" hidden="1">
      <c r="A79" s="151" t="s">
        <v>286</v>
      </c>
      <c r="F79" s="156"/>
    </row>
    <row r="80" spans="1:9" ht="30">
      <c r="A80" s="151" t="s">
        <v>287</v>
      </c>
      <c r="B80" s="152" t="s">
        <v>288</v>
      </c>
      <c r="D80" s="153">
        <v>1998</v>
      </c>
      <c r="E80" s="153" t="s">
        <v>1349</v>
      </c>
      <c r="F80" s="157" t="s">
        <v>1350</v>
      </c>
      <c r="G80" s="153" t="s">
        <v>2</v>
      </c>
      <c r="H80" s="153" t="s">
        <v>1351</v>
      </c>
      <c r="I80" s="153" t="s">
        <v>58</v>
      </c>
    </row>
    <row r="81" spans="1:9" ht="45">
      <c r="A81" s="151" t="s">
        <v>289</v>
      </c>
      <c r="B81" s="152" t="s">
        <v>290</v>
      </c>
      <c r="D81" s="153">
        <v>2000</v>
      </c>
      <c r="E81" s="153" t="s">
        <v>1237</v>
      </c>
      <c r="F81" s="160" t="s">
        <v>1352</v>
      </c>
      <c r="H81" s="153" t="s">
        <v>1353</v>
      </c>
      <c r="I81" s="153" t="s">
        <v>58</v>
      </c>
    </row>
    <row r="82" spans="1:9" ht="60">
      <c r="A82" s="151" t="s">
        <v>291</v>
      </c>
      <c r="B82" s="152" t="s">
        <v>292</v>
      </c>
      <c r="D82" s="153">
        <v>1998</v>
      </c>
      <c r="E82" s="153" t="s">
        <v>1304</v>
      </c>
      <c r="F82" s="157" t="s">
        <v>1302</v>
      </c>
      <c r="H82" s="153" t="s">
        <v>1354</v>
      </c>
      <c r="I82" s="153" t="s">
        <v>58</v>
      </c>
    </row>
    <row r="83" spans="1:9" ht="20.100000000000001" hidden="1" customHeight="1">
      <c r="A83" s="151" t="s">
        <v>293</v>
      </c>
      <c r="F83" s="156"/>
    </row>
    <row r="84" spans="1:9">
      <c r="A84" s="151" t="s">
        <v>294</v>
      </c>
      <c r="B84" s="152" t="s">
        <v>295</v>
      </c>
      <c r="D84" s="153">
        <v>1999</v>
      </c>
      <c r="E84" s="153" t="s">
        <v>1355</v>
      </c>
      <c r="F84" s="156" t="s">
        <v>1356</v>
      </c>
      <c r="G84" s="153" t="s">
        <v>2</v>
      </c>
      <c r="H84" s="159" t="s">
        <v>1357</v>
      </c>
      <c r="I84" s="153" t="s">
        <v>58</v>
      </c>
    </row>
    <row r="85" spans="1:9" ht="20.100000000000001" customHeight="1">
      <c r="A85" s="151" t="s">
        <v>296</v>
      </c>
      <c r="B85" s="152" t="s">
        <v>297</v>
      </c>
      <c r="D85" s="153">
        <v>1998</v>
      </c>
      <c r="E85" s="153" t="s">
        <v>1358</v>
      </c>
      <c r="F85" s="156" t="s">
        <v>1359</v>
      </c>
      <c r="G85" s="153" t="s">
        <v>1</v>
      </c>
      <c r="H85" s="153" t="s">
        <v>1360</v>
      </c>
      <c r="I85" s="153" t="s">
        <v>58</v>
      </c>
    </row>
    <row r="86" spans="1:9" ht="20.100000000000001" hidden="1" customHeight="1">
      <c r="A86" s="151" t="s">
        <v>298</v>
      </c>
      <c r="F86" s="156"/>
    </row>
    <row r="87" spans="1:9" hidden="1">
      <c r="A87" s="151" t="s">
        <v>299</v>
      </c>
      <c r="F87" s="156"/>
    </row>
    <row r="88" spans="1:9" ht="20.100000000000001" hidden="1" customHeight="1">
      <c r="A88" s="151" t="s">
        <v>300</v>
      </c>
      <c r="F88" s="156"/>
    </row>
    <row r="89" spans="1:9" ht="20.100000000000001" hidden="1" customHeight="1">
      <c r="A89" s="151" t="s">
        <v>301</v>
      </c>
      <c r="F89" s="156"/>
    </row>
    <row r="90" spans="1:9" ht="60">
      <c r="A90" s="151" t="s">
        <v>302</v>
      </c>
      <c r="B90" s="152" t="s">
        <v>303</v>
      </c>
      <c r="D90" s="153">
        <v>1999</v>
      </c>
      <c r="E90" s="153" t="s">
        <v>1361</v>
      </c>
      <c r="F90" s="157" t="s">
        <v>1362</v>
      </c>
      <c r="G90" s="153" t="s">
        <v>1</v>
      </c>
      <c r="H90" s="153" t="s">
        <v>1363</v>
      </c>
      <c r="I90" s="153" t="s">
        <v>58</v>
      </c>
    </row>
    <row r="91" spans="1:9" hidden="1">
      <c r="A91" s="151" t="s">
        <v>304</v>
      </c>
      <c r="F91" s="156"/>
    </row>
    <row r="92" spans="1:9" ht="75">
      <c r="A92" s="151" t="s">
        <v>305</v>
      </c>
      <c r="B92" s="152" t="s">
        <v>306</v>
      </c>
      <c r="D92" s="153">
        <v>1998</v>
      </c>
      <c r="E92" s="153" t="s">
        <v>1237</v>
      </c>
      <c r="F92" s="157" t="s">
        <v>1364</v>
      </c>
      <c r="H92" s="153" t="s">
        <v>1365</v>
      </c>
      <c r="I92" s="153" t="s">
        <v>58</v>
      </c>
    </row>
    <row r="93" spans="1:9" ht="20.100000000000001" customHeight="1">
      <c r="A93" s="151" t="s">
        <v>307</v>
      </c>
      <c r="B93" s="152" t="s">
        <v>308</v>
      </c>
      <c r="D93" s="153">
        <v>1999</v>
      </c>
      <c r="E93" s="153" t="s">
        <v>1366</v>
      </c>
      <c r="F93" s="156" t="s">
        <v>1367</v>
      </c>
      <c r="G93" s="153" t="s">
        <v>3</v>
      </c>
      <c r="H93" s="153" t="s">
        <v>1368</v>
      </c>
      <c r="I93" s="153" t="s">
        <v>58</v>
      </c>
    </row>
    <row r="94" spans="1:9">
      <c r="A94" s="151" t="s">
        <v>309</v>
      </c>
      <c r="B94" s="152" t="s">
        <v>310</v>
      </c>
      <c r="D94" s="153">
        <v>1999</v>
      </c>
      <c r="E94" s="153" t="s">
        <v>1369</v>
      </c>
      <c r="F94" s="156" t="s">
        <v>1370</v>
      </c>
      <c r="H94" s="153" t="s">
        <v>1371</v>
      </c>
      <c r="I94" s="153" t="s">
        <v>58</v>
      </c>
    </row>
    <row r="95" spans="1:9">
      <c r="A95" s="151" t="s">
        <v>311</v>
      </c>
      <c r="B95" s="152" t="s">
        <v>312</v>
      </c>
      <c r="D95" s="153">
        <v>1999</v>
      </c>
      <c r="E95" s="153" t="s">
        <v>1266</v>
      </c>
      <c r="F95" s="156" t="s">
        <v>1372</v>
      </c>
      <c r="H95" s="153" t="s">
        <v>1373</v>
      </c>
      <c r="I95" s="153" t="s">
        <v>58</v>
      </c>
    </row>
    <row r="96" spans="1:9" hidden="1">
      <c r="A96" s="151" t="s">
        <v>313</v>
      </c>
      <c r="F96" s="156"/>
    </row>
    <row r="97" spans="1:9" ht="20.100000000000001" customHeight="1">
      <c r="A97" s="151" t="s">
        <v>314</v>
      </c>
      <c r="B97" s="152" t="s">
        <v>315</v>
      </c>
      <c r="D97" s="153">
        <v>1998</v>
      </c>
      <c r="E97" s="153" t="s">
        <v>1374</v>
      </c>
      <c r="F97" s="156" t="s">
        <v>1375</v>
      </c>
      <c r="G97" s="153" t="s">
        <v>3</v>
      </c>
      <c r="H97" s="153" t="s">
        <v>1376</v>
      </c>
      <c r="I97" s="153" t="s">
        <v>58</v>
      </c>
    </row>
    <row r="98" spans="1:9">
      <c r="A98" s="151" t="s">
        <v>316</v>
      </c>
      <c r="B98" s="152" t="s">
        <v>317</v>
      </c>
      <c r="D98" s="153">
        <v>1998</v>
      </c>
      <c r="E98" s="153" t="s">
        <v>1377</v>
      </c>
      <c r="F98" s="159" t="s">
        <v>1378</v>
      </c>
      <c r="G98" s="153" t="s">
        <v>3</v>
      </c>
      <c r="H98" s="159" t="s">
        <v>1379</v>
      </c>
      <c r="I98" s="153" t="s">
        <v>58</v>
      </c>
    </row>
    <row r="99" spans="1:9" ht="45">
      <c r="A99" s="151" t="s">
        <v>318</v>
      </c>
      <c r="B99" s="152" t="s">
        <v>319</v>
      </c>
      <c r="D99" s="153">
        <v>1999</v>
      </c>
      <c r="E99" s="153" t="s">
        <v>1380</v>
      </c>
      <c r="F99" s="157" t="s">
        <v>1381</v>
      </c>
      <c r="G99" s="153" t="s">
        <v>2</v>
      </c>
      <c r="H99" s="153" t="s">
        <v>1382</v>
      </c>
      <c r="I99" s="153" t="s">
        <v>58</v>
      </c>
    </row>
    <row r="100" spans="1:9" ht="30">
      <c r="A100" s="151" t="s">
        <v>320</v>
      </c>
      <c r="B100" s="152" t="s">
        <v>321</v>
      </c>
      <c r="D100" s="153">
        <v>1999</v>
      </c>
      <c r="E100" s="153" t="s">
        <v>1383</v>
      </c>
      <c r="F100" s="157" t="s">
        <v>1384</v>
      </c>
      <c r="H100" s="153" t="s">
        <v>1385</v>
      </c>
      <c r="I100" s="153" t="s">
        <v>58</v>
      </c>
    </row>
    <row r="101" spans="1:9" ht="60">
      <c r="A101" s="151" t="s">
        <v>322</v>
      </c>
      <c r="B101" s="152" t="s">
        <v>323</v>
      </c>
      <c r="D101" s="153">
        <v>1999</v>
      </c>
      <c r="E101" s="153" t="s">
        <v>1338</v>
      </c>
      <c r="F101" s="157" t="s">
        <v>1386</v>
      </c>
      <c r="H101" s="153" t="s">
        <v>1387</v>
      </c>
      <c r="I101" s="153" t="s">
        <v>58</v>
      </c>
    </row>
    <row r="102" spans="1:9" ht="20.100000000000001" hidden="1" customHeight="1">
      <c r="A102" s="151" t="s">
        <v>324</v>
      </c>
      <c r="F102" s="156"/>
    </row>
    <row r="103" spans="1:9" ht="20.100000000000001" hidden="1" customHeight="1">
      <c r="A103" s="151" t="s">
        <v>325</v>
      </c>
      <c r="F103" s="156"/>
    </row>
    <row r="104" spans="1:9" ht="120">
      <c r="A104" s="151" t="s">
        <v>326</v>
      </c>
      <c r="B104" s="152" t="s">
        <v>327</v>
      </c>
      <c r="D104" s="153">
        <v>1999</v>
      </c>
      <c r="E104" s="153" t="s">
        <v>1388</v>
      </c>
      <c r="F104" s="157" t="s">
        <v>1389</v>
      </c>
      <c r="H104" s="153" t="s">
        <v>1390</v>
      </c>
      <c r="I104" s="153" t="s">
        <v>58</v>
      </c>
    </row>
    <row r="105" spans="1:9" ht="270">
      <c r="A105" s="151" t="s">
        <v>326</v>
      </c>
      <c r="B105" s="152" t="s">
        <v>328</v>
      </c>
      <c r="D105" s="153">
        <v>2000</v>
      </c>
      <c r="E105" s="153" t="s">
        <v>1388</v>
      </c>
      <c r="F105" s="157" t="s">
        <v>1391</v>
      </c>
      <c r="G105" s="153" t="s">
        <v>2</v>
      </c>
      <c r="H105" s="153" t="s">
        <v>1392</v>
      </c>
      <c r="I105" s="153" t="s">
        <v>58</v>
      </c>
    </row>
    <row r="106" spans="1:9">
      <c r="A106" s="151" t="s">
        <v>329</v>
      </c>
      <c r="B106" s="152" t="s">
        <v>330</v>
      </c>
      <c r="D106" s="153">
        <v>2000</v>
      </c>
      <c r="E106" s="153" t="s">
        <v>1393</v>
      </c>
      <c r="F106" s="159" t="s">
        <v>1394</v>
      </c>
      <c r="H106" s="153" t="s">
        <v>1395</v>
      </c>
      <c r="I106" s="153" t="s">
        <v>58</v>
      </c>
    </row>
    <row r="107" spans="1:9" ht="105">
      <c r="A107" s="151" t="s">
        <v>331</v>
      </c>
      <c r="B107" s="152" t="s">
        <v>332</v>
      </c>
      <c r="D107" s="153">
        <v>1999</v>
      </c>
      <c r="E107" s="153" t="s">
        <v>1396</v>
      </c>
      <c r="F107" s="157" t="s">
        <v>1397</v>
      </c>
      <c r="H107" s="153" t="s">
        <v>1398</v>
      </c>
      <c r="I107" s="153" t="s">
        <v>58</v>
      </c>
    </row>
    <row r="108" spans="1:9">
      <c r="A108" s="151" t="s">
        <v>333</v>
      </c>
      <c r="B108" s="152" t="s">
        <v>334</v>
      </c>
      <c r="D108" s="153">
        <v>1999</v>
      </c>
      <c r="E108" s="153" t="s">
        <v>1399</v>
      </c>
      <c r="F108" s="156" t="s">
        <v>1400</v>
      </c>
      <c r="G108" s="153" t="s">
        <v>3</v>
      </c>
      <c r="H108" s="153" t="s">
        <v>1401</v>
      </c>
      <c r="I108" s="153" t="s">
        <v>58</v>
      </c>
    </row>
    <row r="109" spans="1:9" ht="20.100000000000001" hidden="1" customHeight="1">
      <c r="A109" s="151" t="s">
        <v>335</v>
      </c>
      <c r="F109" s="156"/>
    </row>
    <row r="110" spans="1:9">
      <c r="A110" s="151" t="s">
        <v>336</v>
      </c>
      <c r="B110" s="152" t="s">
        <v>337</v>
      </c>
      <c r="D110" s="153">
        <v>1999</v>
      </c>
      <c r="E110" s="153" t="s">
        <v>1402</v>
      </c>
      <c r="F110" s="156" t="s">
        <v>1403</v>
      </c>
      <c r="H110" s="153" t="s">
        <v>1404</v>
      </c>
      <c r="I110" s="153" t="s">
        <v>58</v>
      </c>
    </row>
    <row r="111" spans="1:9" ht="20.100000000000001" customHeight="1">
      <c r="A111" s="151" t="s">
        <v>338</v>
      </c>
      <c r="B111" s="152" t="s">
        <v>339</v>
      </c>
      <c r="D111" s="153">
        <v>2014</v>
      </c>
      <c r="E111" s="153" t="s">
        <v>1405</v>
      </c>
      <c r="F111" s="153" t="s">
        <v>1406</v>
      </c>
      <c r="G111" s="153" t="s">
        <v>2</v>
      </c>
      <c r="H111" s="153" t="s">
        <v>1407</v>
      </c>
      <c r="I111" s="153" t="s">
        <v>58</v>
      </c>
    </row>
    <row r="112" spans="1:9" hidden="1">
      <c r="A112" s="151" t="s">
        <v>340</v>
      </c>
      <c r="F112" s="156"/>
    </row>
    <row r="113" spans="1:9" ht="30">
      <c r="A113" s="151" t="s">
        <v>341</v>
      </c>
      <c r="B113" s="152" t="s">
        <v>342</v>
      </c>
      <c r="D113" s="153">
        <v>1999</v>
      </c>
      <c r="E113" s="153" t="s">
        <v>1405</v>
      </c>
      <c r="F113" s="157" t="s">
        <v>1408</v>
      </c>
      <c r="H113" s="153" t="s">
        <v>1409</v>
      </c>
      <c r="I113" s="153" t="s">
        <v>58</v>
      </c>
    </row>
    <row r="114" spans="1:9">
      <c r="A114" s="151" t="s">
        <v>343</v>
      </c>
      <c r="B114" s="152" t="s">
        <v>344</v>
      </c>
      <c r="D114" s="153">
        <v>2000</v>
      </c>
      <c r="E114" s="153" t="s">
        <v>1311</v>
      </c>
      <c r="F114" s="156" t="s">
        <v>1312</v>
      </c>
      <c r="H114" s="153" t="s">
        <v>1410</v>
      </c>
      <c r="I114" s="153" t="s">
        <v>58</v>
      </c>
    </row>
    <row r="115" spans="1:9" ht="30">
      <c r="A115" s="151" t="s">
        <v>345</v>
      </c>
      <c r="B115" s="152" t="s">
        <v>346</v>
      </c>
      <c r="D115" s="153">
        <v>1999</v>
      </c>
      <c r="E115" s="153" t="s">
        <v>1237</v>
      </c>
      <c r="F115" s="157" t="s">
        <v>1411</v>
      </c>
      <c r="H115" s="153" t="s">
        <v>1412</v>
      </c>
      <c r="I115" s="153" t="s">
        <v>58</v>
      </c>
    </row>
    <row r="116" spans="1:9" ht="20.100000000000001" customHeight="1">
      <c r="A116" s="151" t="s">
        <v>347</v>
      </c>
      <c r="B116" s="152" t="s">
        <v>348</v>
      </c>
      <c r="D116" s="153">
        <v>2000</v>
      </c>
      <c r="E116" s="153" t="s">
        <v>1279</v>
      </c>
      <c r="F116" s="156" t="s">
        <v>1413</v>
      </c>
      <c r="G116" s="153" t="s">
        <v>1</v>
      </c>
      <c r="H116" s="153" t="s">
        <v>1414</v>
      </c>
      <c r="I116" s="153" t="s">
        <v>58</v>
      </c>
    </row>
    <row r="117" spans="1:9" hidden="1">
      <c r="A117" s="151" t="s">
        <v>349</v>
      </c>
      <c r="F117" s="156"/>
    </row>
    <row r="118" spans="1:9" ht="20.100000000000001" hidden="1" customHeight="1">
      <c r="A118" s="151" t="s">
        <v>350</v>
      </c>
      <c r="F118" s="156"/>
    </row>
    <row r="119" spans="1:9" ht="20.100000000000001" hidden="1" customHeight="1">
      <c r="A119" s="151" t="s">
        <v>351</v>
      </c>
      <c r="F119" s="156"/>
    </row>
    <row r="120" spans="1:9" ht="20.100000000000001" hidden="1" customHeight="1">
      <c r="A120" s="151" t="s">
        <v>352</v>
      </c>
      <c r="F120" s="156"/>
    </row>
    <row r="121" spans="1:9" hidden="1">
      <c r="A121" s="151" t="s">
        <v>353</v>
      </c>
      <c r="F121" s="156"/>
    </row>
    <row r="122" spans="1:9" ht="45">
      <c r="A122" s="151" t="s">
        <v>354</v>
      </c>
      <c r="B122" s="152" t="s">
        <v>355</v>
      </c>
      <c r="D122" s="153">
        <v>2000</v>
      </c>
      <c r="E122" s="153" t="s">
        <v>1253</v>
      </c>
      <c r="F122" s="157" t="s">
        <v>1415</v>
      </c>
      <c r="H122" s="153" t="s">
        <v>1416</v>
      </c>
      <c r="I122" s="153" t="s">
        <v>58</v>
      </c>
    </row>
    <row r="123" spans="1:9" ht="20.100000000000001" customHeight="1">
      <c r="A123" s="151" t="s">
        <v>356</v>
      </c>
      <c r="B123" s="152" t="s">
        <v>357</v>
      </c>
      <c r="D123" s="153">
        <v>1999</v>
      </c>
      <c r="E123" s="153" t="s">
        <v>1417</v>
      </c>
      <c r="F123" s="156" t="s">
        <v>1418</v>
      </c>
      <c r="H123" s="153" t="s">
        <v>1419</v>
      </c>
      <c r="I123" s="153" t="s">
        <v>58</v>
      </c>
    </row>
    <row r="124" spans="1:9" hidden="1">
      <c r="A124" s="151" t="s">
        <v>358</v>
      </c>
      <c r="F124" s="156"/>
    </row>
    <row r="125" spans="1:9" ht="30">
      <c r="A125" s="151" t="s">
        <v>359</v>
      </c>
      <c r="B125" s="152" t="s">
        <v>360</v>
      </c>
      <c r="D125" s="153">
        <v>1999</v>
      </c>
      <c r="E125" s="153" t="s">
        <v>1420</v>
      </c>
      <c r="F125" s="157" t="s">
        <v>1421</v>
      </c>
      <c r="H125" s="153" t="s">
        <v>1422</v>
      </c>
      <c r="I125" s="153" t="s">
        <v>58</v>
      </c>
    </row>
    <row r="126" spans="1:9" ht="20.100000000000001" hidden="1" customHeight="1">
      <c r="A126" s="151" t="s">
        <v>361</v>
      </c>
      <c r="F126" s="156"/>
    </row>
    <row r="127" spans="1:9" ht="20.100000000000001" customHeight="1">
      <c r="A127" s="151" t="s">
        <v>362</v>
      </c>
      <c r="B127" s="152" t="s">
        <v>363</v>
      </c>
      <c r="D127" s="153">
        <v>2000</v>
      </c>
      <c r="E127" s="153" t="s">
        <v>1423</v>
      </c>
      <c r="F127" s="156" t="s">
        <v>1424</v>
      </c>
      <c r="G127" s="153" t="s">
        <v>1</v>
      </c>
      <c r="H127" s="153" t="s">
        <v>1425</v>
      </c>
      <c r="I127" s="153" t="s">
        <v>58</v>
      </c>
    </row>
    <row r="128" spans="1:9" hidden="1">
      <c r="A128" s="151" t="s">
        <v>364</v>
      </c>
      <c r="F128" s="156"/>
    </row>
    <row r="129" spans="1:9">
      <c r="A129" s="151" t="s">
        <v>365</v>
      </c>
      <c r="B129" s="152" t="s">
        <v>366</v>
      </c>
      <c r="D129" s="153">
        <v>2000</v>
      </c>
      <c r="E129" s="153" t="s">
        <v>1399</v>
      </c>
      <c r="F129" s="156" t="s">
        <v>1426</v>
      </c>
      <c r="G129" s="153" t="s">
        <v>3</v>
      </c>
      <c r="H129" s="153" t="s">
        <v>1427</v>
      </c>
      <c r="I129" s="153" t="s">
        <v>58</v>
      </c>
    </row>
    <row r="130" spans="1:9">
      <c r="A130" s="151" t="s">
        <v>367</v>
      </c>
      <c r="B130" s="152" t="s">
        <v>368</v>
      </c>
      <c r="D130" s="153">
        <v>2000</v>
      </c>
      <c r="E130" s="153" t="s">
        <v>1428</v>
      </c>
      <c r="F130" s="156" t="s">
        <v>1429</v>
      </c>
      <c r="G130" s="153" t="s">
        <v>1268</v>
      </c>
      <c r="H130" s="153" t="s">
        <v>1430</v>
      </c>
      <c r="I130" s="153" t="s">
        <v>58</v>
      </c>
    </row>
    <row r="131" spans="1:9">
      <c r="A131" s="151" t="s">
        <v>367</v>
      </c>
      <c r="B131" s="152" t="s">
        <v>369</v>
      </c>
      <c r="D131" s="153">
        <v>2006</v>
      </c>
      <c r="E131" s="153" t="s">
        <v>1431</v>
      </c>
      <c r="F131" s="156" t="s">
        <v>1429</v>
      </c>
      <c r="G131" s="153" t="s">
        <v>1268</v>
      </c>
      <c r="H131" s="153" t="s">
        <v>1432</v>
      </c>
      <c r="I131" s="153" t="s">
        <v>58</v>
      </c>
    </row>
    <row r="132" spans="1:9">
      <c r="A132" s="151" t="s">
        <v>367</v>
      </c>
      <c r="B132" s="152" t="s">
        <v>370</v>
      </c>
      <c r="D132" s="153">
        <v>2008</v>
      </c>
      <c r="E132" s="153" t="s">
        <v>1433</v>
      </c>
      <c r="F132" s="156" t="s">
        <v>1429</v>
      </c>
      <c r="G132" s="153" t="s">
        <v>1268</v>
      </c>
      <c r="H132" s="153" t="s">
        <v>1434</v>
      </c>
      <c r="I132" s="153" t="s">
        <v>58</v>
      </c>
    </row>
    <row r="133" spans="1:9" ht="20.100000000000001" customHeight="1">
      <c r="A133" s="151" t="s">
        <v>367</v>
      </c>
      <c r="B133" s="152" t="s">
        <v>371</v>
      </c>
      <c r="D133" s="153">
        <v>2021</v>
      </c>
      <c r="E133" s="153" t="s">
        <v>1435</v>
      </c>
      <c r="F133" s="156" t="s">
        <v>1436</v>
      </c>
      <c r="G133" s="153" t="s">
        <v>1268</v>
      </c>
      <c r="H133" s="153" t="s">
        <v>1437</v>
      </c>
      <c r="I133" s="153" t="s">
        <v>58</v>
      </c>
    </row>
    <row r="134" spans="1:9">
      <c r="A134" s="151" t="s">
        <v>372</v>
      </c>
      <c r="B134" s="152" t="s">
        <v>373</v>
      </c>
      <c r="D134" s="153">
        <v>2000</v>
      </c>
      <c r="E134" s="153" t="s">
        <v>1253</v>
      </c>
      <c r="F134" s="156" t="s">
        <v>1438</v>
      </c>
      <c r="G134" s="153" t="s">
        <v>3</v>
      </c>
      <c r="H134" s="153" t="s">
        <v>1439</v>
      </c>
      <c r="I134" s="153" t="s">
        <v>58</v>
      </c>
    </row>
    <row r="135" spans="1:9" ht="60">
      <c r="A135" s="151" t="s">
        <v>374</v>
      </c>
      <c r="B135" s="152" t="s">
        <v>375</v>
      </c>
      <c r="D135" s="153">
        <v>2000</v>
      </c>
      <c r="E135" s="153" t="s">
        <v>1285</v>
      </c>
      <c r="F135" s="157" t="s">
        <v>1440</v>
      </c>
      <c r="G135" s="153" t="s">
        <v>1</v>
      </c>
      <c r="H135" s="153" t="s">
        <v>1441</v>
      </c>
      <c r="I135" s="153" t="s">
        <v>58</v>
      </c>
    </row>
    <row r="136" spans="1:9" ht="30">
      <c r="A136" s="151" t="s">
        <v>376</v>
      </c>
      <c r="B136" s="152" t="s">
        <v>377</v>
      </c>
      <c r="D136" s="153">
        <v>2000</v>
      </c>
      <c r="E136" s="153" t="s">
        <v>1442</v>
      </c>
      <c r="F136" s="157" t="s">
        <v>1443</v>
      </c>
      <c r="G136" s="153" t="s">
        <v>3</v>
      </c>
      <c r="H136" s="153" t="s">
        <v>1444</v>
      </c>
      <c r="I136" s="153" t="s">
        <v>58</v>
      </c>
    </row>
    <row r="137" spans="1:9" ht="60">
      <c r="A137" s="151" t="s">
        <v>378</v>
      </c>
      <c r="B137" s="152" t="s">
        <v>379</v>
      </c>
      <c r="D137" s="153">
        <v>2000</v>
      </c>
      <c r="E137" s="153" t="s">
        <v>1445</v>
      </c>
      <c r="F137" s="157" t="s">
        <v>1446</v>
      </c>
      <c r="G137" s="153" t="s">
        <v>1</v>
      </c>
      <c r="H137" s="153" t="s">
        <v>1447</v>
      </c>
      <c r="I137" s="153" t="s">
        <v>58</v>
      </c>
    </row>
    <row r="138" spans="1:9" hidden="1">
      <c r="A138" s="151" t="s">
        <v>380</v>
      </c>
      <c r="F138" s="156"/>
    </row>
    <row r="139" spans="1:9" ht="60">
      <c r="A139" s="151" t="s">
        <v>381</v>
      </c>
      <c r="B139" s="152" t="s">
        <v>382</v>
      </c>
      <c r="D139" s="153">
        <v>2000</v>
      </c>
      <c r="E139" s="153" t="s">
        <v>1448</v>
      </c>
      <c r="F139" s="157" t="s">
        <v>1449</v>
      </c>
      <c r="H139" s="153" t="s">
        <v>1450</v>
      </c>
      <c r="I139" s="153" t="s">
        <v>58</v>
      </c>
    </row>
    <row r="140" spans="1:9" ht="60">
      <c r="A140" s="151" t="s">
        <v>383</v>
      </c>
      <c r="B140" s="152" t="s">
        <v>384</v>
      </c>
      <c r="D140" s="153">
        <v>2002</v>
      </c>
      <c r="E140" s="153" t="s">
        <v>1451</v>
      </c>
      <c r="F140" s="157" t="s">
        <v>1452</v>
      </c>
      <c r="H140" s="153" t="s">
        <v>1453</v>
      </c>
      <c r="I140" s="153" t="s">
        <v>58</v>
      </c>
    </row>
    <row r="141" spans="1:9">
      <c r="A141" s="151" t="s">
        <v>385</v>
      </c>
      <c r="B141" s="152" t="s">
        <v>386</v>
      </c>
      <c r="D141" s="153">
        <v>2000</v>
      </c>
      <c r="E141" s="153" t="s">
        <v>1454</v>
      </c>
      <c r="F141" s="156" t="s">
        <v>1455</v>
      </c>
      <c r="G141" s="153" t="s">
        <v>3</v>
      </c>
      <c r="H141" s="153" t="s">
        <v>1456</v>
      </c>
      <c r="I141" s="153" t="s">
        <v>58</v>
      </c>
    </row>
    <row r="142" spans="1:9" ht="135">
      <c r="A142" s="151" t="s">
        <v>387</v>
      </c>
      <c r="B142" s="152" t="s">
        <v>388</v>
      </c>
      <c r="D142" s="153">
        <v>2000</v>
      </c>
      <c r="E142" s="153" t="s">
        <v>1276</v>
      </c>
      <c r="F142" s="157" t="s">
        <v>1457</v>
      </c>
      <c r="G142" s="153" t="s">
        <v>1</v>
      </c>
      <c r="H142" s="153" t="s">
        <v>1458</v>
      </c>
      <c r="I142" s="153" t="s">
        <v>58</v>
      </c>
    </row>
    <row r="143" spans="1:9" ht="270">
      <c r="A143" s="151" t="s">
        <v>389</v>
      </c>
      <c r="B143" s="152" t="s">
        <v>328</v>
      </c>
      <c r="D143" s="153">
        <v>2000</v>
      </c>
      <c r="E143" s="153" t="s">
        <v>1459</v>
      </c>
      <c r="F143" s="157" t="s">
        <v>1460</v>
      </c>
      <c r="G143" s="153" t="s">
        <v>2</v>
      </c>
      <c r="H143" s="153" t="s">
        <v>1392</v>
      </c>
      <c r="I143" s="153" t="s">
        <v>58</v>
      </c>
    </row>
    <row r="144" spans="1:9">
      <c r="A144" s="151" t="s">
        <v>390</v>
      </c>
      <c r="B144" s="152" t="s">
        <v>391</v>
      </c>
      <c r="D144" s="153">
        <v>2000</v>
      </c>
      <c r="E144" s="153" t="s">
        <v>1461</v>
      </c>
      <c r="F144" s="157" t="s">
        <v>1462</v>
      </c>
      <c r="G144" s="153" t="s">
        <v>1</v>
      </c>
      <c r="H144" s="153" t="s">
        <v>1463</v>
      </c>
      <c r="I144" s="153" t="s">
        <v>58</v>
      </c>
    </row>
    <row r="145" spans="1:9" ht="30">
      <c r="A145" s="151" t="s">
        <v>390</v>
      </c>
      <c r="B145" s="152" t="s">
        <v>392</v>
      </c>
      <c r="D145" s="153">
        <v>2000</v>
      </c>
      <c r="E145" s="153" t="s">
        <v>1461</v>
      </c>
      <c r="F145" s="157" t="s">
        <v>1464</v>
      </c>
      <c r="G145" s="153" t="s">
        <v>1</v>
      </c>
      <c r="H145" s="153" t="s">
        <v>1463</v>
      </c>
      <c r="I145" s="153" t="s">
        <v>58</v>
      </c>
    </row>
    <row r="146" spans="1:9" ht="30">
      <c r="A146" s="151" t="s">
        <v>393</v>
      </c>
      <c r="B146" s="152" t="s">
        <v>394</v>
      </c>
      <c r="D146" s="153">
        <v>2001</v>
      </c>
      <c r="E146" s="153" t="s">
        <v>1465</v>
      </c>
      <c r="F146" s="157" t="s">
        <v>1466</v>
      </c>
      <c r="G146" s="153" t="s">
        <v>1</v>
      </c>
      <c r="H146" s="153" t="s">
        <v>1467</v>
      </c>
      <c r="I146" s="153" t="s">
        <v>58</v>
      </c>
    </row>
    <row r="147" spans="1:9" ht="45">
      <c r="A147" s="151" t="s">
        <v>395</v>
      </c>
      <c r="B147" s="152" t="s">
        <v>396</v>
      </c>
      <c r="D147" s="153">
        <v>2000</v>
      </c>
      <c r="E147" s="153" t="s">
        <v>1468</v>
      </c>
      <c r="F147" s="157" t="s">
        <v>1469</v>
      </c>
      <c r="G147" s="153" t="s">
        <v>1</v>
      </c>
      <c r="H147" s="153" t="s">
        <v>1470</v>
      </c>
      <c r="I147" s="153" t="s">
        <v>58</v>
      </c>
    </row>
    <row r="148" spans="1:9" ht="30">
      <c r="A148" s="151" t="s">
        <v>397</v>
      </c>
      <c r="B148" s="152" t="s">
        <v>398</v>
      </c>
      <c r="D148" s="153">
        <v>2000</v>
      </c>
      <c r="E148" s="153" t="s">
        <v>1420</v>
      </c>
      <c r="F148" s="157" t="s">
        <v>1471</v>
      </c>
      <c r="G148" s="153" t="s">
        <v>2</v>
      </c>
      <c r="H148" s="159" t="s">
        <v>1472</v>
      </c>
      <c r="I148" s="153" t="s">
        <v>58</v>
      </c>
    </row>
    <row r="149" spans="1:9" ht="45">
      <c r="A149" s="151" t="s">
        <v>399</v>
      </c>
      <c r="B149" s="152" t="s">
        <v>400</v>
      </c>
      <c r="D149" s="153">
        <v>2000</v>
      </c>
      <c r="E149" s="153" t="s">
        <v>1473</v>
      </c>
      <c r="F149" s="157" t="s">
        <v>1474</v>
      </c>
      <c r="H149" s="153" t="s">
        <v>1475</v>
      </c>
      <c r="I149" s="153" t="s">
        <v>58</v>
      </c>
    </row>
    <row r="150" spans="1:9" ht="45">
      <c r="A150" s="151" t="s">
        <v>401</v>
      </c>
      <c r="B150" s="152" t="s">
        <v>402</v>
      </c>
      <c r="D150" s="153">
        <v>2000</v>
      </c>
      <c r="E150" s="153" t="s">
        <v>1476</v>
      </c>
      <c r="F150" s="157" t="s">
        <v>1477</v>
      </c>
      <c r="G150" s="153" t="s">
        <v>2</v>
      </c>
      <c r="H150" s="153" t="s">
        <v>1478</v>
      </c>
      <c r="I150" s="153" t="s">
        <v>58</v>
      </c>
    </row>
    <row r="151" spans="1:9" ht="105">
      <c r="A151" s="151" t="s">
        <v>403</v>
      </c>
      <c r="B151" s="152" t="s">
        <v>404</v>
      </c>
      <c r="D151" s="153">
        <v>2000</v>
      </c>
      <c r="E151" s="153" t="s">
        <v>1479</v>
      </c>
      <c r="F151" s="157" t="s">
        <v>1480</v>
      </c>
      <c r="H151" s="153" t="s">
        <v>1481</v>
      </c>
      <c r="I151" s="153" t="s">
        <v>58</v>
      </c>
    </row>
    <row r="152" spans="1:9" ht="20.100000000000001" hidden="1" customHeight="1">
      <c r="A152" s="151" t="s">
        <v>405</v>
      </c>
      <c r="B152" s="152" t="s">
        <v>406</v>
      </c>
      <c r="F152" s="156"/>
    </row>
    <row r="153" spans="1:9" hidden="1">
      <c r="A153" s="151" t="s">
        <v>407</v>
      </c>
      <c r="F153" s="156"/>
    </row>
    <row r="154" spans="1:9" ht="75">
      <c r="A154" s="151" t="s">
        <v>408</v>
      </c>
      <c r="B154" s="152" t="s">
        <v>409</v>
      </c>
      <c r="D154" s="153">
        <v>2000</v>
      </c>
      <c r="E154" s="153" t="s">
        <v>1405</v>
      </c>
      <c r="F154" s="157" t="s">
        <v>1482</v>
      </c>
      <c r="H154" s="153" t="s">
        <v>1483</v>
      </c>
      <c r="I154" s="153" t="s">
        <v>58</v>
      </c>
    </row>
    <row r="155" spans="1:9" hidden="1">
      <c r="A155" s="151" t="s">
        <v>410</v>
      </c>
      <c r="F155" s="156"/>
    </row>
    <row r="156" spans="1:9" ht="60">
      <c r="A156" s="151" t="s">
        <v>411</v>
      </c>
      <c r="B156" s="152" t="s">
        <v>412</v>
      </c>
      <c r="D156" s="153">
        <v>2000</v>
      </c>
      <c r="E156" s="153" t="s">
        <v>1484</v>
      </c>
      <c r="F156" s="157" t="s">
        <v>1485</v>
      </c>
      <c r="G156" s="153" t="s">
        <v>1</v>
      </c>
      <c r="H156" s="153" t="s">
        <v>1486</v>
      </c>
      <c r="I156" s="153" t="s">
        <v>58</v>
      </c>
    </row>
    <row r="157" spans="1:9" ht="90">
      <c r="A157" s="151" t="s">
        <v>413</v>
      </c>
      <c r="B157" s="152" t="s">
        <v>414</v>
      </c>
      <c r="D157" s="153">
        <v>2000</v>
      </c>
      <c r="E157" s="153" t="s">
        <v>1487</v>
      </c>
      <c r="F157" s="157" t="s">
        <v>1488</v>
      </c>
      <c r="G157" s="153" t="s">
        <v>1</v>
      </c>
      <c r="H157" s="153" t="s">
        <v>1489</v>
      </c>
      <c r="I157" s="153" t="s">
        <v>58</v>
      </c>
    </row>
    <row r="158" spans="1:9" ht="60">
      <c r="A158" s="151" t="s">
        <v>415</v>
      </c>
      <c r="B158" s="152" t="s">
        <v>416</v>
      </c>
      <c r="D158" s="153">
        <v>2000</v>
      </c>
      <c r="E158" s="153" t="s">
        <v>1338</v>
      </c>
      <c r="F158" s="157" t="s">
        <v>1490</v>
      </c>
      <c r="H158" s="153" t="s">
        <v>1491</v>
      </c>
      <c r="I158" s="153" t="s">
        <v>58</v>
      </c>
    </row>
    <row r="159" spans="1:9" hidden="1">
      <c r="A159" s="151" t="s">
        <v>417</v>
      </c>
      <c r="F159" s="156"/>
    </row>
    <row r="160" spans="1:9" hidden="1">
      <c r="A160" s="151" t="s">
        <v>418</v>
      </c>
      <c r="F160" s="156"/>
    </row>
    <row r="161" spans="1:9" ht="20.100000000000001" customHeight="1">
      <c r="A161" s="151" t="s">
        <v>419</v>
      </c>
      <c r="B161" s="152" t="s">
        <v>420</v>
      </c>
      <c r="D161" s="153">
        <v>2000</v>
      </c>
      <c r="E161" s="153" t="s">
        <v>1492</v>
      </c>
      <c r="F161" s="156" t="s">
        <v>1493</v>
      </c>
      <c r="G161" s="153" t="s">
        <v>1268</v>
      </c>
      <c r="H161" s="153" t="s">
        <v>1494</v>
      </c>
      <c r="I161" s="153" t="s">
        <v>58</v>
      </c>
    </row>
    <row r="162" spans="1:9" ht="60">
      <c r="A162" s="151" t="s">
        <v>421</v>
      </c>
      <c r="B162" s="152" t="s">
        <v>422</v>
      </c>
      <c r="D162" s="153">
        <v>2000</v>
      </c>
      <c r="E162" s="153" t="s">
        <v>1399</v>
      </c>
      <c r="F162" s="157" t="s">
        <v>1495</v>
      </c>
      <c r="H162" s="153" t="s">
        <v>1496</v>
      </c>
      <c r="I162" s="153" t="s">
        <v>58</v>
      </c>
    </row>
    <row r="163" spans="1:9" ht="30">
      <c r="A163" s="151" t="s">
        <v>423</v>
      </c>
      <c r="B163" s="152" t="s">
        <v>424</v>
      </c>
      <c r="D163" s="153">
        <v>2000</v>
      </c>
      <c r="E163" s="153" t="s">
        <v>1497</v>
      </c>
      <c r="F163" s="157" t="s">
        <v>1498</v>
      </c>
      <c r="H163" s="153" t="s">
        <v>1499</v>
      </c>
      <c r="I163" s="153" t="s">
        <v>58</v>
      </c>
    </row>
    <row r="164" spans="1:9">
      <c r="A164" s="151" t="s">
        <v>425</v>
      </c>
      <c r="B164" s="152" t="s">
        <v>426</v>
      </c>
      <c r="D164" s="153">
        <v>2000</v>
      </c>
      <c r="E164" s="153" t="s">
        <v>1500</v>
      </c>
      <c r="F164" s="156" t="s">
        <v>1501</v>
      </c>
      <c r="H164" s="153" t="s">
        <v>1502</v>
      </c>
      <c r="I164" s="153" t="s">
        <v>58</v>
      </c>
    </row>
    <row r="165" spans="1:9" ht="30">
      <c r="A165" s="151" t="s">
        <v>427</v>
      </c>
      <c r="B165" s="152" t="s">
        <v>428</v>
      </c>
      <c r="D165" s="153">
        <v>2000</v>
      </c>
      <c r="E165" s="153" t="s">
        <v>1484</v>
      </c>
      <c r="F165" s="157" t="s">
        <v>1503</v>
      </c>
      <c r="H165" s="153" t="s">
        <v>1504</v>
      </c>
      <c r="I165" s="153" t="s">
        <v>58</v>
      </c>
    </row>
    <row r="166" spans="1:9" ht="20.100000000000001" hidden="1" customHeight="1">
      <c r="A166" s="151" t="s">
        <v>429</v>
      </c>
      <c r="F166" s="156"/>
    </row>
    <row r="167" spans="1:9" hidden="1">
      <c r="A167" s="151" t="s">
        <v>430</v>
      </c>
      <c r="F167" s="156"/>
    </row>
    <row r="168" spans="1:9" ht="15" customHeight="1">
      <c r="A168" s="151" t="s">
        <v>431</v>
      </c>
      <c r="B168" s="152" t="s">
        <v>432</v>
      </c>
      <c r="D168" s="153">
        <v>2006</v>
      </c>
      <c r="E168" s="153" t="s">
        <v>1505</v>
      </c>
      <c r="F168" s="157" t="s">
        <v>1506</v>
      </c>
      <c r="G168" s="153" t="s">
        <v>1</v>
      </c>
      <c r="H168" s="153" t="s">
        <v>1507</v>
      </c>
      <c r="I168" s="153" t="s">
        <v>58</v>
      </c>
    </row>
    <row r="169" spans="1:9" ht="20.100000000000001" hidden="1" customHeight="1">
      <c r="A169" s="151" t="s">
        <v>433</v>
      </c>
      <c r="F169" s="156"/>
    </row>
    <row r="170" spans="1:9" hidden="1">
      <c r="A170" s="151" t="s">
        <v>434</v>
      </c>
      <c r="F170" s="156"/>
    </row>
    <row r="171" spans="1:9" hidden="1">
      <c r="A171" s="151" t="s">
        <v>435</v>
      </c>
      <c r="F171" s="156"/>
    </row>
    <row r="172" spans="1:9" hidden="1">
      <c r="A172" s="151" t="s">
        <v>436</v>
      </c>
      <c r="F172" s="156"/>
    </row>
    <row r="173" spans="1:9" hidden="1">
      <c r="A173" s="151" t="s">
        <v>437</v>
      </c>
      <c r="F173" s="156"/>
    </row>
    <row r="174" spans="1:9" ht="20.100000000000001" hidden="1" customHeight="1">
      <c r="A174" s="151" t="s">
        <v>438</v>
      </c>
      <c r="F174" s="156"/>
    </row>
    <row r="175" spans="1:9" hidden="1">
      <c r="A175" s="151" t="s">
        <v>439</v>
      </c>
      <c r="F175" s="156"/>
    </row>
    <row r="176" spans="1:9" ht="20.100000000000001" hidden="1" customHeight="1">
      <c r="A176" s="151" t="s">
        <v>440</v>
      </c>
      <c r="F176" s="156"/>
    </row>
    <row r="177" spans="1:9" ht="20.100000000000001" hidden="1" customHeight="1">
      <c r="A177" s="151" t="s">
        <v>441</v>
      </c>
      <c r="F177" s="156"/>
    </row>
    <row r="178" spans="1:9" ht="20.100000000000001" hidden="1" customHeight="1">
      <c r="A178" s="151" t="s">
        <v>442</v>
      </c>
      <c r="F178" s="156"/>
    </row>
    <row r="179" spans="1:9" hidden="1">
      <c r="A179" s="151" t="s">
        <v>443</v>
      </c>
      <c r="F179" s="156"/>
    </row>
    <row r="180" spans="1:9" hidden="1">
      <c r="A180" s="151" t="s">
        <v>444</v>
      </c>
      <c r="F180" s="156"/>
    </row>
    <row r="181" spans="1:9" ht="20.100000000000001" hidden="1" customHeight="1">
      <c r="A181" s="151" t="s">
        <v>445</v>
      </c>
      <c r="F181" s="156"/>
    </row>
    <row r="182" spans="1:9" hidden="1">
      <c r="A182" s="151" t="s">
        <v>446</v>
      </c>
      <c r="F182" s="156"/>
    </row>
    <row r="183" spans="1:9" ht="20.100000000000001" hidden="1" customHeight="1">
      <c r="A183" s="151" t="s">
        <v>447</v>
      </c>
      <c r="F183" s="156"/>
    </row>
    <row r="184" spans="1:9" ht="20.100000000000001" hidden="1" customHeight="1">
      <c r="A184" s="151" t="s">
        <v>448</v>
      </c>
      <c r="F184" s="156"/>
    </row>
    <row r="185" spans="1:9" ht="20.100000000000001" hidden="1" customHeight="1">
      <c r="A185" s="151" t="s">
        <v>449</v>
      </c>
      <c r="F185" s="156"/>
    </row>
    <row r="186" spans="1:9" ht="20.100000000000001" hidden="1" customHeight="1">
      <c r="A186" s="151" t="s">
        <v>450</v>
      </c>
      <c r="F186" s="156"/>
    </row>
    <row r="187" spans="1:9" hidden="1">
      <c r="A187" s="151" t="s">
        <v>451</v>
      </c>
      <c r="F187" s="156"/>
    </row>
    <row r="188" spans="1:9" hidden="1">
      <c r="A188" s="151" t="s">
        <v>452</v>
      </c>
      <c r="F188" s="156"/>
    </row>
    <row r="189" spans="1:9" ht="20.100000000000001" hidden="1" customHeight="1">
      <c r="A189" s="151" t="s">
        <v>453</v>
      </c>
      <c r="F189" s="156"/>
    </row>
    <row r="190" spans="1:9" ht="20.100000000000001" hidden="1" customHeight="1">
      <c r="A190" s="151" t="s">
        <v>454</v>
      </c>
      <c r="F190" s="156"/>
    </row>
    <row r="191" spans="1:9" ht="20.100000000000001" hidden="1" customHeight="1">
      <c r="A191" s="151" t="s">
        <v>455</v>
      </c>
      <c r="F191" s="156"/>
    </row>
    <row r="192" spans="1:9" ht="75">
      <c r="A192" s="151" t="s">
        <v>456</v>
      </c>
      <c r="B192" s="152" t="s">
        <v>457</v>
      </c>
      <c r="D192" s="153">
        <v>2002</v>
      </c>
      <c r="E192" s="153" t="s">
        <v>1279</v>
      </c>
      <c r="F192" s="157" t="s">
        <v>1508</v>
      </c>
      <c r="H192" s="159" t="s">
        <v>1509</v>
      </c>
      <c r="I192" s="153" t="s">
        <v>58</v>
      </c>
    </row>
    <row r="193" spans="1:6" hidden="1">
      <c r="A193" s="151" t="s">
        <v>458</v>
      </c>
      <c r="F193" s="156"/>
    </row>
    <row r="194" spans="1:6" ht="20.100000000000001" hidden="1" customHeight="1">
      <c r="A194" s="151" t="s">
        <v>459</v>
      </c>
      <c r="F194" s="156"/>
    </row>
    <row r="195" spans="1:6" ht="20.100000000000001" hidden="1" customHeight="1">
      <c r="A195" s="151" t="s">
        <v>460</v>
      </c>
      <c r="F195" s="156"/>
    </row>
    <row r="196" spans="1:6" ht="20.100000000000001" hidden="1" customHeight="1">
      <c r="A196" s="151" t="s">
        <v>461</v>
      </c>
      <c r="F196" s="156"/>
    </row>
    <row r="197" spans="1:6" ht="20.100000000000001" hidden="1" customHeight="1">
      <c r="A197" s="151" t="s">
        <v>462</v>
      </c>
      <c r="F197" s="156"/>
    </row>
    <row r="198" spans="1:6" ht="20.100000000000001" hidden="1" customHeight="1">
      <c r="A198" s="151" t="s">
        <v>463</v>
      </c>
      <c r="F198" s="156"/>
    </row>
    <row r="199" spans="1:6" ht="20.100000000000001" hidden="1" customHeight="1">
      <c r="A199" s="151" t="s">
        <v>464</v>
      </c>
      <c r="F199" s="156"/>
    </row>
    <row r="200" spans="1:6" ht="20.100000000000001" hidden="1" customHeight="1">
      <c r="A200" s="151" t="s">
        <v>465</v>
      </c>
      <c r="F200" s="156"/>
    </row>
    <row r="201" spans="1:6" ht="20.100000000000001" hidden="1" customHeight="1">
      <c r="A201" s="151" t="s">
        <v>466</v>
      </c>
      <c r="F201" s="156"/>
    </row>
    <row r="202" spans="1:6" ht="20.100000000000001" hidden="1" customHeight="1">
      <c r="A202" s="151" t="s">
        <v>467</v>
      </c>
      <c r="F202" s="156"/>
    </row>
    <row r="203" spans="1:6" ht="20.100000000000001" hidden="1" customHeight="1">
      <c r="A203" s="151" t="s">
        <v>468</v>
      </c>
      <c r="F203" s="156"/>
    </row>
    <row r="204" spans="1:6" ht="20.100000000000001" hidden="1" customHeight="1">
      <c r="A204" s="151" t="s">
        <v>469</v>
      </c>
      <c r="F204" s="156"/>
    </row>
    <row r="205" spans="1:6" ht="20.100000000000001" hidden="1" customHeight="1">
      <c r="A205" s="151" t="s">
        <v>470</v>
      </c>
      <c r="F205" s="156"/>
    </row>
    <row r="206" spans="1:6" hidden="1">
      <c r="A206" s="151" t="s">
        <v>471</v>
      </c>
      <c r="F206" s="156"/>
    </row>
    <row r="207" spans="1:6" ht="20.100000000000001" hidden="1" customHeight="1">
      <c r="A207" s="151" t="s">
        <v>472</v>
      </c>
      <c r="F207" s="156"/>
    </row>
    <row r="208" spans="1:6" ht="20.100000000000001" hidden="1" customHeight="1">
      <c r="A208" s="151" t="s">
        <v>473</v>
      </c>
      <c r="F208" s="156"/>
    </row>
    <row r="209" spans="1:9" ht="20.100000000000001" hidden="1" customHeight="1">
      <c r="A209" s="151" t="s">
        <v>474</v>
      </c>
      <c r="F209" s="156"/>
    </row>
    <row r="210" spans="1:9" ht="20.100000000000001" hidden="1" customHeight="1">
      <c r="A210" s="151" t="s">
        <v>475</v>
      </c>
      <c r="F210" s="156"/>
    </row>
    <row r="211" spans="1:9" hidden="1">
      <c r="A211" s="151" t="s">
        <v>476</v>
      </c>
      <c r="F211" s="156"/>
    </row>
    <row r="212" spans="1:9" ht="20.100000000000001" hidden="1" customHeight="1">
      <c r="A212" s="151" t="s">
        <v>477</v>
      </c>
      <c r="F212" s="156"/>
    </row>
    <row r="213" spans="1:9" ht="15" customHeight="1">
      <c r="A213" s="151" t="s">
        <v>478</v>
      </c>
      <c r="B213" s="152" t="s">
        <v>479</v>
      </c>
      <c r="D213" s="153">
        <v>2007</v>
      </c>
      <c r="E213" s="153" t="s">
        <v>1405</v>
      </c>
      <c r="F213" s="157" t="s">
        <v>1510</v>
      </c>
      <c r="H213" s="153" t="s">
        <v>1511</v>
      </c>
      <c r="I213" s="153" t="s">
        <v>58</v>
      </c>
    </row>
    <row r="214" spans="1:9" ht="20.100000000000001" hidden="1" customHeight="1">
      <c r="A214" s="151" t="s">
        <v>480</v>
      </c>
      <c r="F214" s="156"/>
    </row>
    <row r="215" spans="1:9" ht="20.100000000000001" hidden="1" customHeight="1">
      <c r="A215" s="151" t="s">
        <v>481</v>
      </c>
      <c r="F215" s="156"/>
    </row>
    <row r="216" spans="1:9" ht="20.100000000000001" hidden="1" customHeight="1">
      <c r="A216" s="151" t="s">
        <v>482</v>
      </c>
      <c r="F216" s="156"/>
    </row>
    <row r="217" spans="1:9" ht="20.100000000000001" hidden="1" customHeight="1">
      <c r="A217" s="151" t="s">
        <v>483</v>
      </c>
      <c r="F217" s="156"/>
    </row>
    <row r="218" spans="1:9" hidden="1">
      <c r="A218" s="151" t="s">
        <v>484</v>
      </c>
      <c r="F218" s="156"/>
    </row>
    <row r="219" spans="1:9" hidden="1">
      <c r="A219" s="151" t="s">
        <v>485</v>
      </c>
      <c r="F219" s="156"/>
    </row>
    <row r="220" spans="1:9" hidden="1">
      <c r="A220" s="151" t="s">
        <v>486</v>
      </c>
      <c r="F220" s="156"/>
    </row>
    <row r="221" spans="1:9" ht="20.100000000000001" hidden="1" customHeight="1">
      <c r="A221" s="151" t="s">
        <v>487</v>
      </c>
      <c r="F221" s="156"/>
    </row>
    <row r="222" spans="1:9" ht="20.100000000000001" hidden="1" customHeight="1">
      <c r="A222" s="151" t="s">
        <v>488</v>
      </c>
      <c r="F222" s="156"/>
    </row>
    <row r="223" spans="1:9" ht="20.100000000000001" hidden="1" customHeight="1">
      <c r="A223" s="151" t="s">
        <v>489</v>
      </c>
      <c r="F223" s="156"/>
    </row>
    <row r="224" spans="1:9" ht="20.100000000000001" hidden="1" customHeight="1">
      <c r="A224" s="151" t="s">
        <v>490</v>
      </c>
      <c r="F224" s="156"/>
    </row>
    <row r="225" spans="1:9" ht="20.100000000000001" hidden="1" customHeight="1">
      <c r="A225" s="151" t="s">
        <v>491</v>
      </c>
      <c r="F225" s="156"/>
    </row>
    <row r="226" spans="1:9" hidden="1">
      <c r="A226" s="151" t="s">
        <v>492</v>
      </c>
      <c r="F226" s="156"/>
    </row>
    <row r="227" spans="1:9" hidden="1">
      <c r="A227" s="151" t="s">
        <v>493</v>
      </c>
      <c r="F227" s="156"/>
    </row>
    <row r="228" spans="1:9" hidden="1">
      <c r="A228" s="151" t="s">
        <v>494</v>
      </c>
      <c r="F228" s="156"/>
    </row>
    <row r="229" spans="1:9" hidden="1">
      <c r="A229" s="151" t="s">
        <v>495</v>
      </c>
      <c r="F229" s="156"/>
    </row>
    <row r="230" spans="1:9" hidden="1">
      <c r="A230" s="151" t="s">
        <v>496</v>
      </c>
      <c r="F230" s="156"/>
    </row>
    <row r="231" spans="1:9">
      <c r="A231" s="151" t="s">
        <v>497</v>
      </c>
      <c r="B231" s="152" t="s">
        <v>498</v>
      </c>
      <c r="D231" s="153">
        <v>2010</v>
      </c>
      <c r="E231" s="153" t="s">
        <v>1512</v>
      </c>
      <c r="F231" s="156" t="s">
        <v>1513</v>
      </c>
      <c r="G231" s="153" t="s">
        <v>3</v>
      </c>
      <c r="H231" s="153" t="s">
        <v>1514</v>
      </c>
      <c r="I231" s="153" t="s">
        <v>58</v>
      </c>
    </row>
    <row r="232" spans="1:9" hidden="1">
      <c r="A232" s="151" t="s">
        <v>499</v>
      </c>
      <c r="F232" s="156"/>
    </row>
    <row r="233" spans="1:9" hidden="1">
      <c r="A233" s="151" t="s">
        <v>500</v>
      </c>
      <c r="F233" s="156"/>
    </row>
    <row r="234" spans="1:9" ht="20.100000000000001" hidden="1" customHeight="1">
      <c r="A234" s="151" t="s">
        <v>501</v>
      </c>
      <c r="F234" s="156"/>
    </row>
    <row r="235" spans="1:9" hidden="1">
      <c r="A235" s="151" t="s">
        <v>502</v>
      </c>
      <c r="F235" s="156"/>
    </row>
    <row r="236" spans="1:9" ht="20.100000000000001" hidden="1" customHeight="1">
      <c r="A236" s="151" t="s">
        <v>503</v>
      </c>
      <c r="F236" s="156"/>
    </row>
    <row r="237" spans="1:9" ht="30">
      <c r="A237" s="151" t="s">
        <v>504</v>
      </c>
      <c r="B237" s="152" t="s">
        <v>369</v>
      </c>
      <c r="D237" s="153">
        <v>2006</v>
      </c>
      <c r="E237" s="153" t="s">
        <v>1515</v>
      </c>
      <c r="F237" s="157" t="s">
        <v>1516</v>
      </c>
      <c r="G237" s="153" t="s">
        <v>1</v>
      </c>
      <c r="H237" s="153" t="s">
        <v>1517</v>
      </c>
      <c r="I237" s="153" t="s">
        <v>58</v>
      </c>
    </row>
    <row r="238" spans="1:9" ht="30">
      <c r="A238" s="151" t="s">
        <v>505</v>
      </c>
      <c r="B238" s="152" t="s">
        <v>1518</v>
      </c>
      <c r="D238" s="153">
        <v>2007</v>
      </c>
      <c r="E238" s="153" t="s">
        <v>1519</v>
      </c>
      <c r="F238" s="157" t="s">
        <v>1520</v>
      </c>
      <c r="G238" s="153" t="s">
        <v>2</v>
      </c>
      <c r="H238" s="153" t="s">
        <v>1521</v>
      </c>
      <c r="I238" s="153" t="s">
        <v>58</v>
      </c>
    </row>
    <row r="239" spans="1:9" ht="20.100000000000001" hidden="1" customHeight="1">
      <c r="A239" s="151" t="s">
        <v>506</v>
      </c>
      <c r="F239" s="156"/>
    </row>
    <row r="240" spans="1:9" ht="20.100000000000001" hidden="1" customHeight="1">
      <c r="A240" s="151" t="s">
        <v>507</v>
      </c>
      <c r="F240" s="156"/>
    </row>
    <row r="241" spans="1:9" ht="75">
      <c r="A241" s="151" t="s">
        <v>508</v>
      </c>
      <c r="B241" s="152" t="s">
        <v>509</v>
      </c>
      <c r="D241" s="153">
        <v>2004</v>
      </c>
      <c r="E241" s="153" t="s">
        <v>1522</v>
      </c>
      <c r="F241" s="157" t="s">
        <v>1523</v>
      </c>
      <c r="H241" s="153" t="s">
        <v>1524</v>
      </c>
      <c r="I241" s="153" t="s">
        <v>58</v>
      </c>
    </row>
    <row r="242" spans="1:9" hidden="1">
      <c r="A242" s="151" t="s">
        <v>510</v>
      </c>
      <c r="F242" s="156"/>
    </row>
    <row r="243" spans="1:9" ht="20.100000000000001" hidden="1" customHeight="1">
      <c r="A243" s="151" t="s">
        <v>511</v>
      </c>
      <c r="F243" s="156"/>
    </row>
    <row r="244" spans="1:9" hidden="1">
      <c r="A244" s="151" t="s">
        <v>512</v>
      </c>
      <c r="F244" s="156"/>
    </row>
    <row r="245" spans="1:9" ht="20.100000000000001" hidden="1" customHeight="1">
      <c r="A245" s="151" t="s">
        <v>513</v>
      </c>
      <c r="F245" s="156"/>
    </row>
    <row r="246" spans="1:9" ht="20.100000000000001" hidden="1" customHeight="1">
      <c r="A246" s="151" t="s">
        <v>514</v>
      </c>
      <c r="F246" s="156"/>
    </row>
    <row r="247" spans="1:9" ht="20.100000000000001" hidden="1" customHeight="1">
      <c r="A247" s="151" t="s">
        <v>515</v>
      </c>
      <c r="F247" s="156"/>
    </row>
    <row r="248" spans="1:9" ht="20.100000000000001" hidden="1" customHeight="1">
      <c r="A248" s="151" t="s">
        <v>516</v>
      </c>
      <c r="F248" s="156"/>
    </row>
    <row r="249" spans="1:9" ht="20.100000000000001" hidden="1" customHeight="1">
      <c r="A249" s="151" t="s">
        <v>517</v>
      </c>
      <c r="F249" s="156"/>
    </row>
    <row r="250" spans="1:9" ht="135">
      <c r="A250" s="151" t="s">
        <v>518</v>
      </c>
      <c r="B250" s="152" t="s">
        <v>519</v>
      </c>
      <c r="D250" s="153">
        <v>2004</v>
      </c>
      <c r="E250" s="153" t="s">
        <v>1525</v>
      </c>
      <c r="F250" s="157" t="s">
        <v>1526</v>
      </c>
      <c r="G250" s="153" t="s">
        <v>2</v>
      </c>
      <c r="H250" s="153" t="s">
        <v>1527</v>
      </c>
      <c r="I250" s="153" t="s">
        <v>58</v>
      </c>
    </row>
    <row r="251" spans="1:9" ht="20.100000000000001" hidden="1" customHeight="1">
      <c r="A251" s="151" t="s">
        <v>520</v>
      </c>
      <c r="F251" s="156"/>
    </row>
    <row r="252" spans="1:9" ht="20.100000000000001" hidden="1" customHeight="1">
      <c r="A252" s="151" t="s">
        <v>521</v>
      </c>
      <c r="F252" s="156"/>
    </row>
    <row r="253" spans="1:9" ht="20.100000000000001" hidden="1" customHeight="1">
      <c r="A253" s="151" t="s">
        <v>522</v>
      </c>
      <c r="F253" s="156"/>
    </row>
    <row r="254" spans="1:9" ht="20.100000000000001" hidden="1" customHeight="1">
      <c r="A254" s="151" t="s">
        <v>523</v>
      </c>
      <c r="F254" s="156"/>
    </row>
    <row r="255" spans="1:9" ht="30">
      <c r="A255" s="151" t="s">
        <v>524</v>
      </c>
      <c r="B255" s="152" t="s">
        <v>525</v>
      </c>
      <c r="D255" s="153">
        <v>2009</v>
      </c>
      <c r="E255" s="153" t="s">
        <v>1528</v>
      </c>
      <c r="F255" s="157" t="s">
        <v>1529</v>
      </c>
      <c r="G255" s="153" t="s">
        <v>3</v>
      </c>
      <c r="H255" s="153" t="s">
        <v>1530</v>
      </c>
      <c r="I255" s="153" t="s">
        <v>58</v>
      </c>
    </row>
    <row r="256" spans="1:9" ht="45">
      <c r="A256" s="151" t="s">
        <v>526</v>
      </c>
      <c r="B256" s="152" t="s">
        <v>527</v>
      </c>
      <c r="D256" s="153">
        <v>2009</v>
      </c>
      <c r="E256" s="153" t="s">
        <v>1531</v>
      </c>
      <c r="F256" s="157" t="s">
        <v>1532</v>
      </c>
      <c r="G256" s="153" t="s">
        <v>1</v>
      </c>
      <c r="H256" s="153" t="s">
        <v>1533</v>
      </c>
      <c r="I256" s="153" t="s">
        <v>58</v>
      </c>
    </row>
    <row r="257" spans="1:9" ht="20.100000000000001" customHeight="1">
      <c r="A257" s="151" t="s">
        <v>528</v>
      </c>
      <c r="B257" s="152" t="s">
        <v>529</v>
      </c>
      <c r="D257" s="153">
        <v>2008</v>
      </c>
      <c r="E257" s="153" t="s">
        <v>1534</v>
      </c>
      <c r="F257" s="156" t="s">
        <v>1535</v>
      </c>
      <c r="G257" s="153" t="s">
        <v>1</v>
      </c>
      <c r="H257" s="153" t="s">
        <v>1536</v>
      </c>
      <c r="I257" s="153" t="s">
        <v>58</v>
      </c>
    </row>
    <row r="258" spans="1:9" ht="45">
      <c r="A258" s="151" t="s">
        <v>530</v>
      </c>
      <c r="B258" s="152" t="s">
        <v>531</v>
      </c>
      <c r="D258" s="153">
        <v>2008</v>
      </c>
      <c r="E258" s="153" t="s">
        <v>1537</v>
      </c>
      <c r="F258" s="157" t="s">
        <v>1538</v>
      </c>
      <c r="G258" s="153" t="s">
        <v>1268</v>
      </c>
      <c r="H258" s="153" t="s">
        <v>1539</v>
      </c>
      <c r="I258" s="153" t="s">
        <v>58</v>
      </c>
    </row>
    <row r="259" spans="1:9" hidden="1">
      <c r="A259" s="151" t="s">
        <v>532</v>
      </c>
      <c r="F259" s="156"/>
    </row>
    <row r="260" spans="1:9" ht="20.100000000000001" hidden="1" customHeight="1">
      <c r="A260" s="151" t="s">
        <v>533</v>
      </c>
      <c r="F260" s="156"/>
    </row>
    <row r="261" spans="1:9" hidden="1">
      <c r="A261" s="151" t="s">
        <v>534</v>
      </c>
      <c r="F261" s="156"/>
    </row>
    <row r="262" spans="1:9" ht="20.100000000000001" customHeight="1">
      <c r="A262" s="151" t="s">
        <v>535</v>
      </c>
      <c r="B262" s="152" t="s">
        <v>536</v>
      </c>
      <c r="D262" s="153">
        <v>2007</v>
      </c>
      <c r="E262" s="153" t="s">
        <v>1433</v>
      </c>
      <c r="F262" s="156" t="s">
        <v>1540</v>
      </c>
      <c r="G262" s="153" t="s">
        <v>3</v>
      </c>
      <c r="H262" s="153" t="s">
        <v>1541</v>
      </c>
      <c r="I262" s="153" t="s">
        <v>58</v>
      </c>
    </row>
    <row r="263" spans="1:9" ht="20.100000000000001" hidden="1" customHeight="1">
      <c r="A263" s="151" t="s">
        <v>537</v>
      </c>
      <c r="F263" s="156"/>
    </row>
    <row r="264" spans="1:9" ht="20.100000000000001" hidden="1" customHeight="1">
      <c r="A264" s="151" t="s">
        <v>538</v>
      </c>
      <c r="F264" s="156"/>
    </row>
    <row r="265" spans="1:9" ht="60">
      <c r="A265" s="151" t="s">
        <v>539</v>
      </c>
      <c r="B265" s="152" t="s">
        <v>540</v>
      </c>
      <c r="D265" s="153">
        <v>2010</v>
      </c>
      <c r="E265" s="153" t="s">
        <v>1542</v>
      </c>
      <c r="F265" s="157" t="s">
        <v>1543</v>
      </c>
      <c r="G265" s="153" t="s">
        <v>3</v>
      </c>
      <c r="H265" s="153" t="s">
        <v>1544</v>
      </c>
      <c r="I265" s="153" t="s">
        <v>58</v>
      </c>
    </row>
    <row r="266" spans="1:9" ht="20.100000000000001" hidden="1" customHeight="1">
      <c r="A266" s="151" t="s">
        <v>541</v>
      </c>
      <c r="F266" s="156"/>
    </row>
    <row r="267" spans="1:9">
      <c r="A267" s="151" t="s">
        <v>542</v>
      </c>
      <c r="B267" s="152" t="s">
        <v>543</v>
      </c>
      <c r="D267" s="153">
        <v>2009</v>
      </c>
      <c r="E267" s="153" t="s">
        <v>1545</v>
      </c>
      <c r="F267" s="156" t="s">
        <v>1546</v>
      </c>
      <c r="G267" s="153" t="s">
        <v>3</v>
      </c>
      <c r="H267" s="153" t="s">
        <v>1547</v>
      </c>
      <c r="I267" s="153" t="s">
        <v>58</v>
      </c>
    </row>
    <row r="268" spans="1:9" ht="30">
      <c r="A268" s="151" t="s">
        <v>544</v>
      </c>
      <c r="B268" s="152" t="s">
        <v>545</v>
      </c>
      <c r="D268" s="153">
        <v>2009</v>
      </c>
      <c r="E268" s="153" t="s">
        <v>1548</v>
      </c>
      <c r="F268" s="157" t="s">
        <v>1549</v>
      </c>
      <c r="G268" s="153" t="s">
        <v>1</v>
      </c>
      <c r="H268" s="153" t="s">
        <v>1550</v>
      </c>
      <c r="I268" s="153" t="s">
        <v>58</v>
      </c>
    </row>
    <row r="269" spans="1:9" ht="20.100000000000001" hidden="1" customHeight="1">
      <c r="A269" s="151" t="s">
        <v>546</v>
      </c>
      <c r="B269" s="152" t="s">
        <v>547</v>
      </c>
      <c r="F269" s="156"/>
    </row>
    <row r="270" spans="1:9" hidden="1">
      <c r="A270" s="151" t="s">
        <v>548</v>
      </c>
      <c r="F270" s="156"/>
    </row>
    <row r="271" spans="1:9" hidden="1">
      <c r="A271" s="151" t="s">
        <v>549</v>
      </c>
      <c r="F271" s="156"/>
    </row>
    <row r="272" spans="1:9" ht="20.100000000000001" hidden="1" customHeight="1">
      <c r="A272" s="151" t="s">
        <v>550</v>
      </c>
      <c r="F272" s="156"/>
    </row>
    <row r="273" spans="1:6" hidden="1">
      <c r="A273" s="151" t="s">
        <v>551</v>
      </c>
      <c r="F273" s="156"/>
    </row>
    <row r="274" spans="1:6" ht="20.100000000000001" hidden="1" customHeight="1">
      <c r="A274" s="151" t="s">
        <v>553</v>
      </c>
      <c r="F274" s="156"/>
    </row>
    <row r="275" spans="1:6" ht="20.100000000000001" hidden="1" customHeight="1">
      <c r="A275" s="151" t="s">
        <v>554</v>
      </c>
      <c r="F275" s="156"/>
    </row>
    <row r="276" spans="1:6" hidden="1">
      <c r="A276" s="151" t="s">
        <v>555</v>
      </c>
      <c r="F276" s="156"/>
    </row>
    <row r="277" spans="1:6" hidden="1">
      <c r="A277" s="151" t="s">
        <v>556</v>
      </c>
      <c r="F277" s="156"/>
    </row>
    <row r="278" spans="1:6" hidden="1">
      <c r="A278" s="151" t="s">
        <v>557</v>
      </c>
      <c r="F278" s="156"/>
    </row>
    <row r="279" spans="1:6" ht="20.100000000000001" hidden="1" customHeight="1">
      <c r="A279" s="151" t="s">
        <v>558</v>
      </c>
      <c r="F279" s="156"/>
    </row>
    <row r="280" spans="1:6" hidden="1">
      <c r="A280" s="151" t="s">
        <v>559</v>
      </c>
      <c r="F280" s="156"/>
    </row>
    <row r="281" spans="1:6" ht="20.100000000000001" hidden="1" customHeight="1">
      <c r="A281" s="151" t="s">
        <v>560</v>
      </c>
      <c r="F281" s="156"/>
    </row>
    <row r="282" spans="1:6" ht="20.100000000000001" hidden="1" customHeight="1">
      <c r="A282" s="151" t="s">
        <v>561</v>
      </c>
      <c r="F282" s="156"/>
    </row>
    <row r="283" spans="1:6" ht="20.100000000000001" hidden="1" customHeight="1">
      <c r="A283" s="151" t="s">
        <v>562</v>
      </c>
      <c r="F283" s="156"/>
    </row>
    <row r="284" spans="1:6" ht="20.100000000000001" hidden="1" customHeight="1">
      <c r="A284" s="151" t="s">
        <v>563</v>
      </c>
      <c r="F284" s="156"/>
    </row>
    <row r="285" spans="1:6" ht="20.100000000000001" hidden="1" customHeight="1">
      <c r="A285" s="151" t="s">
        <v>564</v>
      </c>
      <c r="F285" s="156"/>
    </row>
    <row r="286" spans="1:6" ht="20.100000000000001" hidden="1" customHeight="1">
      <c r="A286" s="151" t="s">
        <v>565</v>
      </c>
      <c r="F286" s="156"/>
    </row>
    <row r="287" spans="1:6" ht="20.100000000000001" hidden="1" customHeight="1">
      <c r="A287" s="151" t="s">
        <v>566</v>
      </c>
      <c r="F287" s="156"/>
    </row>
    <row r="288" spans="1:6" hidden="1">
      <c r="A288" s="151" t="s">
        <v>567</v>
      </c>
      <c r="F288" s="156"/>
    </row>
    <row r="289" spans="1:6" hidden="1">
      <c r="A289" s="151" t="s">
        <v>568</v>
      </c>
      <c r="F289" s="156"/>
    </row>
    <row r="290" spans="1:6" hidden="1">
      <c r="A290" s="151" t="s">
        <v>569</v>
      </c>
      <c r="F290" s="156"/>
    </row>
    <row r="291" spans="1:6" ht="20.100000000000001" hidden="1" customHeight="1">
      <c r="A291" s="151" t="s">
        <v>570</v>
      </c>
      <c r="F291" s="156"/>
    </row>
    <row r="292" spans="1:6" hidden="1">
      <c r="A292" s="151" t="s">
        <v>571</v>
      </c>
      <c r="F292" s="156"/>
    </row>
    <row r="293" spans="1:6" hidden="1">
      <c r="A293" s="151" t="s">
        <v>572</v>
      </c>
      <c r="F293" s="156"/>
    </row>
    <row r="294" spans="1:6" ht="20.100000000000001" hidden="1" customHeight="1">
      <c r="A294" s="151" t="s">
        <v>573</v>
      </c>
      <c r="F294" s="156"/>
    </row>
    <row r="295" spans="1:6" ht="20.100000000000001" hidden="1" customHeight="1">
      <c r="A295" s="151" t="s">
        <v>574</v>
      </c>
      <c r="F295" s="156"/>
    </row>
    <row r="296" spans="1:6" ht="20.100000000000001" hidden="1" customHeight="1">
      <c r="A296" s="151" t="s">
        <v>575</v>
      </c>
      <c r="F296" s="156"/>
    </row>
    <row r="297" spans="1:6" ht="20.100000000000001" hidden="1" customHeight="1">
      <c r="A297" s="151" t="s">
        <v>576</v>
      </c>
      <c r="F297" s="156"/>
    </row>
    <row r="298" spans="1:6" ht="20.100000000000001" hidden="1" customHeight="1">
      <c r="A298" s="151" t="s">
        <v>577</v>
      </c>
      <c r="F298" s="156"/>
    </row>
    <row r="299" spans="1:6" ht="20.100000000000001" hidden="1" customHeight="1">
      <c r="A299" s="151" t="s">
        <v>578</v>
      </c>
      <c r="F299" s="156"/>
    </row>
    <row r="300" spans="1:6" ht="20.100000000000001" hidden="1" customHeight="1">
      <c r="A300" s="151" t="s">
        <v>579</v>
      </c>
      <c r="F300" s="156"/>
    </row>
    <row r="301" spans="1:6" hidden="1">
      <c r="A301" s="151" t="s">
        <v>580</v>
      </c>
      <c r="F301" s="156"/>
    </row>
    <row r="302" spans="1:6" ht="20.100000000000001" hidden="1" customHeight="1">
      <c r="A302" s="151" t="s">
        <v>581</v>
      </c>
      <c r="F302" s="156"/>
    </row>
    <row r="303" spans="1:6" ht="20.100000000000001" hidden="1" customHeight="1">
      <c r="A303" s="151" t="s">
        <v>582</v>
      </c>
      <c r="F303" s="156"/>
    </row>
    <row r="304" spans="1:6" ht="20.100000000000001" hidden="1" customHeight="1">
      <c r="A304" s="151" t="s">
        <v>583</v>
      </c>
      <c r="F304" s="156"/>
    </row>
    <row r="305" spans="1:6" ht="20.100000000000001" hidden="1" customHeight="1">
      <c r="A305" s="151" t="s">
        <v>584</v>
      </c>
      <c r="F305" s="156"/>
    </row>
    <row r="306" spans="1:6" ht="20.100000000000001" hidden="1" customHeight="1">
      <c r="A306" s="151" t="s">
        <v>585</v>
      </c>
      <c r="F306" s="156"/>
    </row>
    <row r="307" spans="1:6" ht="20.100000000000001" hidden="1" customHeight="1">
      <c r="A307" s="151" t="s">
        <v>586</v>
      </c>
      <c r="F307" s="156"/>
    </row>
    <row r="308" spans="1:6" ht="20.100000000000001" hidden="1" customHeight="1">
      <c r="A308" s="151" t="s">
        <v>587</v>
      </c>
      <c r="F308" s="156"/>
    </row>
    <row r="309" spans="1:6" ht="20.100000000000001" hidden="1" customHeight="1">
      <c r="A309" s="151" t="s">
        <v>588</v>
      </c>
      <c r="F309" s="156"/>
    </row>
    <row r="310" spans="1:6" ht="20.100000000000001" hidden="1" customHeight="1">
      <c r="A310" s="151" t="s">
        <v>589</v>
      </c>
      <c r="F310" s="156"/>
    </row>
    <row r="311" spans="1:6" ht="20.100000000000001" hidden="1" customHeight="1">
      <c r="A311" s="151" t="s">
        <v>590</v>
      </c>
      <c r="F311" s="156"/>
    </row>
    <row r="312" spans="1:6" ht="20.100000000000001" hidden="1" customHeight="1">
      <c r="A312" s="151" t="s">
        <v>591</v>
      </c>
      <c r="F312" s="156"/>
    </row>
    <row r="313" spans="1:6" ht="20.100000000000001" hidden="1" customHeight="1">
      <c r="A313" s="151" t="s">
        <v>592</v>
      </c>
      <c r="F313" s="156"/>
    </row>
    <row r="314" spans="1:6" ht="20.100000000000001" hidden="1" customHeight="1">
      <c r="A314" s="151" t="s">
        <v>593</v>
      </c>
      <c r="F314" s="156"/>
    </row>
    <row r="315" spans="1:6" ht="20.100000000000001" hidden="1" customHeight="1">
      <c r="A315" s="151" t="s">
        <v>594</v>
      </c>
      <c r="F315" s="156"/>
    </row>
    <row r="316" spans="1:6" ht="20.100000000000001" hidden="1" customHeight="1">
      <c r="A316" s="151" t="s">
        <v>595</v>
      </c>
      <c r="F316" s="156"/>
    </row>
    <row r="317" spans="1:6" ht="20.100000000000001" hidden="1" customHeight="1">
      <c r="A317" s="151" t="s">
        <v>596</v>
      </c>
      <c r="F317" s="156"/>
    </row>
    <row r="318" spans="1:6" ht="20.100000000000001" hidden="1" customHeight="1">
      <c r="A318" s="151" t="s">
        <v>597</v>
      </c>
      <c r="F318" s="156"/>
    </row>
    <row r="319" spans="1:6" ht="20.100000000000001" hidden="1" customHeight="1">
      <c r="A319" s="151" t="s">
        <v>598</v>
      </c>
      <c r="F319" s="156"/>
    </row>
    <row r="320" spans="1:6" ht="20.100000000000001" hidden="1" customHeight="1">
      <c r="A320" s="151" t="s">
        <v>599</v>
      </c>
      <c r="F320" s="156"/>
    </row>
    <row r="321" spans="1:10" hidden="1">
      <c r="A321" s="151" t="s">
        <v>600</v>
      </c>
      <c r="F321" s="156"/>
    </row>
    <row r="322" spans="1:10" ht="20.100000000000001" customHeight="1">
      <c r="A322" s="151" t="s">
        <v>601</v>
      </c>
      <c r="B322" s="152" t="s">
        <v>602</v>
      </c>
      <c r="D322" s="153">
        <v>2006</v>
      </c>
      <c r="E322" s="153" t="s">
        <v>1551</v>
      </c>
      <c r="F322" s="156" t="s">
        <v>1552</v>
      </c>
      <c r="G322" s="153" t="s">
        <v>3</v>
      </c>
      <c r="H322" s="153" t="s">
        <v>1553</v>
      </c>
      <c r="I322" s="153" t="s">
        <v>58</v>
      </c>
    </row>
    <row r="323" spans="1:10" ht="15" customHeight="1">
      <c r="A323" s="151" t="s">
        <v>603</v>
      </c>
      <c r="B323" s="152" t="s">
        <v>604</v>
      </c>
      <c r="D323" s="153">
        <v>2006</v>
      </c>
      <c r="E323" s="153" t="s">
        <v>1554</v>
      </c>
      <c r="F323" s="157" t="s">
        <v>1555</v>
      </c>
      <c r="G323" s="153" t="s">
        <v>1</v>
      </c>
      <c r="H323" s="153" t="s">
        <v>1556</v>
      </c>
      <c r="I323" s="153" t="s">
        <v>58</v>
      </c>
    </row>
    <row r="324" spans="1:10" ht="15" customHeight="1">
      <c r="A324" s="151" t="s">
        <v>605</v>
      </c>
      <c r="B324" s="152" t="s">
        <v>606</v>
      </c>
      <c r="D324" s="153">
        <v>2006</v>
      </c>
      <c r="E324" s="153" t="s">
        <v>1557</v>
      </c>
      <c r="F324" s="157" t="s">
        <v>1558</v>
      </c>
      <c r="G324" s="153" t="s">
        <v>1</v>
      </c>
      <c r="H324" s="153" t="s">
        <v>1559</v>
      </c>
      <c r="I324" s="153" t="s">
        <v>58</v>
      </c>
    </row>
    <row r="325" spans="1:10" ht="15" customHeight="1">
      <c r="A325" s="151" t="s">
        <v>607</v>
      </c>
      <c r="B325" s="152" t="s">
        <v>608</v>
      </c>
      <c r="D325" s="153">
        <v>2006</v>
      </c>
      <c r="E325" s="153" t="s">
        <v>1560</v>
      </c>
      <c r="F325" s="156" t="s">
        <v>1561</v>
      </c>
      <c r="G325" s="153" t="s">
        <v>1268</v>
      </c>
      <c r="H325" s="153" t="s">
        <v>1562</v>
      </c>
      <c r="I325" s="153" t="s">
        <v>58</v>
      </c>
    </row>
    <row r="326" spans="1:10" s="155" customFormat="1" ht="15" customHeight="1">
      <c r="A326" s="161" t="s">
        <v>609</v>
      </c>
      <c r="B326" s="162" t="s">
        <v>610</v>
      </c>
      <c r="D326" s="155">
        <v>2007</v>
      </c>
      <c r="E326" s="155" t="s">
        <v>1519</v>
      </c>
      <c r="F326" s="155" t="s">
        <v>1563</v>
      </c>
      <c r="G326" s="155" t="s">
        <v>2</v>
      </c>
      <c r="H326" s="155" t="s">
        <v>1564</v>
      </c>
      <c r="I326" s="155" t="s">
        <v>58</v>
      </c>
    </row>
    <row r="327" spans="1:10" ht="20.100000000000001" hidden="1" customHeight="1">
      <c r="A327" s="151" t="s">
        <v>611</v>
      </c>
      <c r="F327" s="156"/>
    </row>
    <row r="328" spans="1:10" ht="20.100000000000001" customHeight="1">
      <c r="A328" s="151" t="s">
        <v>612</v>
      </c>
      <c r="B328" s="152" t="s">
        <v>613</v>
      </c>
      <c r="D328" s="153">
        <v>2007</v>
      </c>
      <c r="E328" s="153" t="s">
        <v>1565</v>
      </c>
      <c r="F328" s="156" t="s">
        <v>1566</v>
      </c>
      <c r="G328" s="153" t="s">
        <v>1268</v>
      </c>
      <c r="H328" s="153" t="s">
        <v>1567</v>
      </c>
      <c r="I328" s="153" t="s">
        <v>58</v>
      </c>
    </row>
    <row r="329" spans="1:10" ht="20.100000000000001" customHeight="1">
      <c r="A329" s="151" t="s">
        <v>612</v>
      </c>
      <c r="B329" s="152" t="s">
        <v>614</v>
      </c>
      <c r="D329" s="153">
        <v>2007</v>
      </c>
      <c r="E329" s="153" t="s">
        <v>1565</v>
      </c>
      <c r="F329" s="156" t="s">
        <v>1566</v>
      </c>
      <c r="G329" s="153" t="s">
        <v>1268</v>
      </c>
      <c r="H329" s="153" t="s">
        <v>1567</v>
      </c>
      <c r="I329" s="153" t="s">
        <v>58</v>
      </c>
    </row>
    <row r="330" spans="1:10" ht="20.100000000000001" customHeight="1">
      <c r="A330" s="151" t="s">
        <v>615</v>
      </c>
      <c r="B330" s="152" t="s">
        <v>616</v>
      </c>
      <c r="D330" s="153">
        <v>2007</v>
      </c>
      <c r="E330" s="153" t="s">
        <v>1568</v>
      </c>
      <c r="F330" s="156" t="s">
        <v>1569</v>
      </c>
      <c r="G330" s="153" t="s">
        <v>3</v>
      </c>
      <c r="H330" s="153" t="s">
        <v>1570</v>
      </c>
      <c r="I330" s="153" t="s">
        <v>58</v>
      </c>
    </row>
    <row r="331" spans="1:10" ht="20.100000000000001" customHeight="1">
      <c r="A331" s="151" t="s">
        <v>617</v>
      </c>
      <c r="B331" s="152" t="s">
        <v>618</v>
      </c>
      <c r="D331" s="153">
        <v>2007</v>
      </c>
      <c r="E331" s="153" t="s">
        <v>1571</v>
      </c>
      <c r="F331" s="153" t="s">
        <v>1572</v>
      </c>
      <c r="G331" s="153" t="s">
        <v>2</v>
      </c>
      <c r="H331" s="153" t="s">
        <v>1573</v>
      </c>
      <c r="I331" s="153" t="s">
        <v>58</v>
      </c>
    </row>
    <row r="332" spans="1:10" ht="30">
      <c r="A332" s="151" t="s">
        <v>619</v>
      </c>
      <c r="B332" s="162" t="s">
        <v>620</v>
      </c>
      <c r="C332" s="155"/>
      <c r="D332" s="155">
        <v>2007</v>
      </c>
      <c r="E332" s="155" t="s">
        <v>1574</v>
      </c>
      <c r="F332" s="155" t="s">
        <v>1575</v>
      </c>
      <c r="G332" s="155" t="s">
        <v>2</v>
      </c>
      <c r="H332" s="155" t="s">
        <v>1576</v>
      </c>
      <c r="I332" s="155" t="s">
        <v>58</v>
      </c>
      <c r="J332" s="155"/>
    </row>
    <row r="333" spans="1:10" s="155" customFormat="1" ht="30">
      <c r="A333" s="161" t="s">
        <v>619</v>
      </c>
      <c r="B333" s="162" t="s">
        <v>621</v>
      </c>
      <c r="D333" s="155">
        <v>2007</v>
      </c>
      <c r="E333" s="155" t="s">
        <v>1574</v>
      </c>
      <c r="F333" s="155" t="s">
        <v>1575</v>
      </c>
      <c r="G333" s="155" t="s">
        <v>2</v>
      </c>
      <c r="H333" s="155" t="s">
        <v>1576</v>
      </c>
      <c r="I333" s="155" t="s">
        <v>58</v>
      </c>
    </row>
    <row r="334" spans="1:10" s="155" customFormat="1" ht="60">
      <c r="A334" s="151" t="s">
        <v>622</v>
      </c>
      <c r="B334" s="162" t="s">
        <v>623</v>
      </c>
      <c r="C334" s="155" t="s">
        <v>1577</v>
      </c>
      <c r="D334" s="155">
        <v>2008</v>
      </c>
      <c r="E334" s="155" t="s">
        <v>1578</v>
      </c>
      <c r="F334" s="155" t="s">
        <v>1579</v>
      </c>
      <c r="G334" s="155" t="s">
        <v>1268</v>
      </c>
      <c r="I334" s="155" t="s">
        <v>58</v>
      </c>
    </row>
    <row r="335" spans="1:10" s="155" customFormat="1" ht="45">
      <c r="A335" s="151" t="s">
        <v>622</v>
      </c>
      <c r="B335" s="162" t="s">
        <v>624</v>
      </c>
      <c r="D335" s="155">
        <v>2016</v>
      </c>
      <c r="E335" s="155" t="s">
        <v>1578</v>
      </c>
      <c r="F335" s="155" t="s">
        <v>1580</v>
      </c>
      <c r="G335" s="155" t="s">
        <v>1268</v>
      </c>
      <c r="H335" s="155" t="s">
        <v>1581</v>
      </c>
      <c r="I335" s="155" t="s">
        <v>58</v>
      </c>
    </row>
    <row r="336" spans="1:10" ht="45">
      <c r="A336" s="151" t="s">
        <v>622</v>
      </c>
      <c r="B336" s="152" t="s">
        <v>625</v>
      </c>
      <c r="D336" s="153">
        <v>2022</v>
      </c>
      <c r="E336" s="153" t="s">
        <v>1578</v>
      </c>
      <c r="F336" s="157" t="s">
        <v>1582</v>
      </c>
      <c r="G336" s="153" t="s">
        <v>1268</v>
      </c>
      <c r="H336" s="153" t="s">
        <v>1583</v>
      </c>
      <c r="I336" s="153" t="s">
        <v>58</v>
      </c>
    </row>
    <row r="337" spans="1:9" ht="105">
      <c r="A337" s="151" t="s">
        <v>626</v>
      </c>
      <c r="B337" s="152" t="s">
        <v>627</v>
      </c>
      <c r="D337" s="153">
        <v>2007</v>
      </c>
      <c r="E337" s="153" t="s">
        <v>1584</v>
      </c>
      <c r="F337" s="157" t="s">
        <v>1585</v>
      </c>
      <c r="G337" s="153" t="s">
        <v>1</v>
      </c>
      <c r="H337" s="153" t="s">
        <v>1586</v>
      </c>
      <c r="I337" s="153" t="s">
        <v>58</v>
      </c>
    </row>
    <row r="338" spans="1:9" ht="30">
      <c r="A338" s="151" t="s">
        <v>628</v>
      </c>
      <c r="B338" s="152" t="s">
        <v>629</v>
      </c>
      <c r="D338" s="153">
        <v>2008</v>
      </c>
      <c r="E338" s="153" t="s">
        <v>1587</v>
      </c>
      <c r="F338" s="157" t="s">
        <v>1588</v>
      </c>
      <c r="G338" s="153" t="s">
        <v>1</v>
      </c>
      <c r="H338" s="153" t="s">
        <v>1589</v>
      </c>
      <c r="I338" s="153" t="s">
        <v>58</v>
      </c>
    </row>
    <row r="339" spans="1:9" ht="30">
      <c r="A339" s="151" t="s">
        <v>628</v>
      </c>
      <c r="B339" s="152" t="s">
        <v>630</v>
      </c>
      <c r="D339" s="153">
        <v>2010</v>
      </c>
      <c r="E339" s="153" t="s">
        <v>1587</v>
      </c>
      <c r="F339" s="157" t="s">
        <v>1588</v>
      </c>
      <c r="G339" s="153" t="s">
        <v>1</v>
      </c>
      <c r="H339" s="153" t="s">
        <v>1589</v>
      </c>
      <c r="I339" s="153" t="s">
        <v>58</v>
      </c>
    </row>
    <row r="340" spans="1:9" ht="60">
      <c r="A340" s="151" t="s">
        <v>631</v>
      </c>
      <c r="B340" s="152" t="s">
        <v>632</v>
      </c>
      <c r="D340" s="153">
        <v>2008</v>
      </c>
      <c r="E340" s="153" t="s">
        <v>1590</v>
      </c>
      <c r="F340" s="157" t="s">
        <v>1591</v>
      </c>
      <c r="G340" s="153" t="s">
        <v>1</v>
      </c>
      <c r="H340" s="153" t="s">
        <v>1592</v>
      </c>
      <c r="I340" s="153" t="s">
        <v>58</v>
      </c>
    </row>
    <row r="341" spans="1:9" ht="30">
      <c r="A341" s="151" t="s">
        <v>633</v>
      </c>
      <c r="B341" s="152" t="s">
        <v>634</v>
      </c>
      <c r="D341" s="153">
        <v>2007</v>
      </c>
      <c r="E341" s="153" t="s">
        <v>1593</v>
      </c>
      <c r="F341" s="157" t="s">
        <v>1594</v>
      </c>
      <c r="G341" s="153" t="s">
        <v>1</v>
      </c>
      <c r="H341" s="153" t="s">
        <v>1595</v>
      </c>
      <c r="I341" s="153" t="s">
        <v>58</v>
      </c>
    </row>
    <row r="342" spans="1:9" ht="20.100000000000001" customHeight="1">
      <c r="A342" s="151" t="s">
        <v>635</v>
      </c>
      <c r="B342" s="152" t="s">
        <v>636</v>
      </c>
      <c r="D342" s="153">
        <v>2008</v>
      </c>
      <c r="E342" s="153" t="s">
        <v>1560</v>
      </c>
      <c r="F342" s="156" t="s">
        <v>1596</v>
      </c>
      <c r="G342" s="153" t="s">
        <v>1268</v>
      </c>
      <c r="I342" s="153" t="s">
        <v>58</v>
      </c>
    </row>
    <row r="343" spans="1:9" ht="285">
      <c r="A343" s="151" t="s">
        <v>637</v>
      </c>
      <c r="B343" s="152" t="s">
        <v>638</v>
      </c>
      <c r="D343" s="153">
        <v>2008</v>
      </c>
      <c r="E343" s="153" t="s">
        <v>1597</v>
      </c>
      <c r="F343" s="157" t="s">
        <v>1598</v>
      </c>
      <c r="G343" s="153" t="s">
        <v>2</v>
      </c>
      <c r="H343" s="153" t="s">
        <v>1599</v>
      </c>
      <c r="I343" s="153" t="s">
        <v>58</v>
      </c>
    </row>
    <row r="344" spans="1:9" ht="285">
      <c r="A344" s="151" t="s">
        <v>637</v>
      </c>
      <c r="B344" s="152" t="s">
        <v>639</v>
      </c>
      <c r="D344" s="153">
        <v>2009</v>
      </c>
      <c r="E344" s="153" t="s">
        <v>1597</v>
      </c>
      <c r="F344" s="157" t="s">
        <v>1600</v>
      </c>
      <c r="G344" s="153" t="s">
        <v>2</v>
      </c>
      <c r="I344" s="153" t="s">
        <v>58</v>
      </c>
    </row>
    <row r="345" spans="1:9" ht="120">
      <c r="A345" s="151" t="s">
        <v>637</v>
      </c>
      <c r="B345" s="152" t="s">
        <v>640</v>
      </c>
      <c r="D345" s="153">
        <v>2010</v>
      </c>
      <c r="E345" s="153" t="s">
        <v>1597</v>
      </c>
      <c r="F345" s="157" t="s">
        <v>1601</v>
      </c>
      <c r="G345" s="153" t="s">
        <v>2</v>
      </c>
      <c r="H345" s="153" t="s">
        <v>1599</v>
      </c>
      <c r="I345" s="153" t="s">
        <v>58</v>
      </c>
    </row>
    <row r="346" spans="1:9" ht="120">
      <c r="A346" s="151" t="s">
        <v>637</v>
      </c>
      <c r="B346" s="152" t="s">
        <v>641</v>
      </c>
      <c r="D346" s="153">
        <v>2014</v>
      </c>
      <c r="E346" s="153" t="s">
        <v>1597</v>
      </c>
      <c r="F346" s="157" t="s">
        <v>1601</v>
      </c>
      <c r="G346" s="153" t="s">
        <v>2</v>
      </c>
      <c r="H346" s="153" t="s">
        <v>1599</v>
      </c>
      <c r="I346" s="153" t="s">
        <v>58</v>
      </c>
    </row>
    <row r="347" spans="1:9" ht="120">
      <c r="A347" s="151" t="s">
        <v>637</v>
      </c>
      <c r="B347" s="152" t="s">
        <v>642</v>
      </c>
      <c r="D347" s="153">
        <v>2018</v>
      </c>
      <c r="E347" s="153" t="s">
        <v>1597</v>
      </c>
      <c r="F347" s="157" t="s">
        <v>1601</v>
      </c>
      <c r="G347" s="153" t="s">
        <v>2</v>
      </c>
      <c r="H347" s="153" t="s">
        <v>1599</v>
      </c>
      <c r="I347" s="153" t="s">
        <v>58</v>
      </c>
    </row>
    <row r="348" spans="1:9" ht="150">
      <c r="A348" s="151" t="s">
        <v>637</v>
      </c>
      <c r="B348" s="152" t="s">
        <v>643</v>
      </c>
      <c r="D348" s="153">
        <v>2021</v>
      </c>
      <c r="E348" s="153" t="s">
        <v>1597</v>
      </c>
      <c r="F348" s="157" t="s">
        <v>1602</v>
      </c>
      <c r="G348" s="153" t="s">
        <v>2</v>
      </c>
      <c r="H348" s="153" t="s">
        <v>1603</v>
      </c>
      <c r="I348" s="153" t="s">
        <v>58</v>
      </c>
    </row>
    <row r="349" spans="1:9" ht="20.100000000000001" customHeight="1">
      <c r="A349" s="151" t="s">
        <v>637</v>
      </c>
      <c r="B349" s="152" t="s">
        <v>644</v>
      </c>
      <c r="D349" s="153">
        <v>2022</v>
      </c>
      <c r="E349" s="153" t="s">
        <v>1597</v>
      </c>
      <c r="F349" s="156" t="s">
        <v>1604</v>
      </c>
      <c r="G349" s="153" t="s">
        <v>2</v>
      </c>
      <c r="H349" s="153" t="s">
        <v>1605</v>
      </c>
      <c r="I349" s="153" t="s">
        <v>58</v>
      </c>
    </row>
    <row r="350" spans="1:9" ht="20.100000000000001" customHeight="1">
      <c r="A350" s="151" t="s">
        <v>645</v>
      </c>
      <c r="B350" s="152" t="s">
        <v>646</v>
      </c>
      <c r="C350" s="153" t="s">
        <v>1577</v>
      </c>
      <c r="D350" s="153">
        <v>2008</v>
      </c>
      <c r="E350" s="153" t="s">
        <v>1606</v>
      </c>
      <c r="F350" s="156" t="s">
        <v>1607</v>
      </c>
      <c r="G350" s="153" t="s">
        <v>1</v>
      </c>
      <c r="I350" s="153" t="s">
        <v>58</v>
      </c>
    </row>
    <row r="351" spans="1:9" ht="120">
      <c r="A351" s="151" t="s">
        <v>645</v>
      </c>
      <c r="B351" s="152" t="s">
        <v>647</v>
      </c>
      <c r="C351" s="153" t="s">
        <v>1577</v>
      </c>
      <c r="D351" s="153">
        <v>2009</v>
      </c>
      <c r="E351" s="153" t="s">
        <v>1606</v>
      </c>
      <c r="F351" s="157" t="s">
        <v>1608</v>
      </c>
      <c r="G351" s="153" t="s">
        <v>1</v>
      </c>
      <c r="I351" s="153" t="s">
        <v>58</v>
      </c>
    </row>
    <row r="352" spans="1:9" ht="75">
      <c r="A352" s="151" t="s">
        <v>645</v>
      </c>
      <c r="B352" s="152" t="s">
        <v>648</v>
      </c>
      <c r="D352" s="153">
        <v>2010</v>
      </c>
      <c r="E352" s="153" t="s">
        <v>1606</v>
      </c>
      <c r="F352" s="157" t="s">
        <v>1609</v>
      </c>
      <c r="G352" s="153" t="s">
        <v>1</v>
      </c>
      <c r="H352" s="155" t="s">
        <v>1610</v>
      </c>
      <c r="I352" s="153" t="s">
        <v>58</v>
      </c>
    </row>
    <row r="353" spans="1:10" ht="30">
      <c r="A353" s="151" t="s">
        <v>649</v>
      </c>
      <c r="B353" s="162" t="s">
        <v>650</v>
      </c>
      <c r="C353" s="155"/>
      <c r="D353" s="155">
        <v>2008</v>
      </c>
      <c r="E353" s="155" t="s">
        <v>1611</v>
      </c>
      <c r="F353" s="155" t="s">
        <v>1612</v>
      </c>
      <c r="G353" s="155" t="s">
        <v>2</v>
      </c>
      <c r="H353" s="155" t="s">
        <v>1613</v>
      </c>
      <c r="I353" s="155" t="s">
        <v>58</v>
      </c>
      <c r="J353" s="155"/>
    </row>
    <row r="354" spans="1:10" ht="225">
      <c r="A354" s="151" t="s">
        <v>651</v>
      </c>
      <c r="B354" s="162" t="s">
        <v>652</v>
      </c>
      <c r="C354" s="155"/>
      <c r="D354" s="155">
        <v>2008</v>
      </c>
      <c r="E354" s="155" t="s">
        <v>1614</v>
      </c>
      <c r="F354" s="155" t="s">
        <v>1615</v>
      </c>
      <c r="G354" s="155" t="s">
        <v>2</v>
      </c>
      <c r="H354" s="155"/>
      <c r="I354" s="155" t="s">
        <v>58</v>
      </c>
      <c r="J354" s="155"/>
    </row>
    <row r="355" spans="1:10" ht="150" customHeight="1">
      <c r="A355" s="151" t="s">
        <v>651</v>
      </c>
      <c r="B355" s="152" t="s">
        <v>653</v>
      </c>
      <c r="D355" s="153">
        <v>2010</v>
      </c>
      <c r="E355" s="153" t="s">
        <v>1614</v>
      </c>
      <c r="F355" s="157" t="s">
        <v>1616</v>
      </c>
      <c r="G355" s="153" t="s">
        <v>2</v>
      </c>
      <c r="H355" s="155" t="s">
        <v>1617</v>
      </c>
      <c r="I355" s="153" t="s">
        <v>58</v>
      </c>
    </row>
    <row r="356" spans="1:10" ht="60">
      <c r="A356" s="151" t="s">
        <v>654</v>
      </c>
      <c r="B356" s="152" t="s">
        <v>655</v>
      </c>
      <c r="D356" s="153">
        <v>2008</v>
      </c>
      <c r="E356" s="153" t="s">
        <v>1618</v>
      </c>
      <c r="F356" s="157" t="s">
        <v>1619</v>
      </c>
      <c r="G356" s="153" t="s">
        <v>2</v>
      </c>
      <c r="H356" s="153" t="s">
        <v>1620</v>
      </c>
      <c r="I356" s="153" t="s">
        <v>58</v>
      </c>
    </row>
    <row r="357" spans="1:10">
      <c r="A357" s="151" t="s">
        <v>654</v>
      </c>
      <c r="B357" s="152" t="s">
        <v>656</v>
      </c>
      <c r="D357" s="153">
        <v>2008</v>
      </c>
      <c r="E357" s="153" t="s">
        <v>1618</v>
      </c>
      <c r="F357" s="157" t="s">
        <v>1621</v>
      </c>
      <c r="G357" s="153" t="s">
        <v>2</v>
      </c>
      <c r="I357" s="153" t="s">
        <v>58</v>
      </c>
    </row>
    <row r="358" spans="1:10" ht="60">
      <c r="A358" s="151" t="s">
        <v>654</v>
      </c>
      <c r="B358" s="152" t="s">
        <v>657</v>
      </c>
      <c r="D358" s="153">
        <v>2009</v>
      </c>
      <c r="E358" s="153" t="s">
        <v>1618</v>
      </c>
      <c r="F358" s="157" t="s">
        <v>1622</v>
      </c>
      <c r="G358" s="153" t="s">
        <v>2</v>
      </c>
      <c r="I358" s="153" t="s">
        <v>58</v>
      </c>
    </row>
    <row r="359" spans="1:10" ht="60">
      <c r="A359" s="151" t="s">
        <v>658</v>
      </c>
      <c r="B359" s="152" t="s">
        <v>659</v>
      </c>
      <c r="D359" s="153">
        <v>2009</v>
      </c>
      <c r="E359" s="153" t="s">
        <v>1623</v>
      </c>
      <c r="F359" s="157" t="s">
        <v>1624</v>
      </c>
      <c r="G359" s="153" t="s">
        <v>2</v>
      </c>
      <c r="H359" s="153" t="s">
        <v>1625</v>
      </c>
      <c r="I359" s="153" t="s">
        <v>58</v>
      </c>
    </row>
    <row r="360" spans="1:10" ht="20.100000000000001" customHeight="1">
      <c r="A360" s="151" t="s">
        <v>660</v>
      </c>
      <c r="B360" s="152" t="s">
        <v>661</v>
      </c>
      <c r="D360" s="153">
        <v>2008</v>
      </c>
      <c r="E360" s="153" t="s">
        <v>1626</v>
      </c>
      <c r="F360" s="156" t="s">
        <v>1566</v>
      </c>
      <c r="G360" s="153" t="s">
        <v>1268</v>
      </c>
      <c r="H360" s="153" t="s">
        <v>1627</v>
      </c>
      <c r="I360" s="153" t="s">
        <v>58</v>
      </c>
    </row>
    <row r="361" spans="1:10" ht="150">
      <c r="A361" s="151" t="s">
        <v>662</v>
      </c>
      <c r="B361" s="152" t="s">
        <v>663</v>
      </c>
      <c r="C361" s="153" t="s">
        <v>1577</v>
      </c>
      <c r="D361" s="153">
        <v>2008</v>
      </c>
      <c r="E361" s="153" t="s">
        <v>1628</v>
      </c>
      <c r="F361" s="157" t="s">
        <v>1629</v>
      </c>
      <c r="G361" s="153" t="s">
        <v>1268</v>
      </c>
      <c r="I361" s="153" t="s">
        <v>58</v>
      </c>
    </row>
    <row r="362" spans="1:10" ht="150">
      <c r="A362" s="151" t="s">
        <v>662</v>
      </c>
      <c r="B362" s="152" t="s">
        <v>664</v>
      </c>
      <c r="C362" s="153" t="s">
        <v>1577</v>
      </c>
      <c r="D362" s="153">
        <v>2009</v>
      </c>
      <c r="E362" s="153" t="s">
        <v>1628</v>
      </c>
      <c r="F362" s="157" t="s">
        <v>1630</v>
      </c>
      <c r="G362" s="153" t="s">
        <v>1268</v>
      </c>
      <c r="I362" s="153" t="s">
        <v>58</v>
      </c>
    </row>
    <row r="363" spans="1:10" ht="195">
      <c r="A363" s="151" t="s">
        <v>662</v>
      </c>
      <c r="B363" s="152" t="s">
        <v>665</v>
      </c>
      <c r="D363" s="153">
        <v>2010</v>
      </c>
      <c r="E363" s="153" t="s">
        <v>1628</v>
      </c>
      <c r="F363" s="157" t="s">
        <v>1631</v>
      </c>
      <c r="G363" s="153" t="s">
        <v>1268</v>
      </c>
      <c r="H363" s="153" t="s">
        <v>1632</v>
      </c>
      <c r="I363" s="153" t="s">
        <v>58</v>
      </c>
    </row>
    <row r="364" spans="1:10" ht="20.100000000000001" customHeight="1">
      <c r="A364" s="151" t="s">
        <v>666</v>
      </c>
      <c r="B364" s="152" t="s">
        <v>667</v>
      </c>
      <c r="D364" s="153">
        <v>2008</v>
      </c>
      <c r="E364" s="153" t="s">
        <v>1633</v>
      </c>
      <c r="F364" s="156" t="s">
        <v>1634</v>
      </c>
      <c r="G364" s="153" t="s">
        <v>1268</v>
      </c>
      <c r="H364" s="153" t="s">
        <v>1635</v>
      </c>
      <c r="I364" s="153" t="s">
        <v>58</v>
      </c>
    </row>
    <row r="365" spans="1:10" hidden="1">
      <c r="A365" s="151" t="s">
        <v>668</v>
      </c>
      <c r="F365" s="156"/>
    </row>
    <row r="366" spans="1:10" ht="135">
      <c r="A366" s="151" t="s">
        <v>669</v>
      </c>
      <c r="B366" s="152" t="s">
        <v>670</v>
      </c>
      <c r="D366" s="153">
        <v>2008</v>
      </c>
      <c r="E366" s="153" t="s">
        <v>1636</v>
      </c>
      <c r="F366" s="157" t="s">
        <v>1637</v>
      </c>
      <c r="G366" s="153" t="s">
        <v>1</v>
      </c>
      <c r="H366" s="153" t="s">
        <v>1638</v>
      </c>
      <c r="I366" s="153" t="s">
        <v>58</v>
      </c>
    </row>
    <row r="367" spans="1:10" ht="30">
      <c r="A367" s="151" t="s">
        <v>671</v>
      </c>
      <c r="B367" s="152" t="s">
        <v>672</v>
      </c>
      <c r="D367" s="153">
        <v>2008</v>
      </c>
      <c r="E367" s="153" t="s">
        <v>1614</v>
      </c>
      <c r="F367" s="157" t="s">
        <v>1639</v>
      </c>
      <c r="G367" s="153" t="s">
        <v>1</v>
      </c>
      <c r="H367" s="153" t="s">
        <v>1640</v>
      </c>
      <c r="I367" s="153" t="s">
        <v>58</v>
      </c>
    </row>
    <row r="368" spans="1:10" ht="20.100000000000001" hidden="1" customHeight="1">
      <c r="A368" s="151" t="s">
        <v>673</v>
      </c>
      <c r="F368" s="156"/>
    </row>
    <row r="369" spans="1:10" ht="20.100000000000001" customHeight="1">
      <c r="A369" s="151" t="s">
        <v>674</v>
      </c>
      <c r="B369" s="152" t="s">
        <v>675</v>
      </c>
      <c r="D369" s="153">
        <v>2009</v>
      </c>
      <c r="E369" s="153" t="s">
        <v>1641</v>
      </c>
      <c r="F369" s="156" t="s">
        <v>1642</v>
      </c>
      <c r="G369" s="153" t="s">
        <v>1</v>
      </c>
      <c r="H369" s="153" t="s">
        <v>1643</v>
      </c>
      <c r="I369" s="153" t="s">
        <v>58</v>
      </c>
    </row>
    <row r="370" spans="1:10" ht="30">
      <c r="A370" s="151" t="s">
        <v>676</v>
      </c>
      <c r="B370" s="152" t="s">
        <v>677</v>
      </c>
      <c r="D370" s="153">
        <v>2009</v>
      </c>
      <c r="E370" s="153" t="s">
        <v>1644</v>
      </c>
      <c r="F370" s="157" t="s">
        <v>1645</v>
      </c>
      <c r="G370" s="153" t="s">
        <v>1</v>
      </c>
      <c r="H370" s="153" t="s">
        <v>1646</v>
      </c>
      <c r="I370" s="153" t="s">
        <v>58</v>
      </c>
    </row>
    <row r="371" spans="1:10" ht="285">
      <c r="A371" s="151" t="s">
        <v>676</v>
      </c>
      <c r="B371" s="152" t="s">
        <v>678</v>
      </c>
      <c r="C371" s="153" t="s">
        <v>1577</v>
      </c>
      <c r="D371" s="153">
        <v>2017</v>
      </c>
      <c r="E371" s="153" t="s">
        <v>1647</v>
      </c>
      <c r="F371" s="155" t="s">
        <v>1648</v>
      </c>
      <c r="G371" s="153" t="s">
        <v>1</v>
      </c>
      <c r="H371" s="153" t="s">
        <v>1649</v>
      </c>
      <c r="I371" s="153" t="s">
        <v>58</v>
      </c>
    </row>
    <row r="372" spans="1:10" ht="135">
      <c r="A372" s="151" t="s">
        <v>676</v>
      </c>
      <c r="B372" s="152" t="s">
        <v>679</v>
      </c>
      <c r="D372" s="153">
        <v>2017</v>
      </c>
      <c r="E372" s="153" t="s">
        <v>1647</v>
      </c>
      <c r="F372" s="155" t="s">
        <v>1650</v>
      </c>
      <c r="G372" s="153" t="s">
        <v>1</v>
      </c>
      <c r="H372" s="153" t="s">
        <v>1649</v>
      </c>
      <c r="I372" s="153" t="s">
        <v>58</v>
      </c>
    </row>
    <row r="373" spans="1:10" ht="315">
      <c r="A373" s="151" t="s">
        <v>676</v>
      </c>
      <c r="B373" s="152" t="s">
        <v>680</v>
      </c>
      <c r="D373" s="153">
        <v>2021</v>
      </c>
      <c r="E373" s="153" t="s">
        <v>1647</v>
      </c>
      <c r="F373" s="155" t="s">
        <v>1651</v>
      </c>
      <c r="G373" s="153" t="s">
        <v>1</v>
      </c>
      <c r="H373" s="153" t="s">
        <v>1652</v>
      </c>
      <c r="I373" s="153" t="s">
        <v>58</v>
      </c>
    </row>
    <row r="374" spans="1:10" ht="165">
      <c r="A374" s="151" t="s">
        <v>682</v>
      </c>
      <c r="B374" s="152" t="s">
        <v>683</v>
      </c>
      <c r="D374" s="153">
        <v>2008</v>
      </c>
      <c r="E374" s="153" t="s">
        <v>1653</v>
      </c>
      <c r="F374" s="157" t="s">
        <v>1654</v>
      </c>
      <c r="G374" s="153" t="s">
        <v>1</v>
      </c>
      <c r="H374" s="153" t="s">
        <v>1655</v>
      </c>
      <c r="I374" s="153" t="s">
        <v>58</v>
      </c>
    </row>
    <row r="375" spans="1:10" ht="165">
      <c r="A375" s="151" t="s">
        <v>682</v>
      </c>
      <c r="B375" s="152" t="s">
        <v>684</v>
      </c>
      <c r="D375" s="153">
        <v>2009</v>
      </c>
      <c r="E375" s="153" t="s">
        <v>1653</v>
      </c>
      <c r="F375" s="157" t="s">
        <v>1654</v>
      </c>
      <c r="G375" s="153" t="s">
        <v>1</v>
      </c>
      <c r="H375" s="153" t="s">
        <v>1655</v>
      </c>
      <c r="I375" s="153" t="s">
        <v>58</v>
      </c>
    </row>
    <row r="376" spans="1:10" ht="105">
      <c r="A376" s="151" t="s">
        <v>685</v>
      </c>
      <c r="B376" s="152" t="s">
        <v>686</v>
      </c>
      <c r="D376" s="153">
        <v>2008</v>
      </c>
      <c r="E376" s="153" t="s">
        <v>1656</v>
      </c>
      <c r="F376" s="157" t="s">
        <v>1657</v>
      </c>
      <c r="G376" s="153" t="s">
        <v>1</v>
      </c>
      <c r="H376" s="153" t="s">
        <v>1655</v>
      </c>
      <c r="I376" s="153" t="s">
        <v>58</v>
      </c>
    </row>
    <row r="377" spans="1:10" ht="20.100000000000001" customHeight="1">
      <c r="A377" s="151" t="s">
        <v>687</v>
      </c>
      <c r="B377" s="152" t="s">
        <v>688</v>
      </c>
      <c r="D377" s="153">
        <v>2011</v>
      </c>
      <c r="E377" s="153" t="s">
        <v>1658</v>
      </c>
      <c r="F377" s="156" t="s">
        <v>1659</v>
      </c>
      <c r="G377" s="153" t="s">
        <v>3</v>
      </c>
      <c r="H377" s="153" t="s">
        <v>1660</v>
      </c>
      <c r="I377" s="153" t="s">
        <v>58</v>
      </c>
    </row>
    <row r="378" spans="1:10" ht="20.100000000000001" customHeight="1">
      <c r="A378" s="151" t="s">
        <v>689</v>
      </c>
      <c r="B378" s="152" t="s">
        <v>690</v>
      </c>
      <c r="D378" s="153">
        <v>2009</v>
      </c>
      <c r="E378" s="153" t="s">
        <v>1661</v>
      </c>
      <c r="F378" s="156" t="s">
        <v>1662</v>
      </c>
      <c r="G378" s="153" t="s">
        <v>1</v>
      </c>
      <c r="H378" s="153" t="s">
        <v>1663</v>
      </c>
      <c r="I378" s="153" t="s">
        <v>58</v>
      </c>
    </row>
    <row r="379" spans="1:10" ht="135">
      <c r="A379" s="151" t="s">
        <v>691</v>
      </c>
      <c r="B379" s="152" t="s">
        <v>692</v>
      </c>
      <c r="C379" s="153" t="s">
        <v>1577</v>
      </c>
      <c r="D379" s="153">
        <v>2009</v>
      </c>
      <c r="E379" s="153" t="s">
        <v>1276</v>
      </c>
      <c r="F379" s="157" t="s">
        <v>1664</v>
      </c>
      <c r="G379" s="153" t="s">
        <v>2</v>
      </c>
      <c r="I379" s="153" t="s">
        <v>58</v>
      </c>
    </row>
    <row r="380" spans="1:10" ht="135">
      <c r="A380" s="151" t="s">
        <v>691</v>
      </c>
      <c r="B380" s="152" t="s">
        <v>693</v>
      </c>
      <c r="C380" s="153" t="s">
        <v>1577</v>
      </c>
      <c r="D380" s="153">
        <v>2009</v>
      </c>
      <c r="E380" s="153" t="s">
        <v>1276</v>
      </c>
      <c r="F380" s="157" t="s">
        <v>1665</v>
      </c>
      <c r="G380" s="153" t="s">
        <v>2</v>
      </c>
      <c r="I380" s="153" t="s">
        <v>58</v>
      </c>
    </row>
    <row r="381" spans="1:10" ht="150">
      <c r="A381" s="151" t="s">
        <v>691</v>
      </c>
      <c r="B381" s="152" t="s">
        <v>694</v>
      </c>
      <c r="C381" s="153" t="s">
        <v>1577</v>
      </c>
      <c r="D381" s="153">
        <v>2010</v>
      </c>
      <c r="E381" s="153" t="s">
        <v>1276</v>
      </c>
      <c r="F381" s="157" t="s">
        <v>1666</v>
      </c>
      <c r="G381" s="153" t="s">
        <v>2</v>
      </c>
      <c r="I381" s="153" t="s">
        <v>58</v>
      </c>
    </row>
    <row r="382" spans="1:10" ht="90">
      <c r="A382" s="151" t="s">
        <v>691</v>
      </c>
      <c r="B382" s="152" t="s">
        <v>695</v>
      </c>
      <c r="D382" s="153">
        <v>2016</v>
      </c>
      <c r="E382" s="153" t="s">
        <v>1276</v>
      </c>
      <c r="F382" s="157" t="s">
        <v>1667</v>
      </c>
      <c r="G382" s="153" t="s">
        <v>2</v>
      </c>
      <c r="H382" s="153" t="s">
        <v>1668</v>
      </c>
      <c r="I382" s="153" t="s">
        <v>58</v>
      </c>
    </row>
    <row r="383" spans="1:10" ht="105">
      <c r="A383" s="151" t="s">
        <v>691</v>
      </c>
      <c r="B383" s="152" t="s">
        <v>696</v>
      </c>
      <c r="D383" s="153">
        <v>2017</v>
      </c>
      <c r="E383" s="153" t="s">
        <v>1276</v>
      </c>
      <c r="F383" s="157" t="s">
        <v>1669</v>
      </c>
      <c r="G383" s="153" t="s">
        <v>2</v>
      </c>
      <c r="H383" s="153" t="s">
        <v>1670</v>
      </c>
      <c r="I383" s="153" t="s">
        <v>58</v>
      </c>
    </row>
    <row r="384" spans="1:10" ht="30">
      <c r="A384" s="151" t="s">
        <v>691</v>
      </c>
      <c r="B384" s="162" t="s">
        <v>697</v>
      </c>
      <c r="C384" s="155"/>
      <c r="D384" s="155">
        <v>2019</v>
      </c>
      <c r="E384" s="155" t="s">
        <v>1276</v>
      </c>
      <c r="F384" s="155" t="s">
        <v>1671</v>
      </c>
      <c r="G384" s="155" t="s">
        <v>2</v>
      </c>
      <c r="H384" s="155" t="s">
        <v>1672</v>
      </c>
      <c r="I384" s="155" t="s">
        <v>58</v>
      </c>
      <c r="J384" s="155"/>
    </row>
    <row r="385" spans="1:10" ht="60">
      <c r="A385" s="151" t="s">
        <v>691</v>
      </c>
      <c r="B385" s="162" t="s">
        <v>698</v>
      </c>
      <c r="C385" s="155"/>
      <c r="D385" s="155">
        <v>2022</v>
      </c>
      <c r="E385" s="155" t="s">
        <v>1276</v>
      </c>
      <c r="F385" s="155" t="s">
        <v>1673</v>
      </c>
      <c r="G385" s="155" t="s">
        <v>2</v>
      </c>
      <c r="H385" s="155" t="s">
        <v>1674</v>
      </c>
      <c r="I385" s="155" t="s">
        <v>58</v>
      </c>
      <c r="J385" s="155"/>
    </row>
    <row r="386" spans="1:10" ht="45">
      <c r="A386" s="151" t="s">
        <v>699</v>
      </c>
      <c r="B386" s="152" t="s">
        <v>700</v>
      </c>
      <c r="D386" s="153">
        <v>2009</v>
      </c>
      <c r="E386" s="153" t="s">
        <v>1675</v>
      </c>
      <c r="F386" s="157" t="s">
        <v>1676</v>
      </c>
      <c r="G386" s="153" t="s">
        <v>1</v>
      </c>
      <c r="H386" s="153" t="s">
        <v>1677</v>
      </c>
      <c r="I386" s="153" t="s">
        <v>58</v>
      </c>
    </row>
    <row r="387" spans="1:10" ht="165">
      <c r="A387" s="151" t="s">
        <v>701</v>
      </c>
      <c r="B387" s="152" t="s">
        <v>702</v>
      </c>
      <c r="D387" s="153">
        <v>2009</v>
      </c>
      <c r="E387" s="153" t="s">
        <v>1678</v>
      </c>
      <c r="F387" s="157" t="s">
        <v>1679</v>
      </c>
      <c r="G387" s="153" t="s">
        <v>3</v>
      </c>
      <c r="H387" s="153" t="s">
        <v>1680</v>
      </c>
      <c r="I387" s="153" t="s">
        <v>58</v>
      </c>
    </row>
    <row r="388" spans="1:10" ht="30">
      <c r="A388" s="151" t="s">
        <v>703</v>
      </c>
      <c r="B388" s="152" t="s">
        <v>704</v>
      </c>
      <c r="D388" s="153">
        <v>2009</v>
      </c>
      <c r="E388" s="153" t="s">
        <v>1681</v>
      </c>
      <c r="F388" s="157" t="s">
        <v>1682</v>
      </c>
      <c r="G388" s="153" t="s">
        <v>1</v>
      </c>
      <c r="H388" s="153" t="s">
        <v>1683</v>
      </c>
      <c r="I388" s="153" t="s">
        <v>58</v>
      </c>
    </row>
    <row r="389" spans="1:10" ht="30">
      <c r="A389" s="151" t="s">
        <v>705</v>
      </c>
      <c r="B389" s="152" t="s">
        <v>707</v>
      </c>
      <c r="D389" s="153">
        <v>2011</v>
      </c>
      <c r="E389" s="153" t="s">
        <v>1684</v>
      </c>
      <c r="F389" s="157" t="s">
        <v>1685</v>
      </c>
      <c r="G389" s="153" t="s">
        <v>2</v>
      </c>
      <c r="H389" s="153" t="s">
        <v>1686</v>
      </c>
      <c r="I389" s="153" t="s">
        <v>58</v>
      </c>
    </row>
    <row r="390" spans="1:10" ht="60">
      <c r="A390" s="151" t="s">
        <v>708</v>
      </c>
      <c r="B390" s="152" t="s">
        <v>709</v>
      </c>
      <c r="C390" s="153" t="s">
        <v>1577</v>
      </c>
      <c r="D390" s="153">
        <v>2009</v>
      </c>
      <c r="E390" s="153" t="s">
        <v>1687</v>
      </c>
      <c r="F390" s="157" t="s">
        <v>1688</v>
      </c>
      <c r="G390" s="153" t="s">
        <v>3</v>
      </c>
      <c r="I390" s="153" t="s">
        <v>58</v>
      </c>
    </row>
    <row r="391" spans="1:10" ht="180">
      <c r="A391" s="151" t="s">
        <v>708</v>
      </c>
      <c r="B391" s="152" t="s">
        <v>710</v>
      </c>
      <c r="C391" s="153" t="s">
        <v>1577</v>
      </c>
      <c r="D391" s="153">
        <v>2010</v>
      </c>
      <c r="E391" s="153" t="s">
        <v>1687</v>
      </c>
      <c r="F391" s="157" t="s">
        <v>1689</v>
      </c>
      <c r="G391" s="153" t="s">
        <v>3</v>
      </c>
      <c r="I391" s="153" t="s">
        <v>58</v>
      </c>
    </row>
    <row r="392" spans="1:10" ht="255">
      <c r="A392" s="151" t="s">
        <v>708</v>
      </c>
      <c r="B392" s="152" t="s">
        <v>711</v>
      </c>
      <c r="C392" s="153" t="s">
        <v>1577</v>
      </c>
      <c r="D392" s="153">
        <v>2011</v>
      </c>
      <c r="E392" s="153" t="s">
        <v>1687</v>
      </c>
      <c r="F392" s="157" t="s">
        <v>1690</v>
      </c>
      <c r="G392" s="153" t="s">
        <v>3</v>
      </c>
      <c r="I392" s="153" t="s">
        <v>58</v>
      </c>
    </row>
    <row r="393" spans="1:10" ht="255">
      <c r="A393" s="151" t="s">
        <v>708</v>
      </c>
      <c r="B393" s="152" t="s">
        <v>712</v>
      </c>
      <c r="D393" s="153">
        <v>2011</v>
      </c>
      <c r="E393" s="153" t="s">
        <v>1687</v>
      </c>
      <c r="F393" s="157" t="s">
        <v>1690</v>
      </c>
      <c r="G393" s="153" t="s">
        <v>3</v>
      </c>
      <c r="I393" s="153" t="s">
        <v>58</v>
      </c>
    </row>
    <row r="394" spans="1:10" ht="20.100000000000001" customHeight="1">
      <c r="A394" s="151" t="s">
        <v>713</v>
      </c>
      <c r="B394" s="152" t="s">
        <v>714</v>
      </c>
      <c r="D394" s="153">
        <v>2009</v>
      </c>
      <c r="E394" s="153" t="s">
        <v>1691</v>
      </c>
      <c r="F394" s="156" t="s">
        <v>1692</v>
      </c>
      <c r="G394" s="153" t="s">
        <v>1268</v>
      </c>
      <c r="H394" s="153" t="s">
        <v>1693</v>
      </c>
      <c r="I394" s="153" t="s">
        <v>58</v>
      </c>
    </row>
    <row r="395" spans="1:10" ht="20.100000000000001" customHeight="1">
      <c r="A395" s="151" t="s">
        <v>715</v>
      </c>
      <c r="B395" s="152" t="s">
        <v>716</v>
      </c>
      <c r="D395" s="153">
        <v>2009</v>
      </c>
      <c r="E395" s="153" t="s">
        <v>1694</v>
      </c>
      <c r="F395" s="156" t="s">
        <v>1695</v>
      </c>
      <c r="G395" s="153" t="s">
        <v>1</v>
      </c>
      <c r="H395" s="153" t="s">
        <v>1696</v>
      </c>
      <c r="I395" s="153" t="s">
        <v>58</v>
      </c>
    </row>
    <row r="396" spans="1:10" ht="20.100000000000001" customHeight="1">
      <c r="A396" s="151" t="s">
        <v>715</v>
      </c>
      <c r="B396" s="152" t="s">
        <v>717</v>
      </c>
      <c r="D396" s="153">
        <v>2010</v>
      </c>
      <c r="E396" s="153" t="s">
        <v>1694</v>
      </c>
      <c r="F396" s="156" t="s">
        <v>1695</v>
      </c>
      <c r="G396" s="153" t="s">
        <v>1</v>
      </c>
      <c r="H396" s="153" t="s">
        <v>1696</v>
      </c>
      <c r="I396" s="153" t="s">
        <v>58</v>
      </c>
    </row>
    <row r="397" spans="1:10" ht="90">
      <c r="A397" s="151" t="s">
        <v>718</v>
      </c>
      <c r="B397" s="152" t="s">
        <v>719</v>
      </c>
      <c r="C397" s="153" t="s">
        <v>1577</v>
      </c>
      <c r="D397" s="153">
        <v>2010</v>
      </c>
      <c r="E397" s="153" t="s">
        <v>1697</v>
      </c>
      <c r="F397" s="158" t="s">
        <v>1698</v>
      </c>
      <c r="G397" s="153" t="s">
        <v>3</v>
      </c>
      <c r="H397" s="153" t="s">
        <v>1699</v>
      </c>
      <c r="I397" s="153" t="s">
        <v>58</v>
      </c>
    </row>
    <row r="398" spans="1:10" ht="90">
      <c r="A398" s="151" t="s">
        <v>718</v>
      </c>
      <c r="B398" s="152" t="s">
        <v>720</v>
      </c>
      <c r="D398" s="153">
        <v>2010</v>
      </c>
      <c r="E398" s="153" t="s">
        <v>1697</v>
      </c>
      <c r="F398" s="158" t="s">
        <v>1700</v>
      </c>
      <c r="G398" s="153" t="s">
        <v>3</v>
      </c>
      <c r="I398" s="153" t="s">
        <v>58</v>
      </c>
    </row>
    <row r="399" spans="1:10" ht="20.100000000000001" customHeight="1">
      <c r="A399" s="151" t="s">
        <v>721</v>
      </c>
      <c r="B399" s="152" t="s">
        <v>722</v>
      </c>
      <c r="D399" s="153">
        <v>2011</v>
      </c>
      <c r="E399" s="153" t="s">
        <v>1701</v>
      </c>
      <c r="F399" s="156" t="s">
        <v>1702</v>
      </c>
      <c r="G399" s="153" t="s">
        <v>1</v>
      </c>
      <c r="H399" s="153" t="s">
        <v>1703</v>
      </c>
      <c r="I399" s="153" t="s">
        <v>58</v>
      </c>
    </row>
    <row r="400" spans="1:10" ht="90">
      <c r="A400" s="151" t="s">
        <v>723</v>
      </c>
      <c r="B400" s="152" t="s">
        <v>724</v>
      </c>
      <c r="C400" s="163"/>
      <c r="D400" s="153">
        <v>2009</v>
      </c>
      <c r="E400" s="153" t="s">
        <v>1704</v>
      </c>
      <c r="F400" s="157" t="s">
        <v>1705</v>
      </c>
      <c r="G400" s="153" t="s">
        <v>3</v>
      </c>
      <c r="H400" s="153" t="s">
        <v>1706</v>
      </c>
      <c r="I400" s="153" t="s">
        <v>58</v>
      </c>
    </row>
    <row r="401" spans="1:10" ht="60">
      <c r="A401" s="151" t="s">
        <v>725</v>
      </c>
      <c r="B401" s="152" t="s">
        <v>726</v>
      </c>
      <c r="C401" s="163"/>
      <c r="D401" s="153">
        <v>2010</v>
      </c>
      <c r="E401" s="153" t="s">
        <v>1707</v>
      </c>
      <c r="F401" s="157" t="s">
        <v>1708</v>
      </c>
      <c r="G401" s="153" t="s">
        <v>1</v>
      </c>
      <c r="H401" s="155" t="s">
        <v>1709</v>
      </c>
      <c r="I401" s="153" t="s">
        <v>58</v>
      </c>
    </row>
    <row r="402" spans="1:10">
      <c r="A402" s="151" t="s">
        <v>727</v>
      </c>
      <c r="B402" s="152" t="s">
        <v>728</v>
      </c>
      <c r="D402" s="153">
        <v>2010</v>
      </c>
      <c r="E402" s="153" t="s">
        <v>1560</v>
      </c>
      <c r="F402" s="157" t="s">
        <v>1710</v>
      </c>
      <c r="G402" s="153" t="s">
        <v>1</v>
      </c>
      <c r="H402" s="153" t="s">
        <v>1711</v>
      </c>
      <c r="I402" s="153" t="s">
        <v>58</v>
      </c>
    </row>
    <row r="403" spans="1:10" ht="15" customHeight="1">
      <c r="A403" s="151" t="s">
        <v>729</v>
      </c>
      <c r="B403" s="152" t="s">
        <v>730</v>
      </c>
      <c r="C403" s="163"/>
      <c r="D403" s="153">
        <v>2010</v>
      </c>
      <c r="E403" s="153" t="s">
        <v>1712</v>
      </c>
      <c r="F403" s="156" t="s">
        <v>1713</v>
      </c>
      <c r="G403" s="153" t="s">
        <v>3</v>
      </c>
      <c r="H403" s="153" t="s">
        <v>1714</v>
      </c>
      <c r="I403" s="153" t="s">
        <v>58</v>
      </c>
    </row>
    <row r="404" spans="1:10" ht="20.100000000000001" customHeight="1">
      <c r="A404" s="151" t="s">
        <v>731</v>
      </c>
      <c r="B404" s="152" t="s">
        <v>732</v>
      </c>
      <c r="D404" s="153">
        <v>2010</v>
      </c>
      <c r="E404" s="153" t="s">
        <v>1715</v>
      </c>
      <c r="F404" s="156" t="s">
        <v>1716</v>
      </c>
      <c r="G404" s="153" t="s">
        <v>1268</v>
      </c>
      <c r="H404" s="153" t="s">
        <v>1717</v>
      </c>
      <c r="I404" s="153" t="s">
        <v>58</v>
      </c>
    </row>
    <row r="405" spans="1:10" ht="45">
      <c r="A405" s="151" t="s">
        <v>1718</v>
      </c>
      <c r="B405" s="152" t="s">
        <v>733</v>
      </c>
      <c r="D405" s="153">
        <v>2010</v>
      </c>
      <c r="E405" s="153" t="s">
        <v>1719</v>
      </c>
      <c r="F405" s="157" t="s">
        <v>1720</v>
      </c>
      <c r="G405" s="153" t="s">
        <v>1</v>
      </c>
      <c r="H405" s="153" t="s">
        <v>1721</v>
      </c>
      <c r="I405" s="153" t="s">
        <v>58</v>
      </c>
    </row>
    <row r="406" spans="1:10" ht="20.100000000000001" customHeight="1">
      <c r="A406" s="151" t="s">
        <v>734</v>
      </c>
      <c r="B406" s="152" t="s">
        <v>735</v>
      </c>
      <c r="D406" s="153">
        <v>2010</v>
      </c>
      <c r="E406" s="153" t="s">
        <v>1722</v>
      </c>
      <c r="F406" s="156" t="s">
        <v>1723</v>
      </c>
      <c r="G406" s="153" t="s">
        <v>1268</v>
      </c>
      <c r="H406" s="153" t="s">
        <v>1724</v>
      </c>
      <c r="I406" s="153" t="s">
        <v>58</v>
      </c>
    </row>
    <row r="407" spans="1:10" ht="60">
      <c r="A407" s="151" t="s">
        <v>736</v>
      </c>
      <c r="B407" s="152" t="s">
        <v>737</v>
      </c>
      <c r="D407" s="153">
        <v>2010</v>
      </c>
      <c r="E407" s="153" t="s">
        <v>1725</v>
      </c>
      <c r="F407" s="157" t="s">
        <v>1726</v>
      </c>
      <c r="G407" s="153" t="s">
        <v>3</v>
      </c>
      <c r="H407" s="153" t="s">
        <v>1727</v>
      </c>
      <c r="I407" s="153" t="s">
        <v>58</v>
      </c>
    </row>
    <row r="408" spans="1:10" ht="20.100000000000001" hidden="1" customHeight="1">
      <c r="A408" s="151" t="s">
        <v>738</v>
      </c>
      <c r="F408" s="156"/>
    </row>
    <row r="409" spans="1:10" ht="75">
      <c r="A409" s="151" t="s">
        <v>739</v>
      </c>
      <c r="B409" s="162" t="s">
        <v>740</v>
      </c>
      <c r="C409" s="155"/>
      <c r="D409" s="155">
        <v>2011</v>
      </c>
      <c r="E409" s="155" t="s">
        <v>1396</v>
      </c>
      <c r="F409" s="155" t="s">
        <v>1728</v>
      </c>
      <c r="G409" s="155" t="s">
        <v>2</v>
      </c>
      <c r="H409" s="155" t="s">
        <v>1729</v>
      </c>
      <c r="I409" s="155" t="s">
        <v>58</v>
      </c>
      <c r="J409" s="155"/>
    </row>
    <row r="410" spans="1:10">
      <c r="A410" s="151" t="s">
        <v>741</v>
      </c>
      <c r="B410" s="152" t="s">
        <v>742</v>
      </c>
      <c r="D410" s="153">
        <v>2010</v>
      </c>
      <c r="E410" s="153" t="s">
        <v>1730</v>
      </c>
      <c r="F410" s="156" t="s">
        <v>1731</v>
      </c>
      <c r="G410" s="153" t="s">
        <v>1</v>
      </c>
      <c r="H410" s="153" t="s">
        <v>1732</v>
      </c>
      <c r="I410" s="153" t="s">
        <v>58</v>
      </c>
    </row>
    <row r="411" spans="1:10" hidden="1">
      <c r="A411" s="151" t="s">
        <v>743</v>
      </c>
      <c r="F411" s="156"/>
    </row>
    <row r="412" spans="1:10" ht="259.5" customHeight="1">
      <c r="A412" s="151" t="s">
        <v>744</v>
      </c>
      <c r="B412" s="152" t="s">
        <v>745</v>
      </c>
      <c r="D412" s="153">
        <v>2010</v>
      </c>
      <c r="E412" s="153" t="s">
        <v>1733</v>
      </c>
      <c r="F412" s="157" t="s">
        <v>1734</v>
      </c>
      <c r="G412" s="153" t="s">
        <v>2</v>
      </c>
      <c r="H412" s="153" t="s">
        <v>1735</v>
      </c>
      <c r="I412" s="153" t="s">
        <v>58</v>
      </c>
    </row>
    <row r="413" spans="1:10">
      <c r="A413" s="151" t="s">
        <v>746</v>
      </c>
      <c r="B413" s="152" t="s">
        <v>747</v>
      </c>
      <c r="C413" s="153" t="s">
        <v>1577</v>
      </c>
      <c r="D413" s="153">
        <v>2011</v>
      </c>
      <c r="E413" s="153" t="s">
        <v>1736</v>
      </c>
      <c r="F413" s="156" t="s">
        <v>1737</v>
      </c>
      <c r="G413" s="153" t="s">
        <v>3</v>
      </c>
      <c r="H413" s="153" t="s">
        <v>1738</v>
      </c>
      <c r="I413" s="153" t="s">
        <v>58</v>
      </c>
    </row>
    <row r="414" spans="1:10" ht="120">
      <c r="A414" s="151" t="s">
        <v>746</v>
      </c>
      <c r="B414" s="152" t="s">
        <v>748</v>
      </c>
      <c r="C414" s="153" t="s">
        <v>1577</v>
      </c>
      <c r="D414" s="153">
        <v>2011</v>
      </c>
      <c r="E414" s="153" t="s">
        <v>1736</v>
      </c>
      <c r="F414" s="157" t="s">
        <v>1739</v>
      </c>
      <c r="G414" s="153" t="s">
        <v>3</v>
      </c>
      <c r="I414" s="153" t="s">
        <v>58</v>
      </c>
    </row>
    <row r="415" spans="1:10" ht="120">
      <c r="A415" s="151" t="s">
        <v>746</v>
      </c>
      <c r="B415" s="152" t="s">
        <v>749</v>
      </c>
      <c r="D415" s="153">
        <v>2011</v>
      </c>
      <c r="E415" s="153" t="s">
        <v>1736</v>
      </c>
      <c r="F415" s="157" t="s">
        <v>1739</v>
      </c>
      <c r="G415" s="153" t="s">
        <v>3</v>
      </c>
      <c r="I415" s="153" t="s">
        <v>58</v>
      </c>
    </row>
    <row r="416" spans="1:10" ht="120">
      <c r="A416" s="151" t="s">
        <v>750</v>
      </c>
      <c r="B416" s="152" t="s">
        <v>751</v>
      </c>
      <c r="C416" s="153" t="s">
        <v>1577</v>
      </c>
      <c r="D416" s="153">
        <v>2010</v>
      </c>
      <c r="E416" s="153" t="s">
        <v>1740</v>
      </c>
      <c r="F416" s="157" t="s">
        <v>1741</v>
      </c>
      <c r="G416" s="153" t="s">
        <v>3</v>
      </c>
      <c r="H416" s="153" t="s">
        <v>1742</v>
      </c>
      <c r="I416" s="153" t="s">
        <v>58</v>
      </c>
    </row>
    <row r="417" spans="1:9" ht="120">
      <c r="A417" s="151" t="s">
        <v>750</v>
      </c>
      <c r="B417" s="152" t="s">
        <v>752</v>
      </c>
      <c r="C417" s="153" t="s">
        <v>1577</v>
      </c>
      <c r="D417" s="153">
        <v>2011</v>
      </c>
      <c r="E417" s="153" t="s">
        <v>1740</v>
      </c>
      <c r="F417" s="157" t="s">
        <v>1743</v>
      </c>
      <c r="G417" s="153" t="s">
        <v>3</v>
      </c>
      <c r="I417" s="153" t="s">
        <v>58</v>
      </c>
    </row>
    <row r="418" spans="1:9" ht="120">
      <c r="A418" s="151" t="s">
        <v>750</v>
      </c>
      <c r="B418" s="152" t="s">
        <v>753</v>
      </c>
      <c r="D418" s="153">
        <v>2011</v>
      </c>
      <c r="E418" s="153" t="s">
        <v>1740</v>
      </c>
      <c r="F418" s="157" t="s">
        <v>1744</v>
      </c>
      <c r="G418" s="153" t="s">
        <v>3</v>
      </c>
      <c r="I418" s="153" t="s">
        <v>58</v>
      </c>
    </row>
    <row r="419" spans="1:9">
      <c r="A419" s="151" t="s">
        <v>754</v>
      </c>
      <c r="B419" s="152" t="s">
        <v>755</v>
      </c>
      <c r="C419" s="153" t="s">
        <v>1577</v>
      </c>
      <c r="D419" s="153">
        <v>2011</v>
      </c>
      <c r="E419" s="153" t="s">
        <v>1745</v>
      </c>
      <c r="F419" s="157" t="s">
        <v>1746</v>
      </c>
      <c r="G419" s="153" t="s">
        <v>3</v>
      </c>
      <c r="I419" s="153" t="s">
        <v>58</v>
      </c>
    </row>
    <row r="420" spans="1:9">
      <c r="A420" s="151" t="s">
        <v>754</v>
      </c>
      <c r="B420" s="152" t="s">
        <v>756</v>
      </c>
      <c r="D420" s="153">
        <v>2011</v>
      </c>
      <c r="E420" s="153" t="s">
        <v>1745</v>
      </c>
      <c r="F420" s="156" t="s">
        <v>1746</v>
      </c>
      <c r="G420" s="153" t="s">
        <v>3</v>
      </c>
      <c r="H420" s="153" t="s">
        <v>1747</v>
      </c>
      <c r="I420" s="153" t="s">
        <v>58</v>
      </c>
    </row>
    <row r="421" spans="1:9">
      <c r="A421" s="151" t="s">
        <v>757</v>
      </c>
      <c r="B421" s="152" t="s">
        <v>758</v>
      </c>
      <c r="D421" s="153">
        <v>2011</v>
      </c>
      <c r="E421" s="153" t="s">
        <v>1748</v>
      </c>
      <c r="F421" s="156" t="s">
        <v>1749</v>
      </c>
      <c r="G421" s="153" t="s">
        <v>2</v>
      </c>
      <c r="H421" s="153" t="s">
        <v>1750</v>
      </c>
      <c r="I421" s="153" t="s">
        <v>58</v>
      </c>
    </row>
    <row r="422" spans="1:9">
      <c r="A422" s="151" t="s">
        <v>757</v>
      </c>
      <c r="B422" s="152" t="s">
        <v>759</v>
      </c>
      <c r="D422" s="153">
        <v>2013</v>
      </c>
      <c r="E422" s="153" t="s">
        <v>1748</v>
      </c>
      <c r="F422" s="156" t="s">
        <v>1749</v>
      </c>
      <c r="G422" s="153" t="s">
        <v>2</v>
      </c>
      <c r="H422" s="153" t="s">
        <v>1751</v>
      </c>
      <c r="I422" s="153" t="s">
        <v>58</v>
      </c>
    </row>
    <row r="423" spans="1:9">
      <c r="A423" s="151" t="s">
        <v>757</v>
      </c>
      <c r="B423" s="152" t="s">
        <v>760</v>
      </c>
      <c r="D423" s="153">
        <v>2014</v>
      </c>
      <c r="E423" s="153" t="s">
        <v>1748</v>
      </c>
      <c r="F423" s="156" t="s">
        <v>1749</v>
      </c>
      <c r="G423" s="153" t="s">
        <v>2</v>
      </c>
      <c r="H423" s="153" t="s">
        <v>1752</v>
      </c>
      <c r="I423" s="153" t="s">
        <v>58</v>
      </c>
    </row>
    <row r="424" spans="1:9">
      <c r="A424" s="151" t="s">
        <v>761</v>
      </c>
      <c r="B424" s="152" t="s">
        <v>762</v>
      </c>
      <c r="D424" s="153">
        <v>2011</v>
      </c>
      <c r="E424" s="153" t="s">
        <v>1753</v>
      </c>
      <c r="F424" s="156" t="s">
        <v>1754</v>
      </c>
      <c r="G424" s="153" t="s">
        <v>3</v>
      </c>
      <c r="H424" s="153" t="s">
        <v>1755</v>
      </c>
      <c r="I424" s="153" t="s">
        <v>58</v>
      </c>
    </row>
    <row r="425" spans="1:9" ht="75">
      <c r="A425" s="151" t="s">
        <v>763</v>
      </c>
      <c r="B425" s="152" t="s">
        <v>764</v>
      </c>
      <c r="D425" s="153">
        <v>2010</v>
      </c>
      <c r="E425" s="153" t="s">
        <v>1756</v>
      </c>
      <c r="F425" s="157" t="s">
        <v>1757</v>
      </c>
      <c r="G425" s="153" t="s">
        <v>1</v>
      </c>
      <c r="H425" s="153" t="s">
        <v>1758</v>
      </c>
      <c r="I425" s="153" t="s">
        <v>58</v>
      </c>
    </row>
    <row r="426" spans="1:9" ht="60">
      <c r="A426" s="151" t="s">
        <v>765</v>
      </c>
      <c r="B426" s="152" t="s">
        <v>766</v>
      </c>
      <c r="D426" s="153">
        <v>2011</v>
      </c>
      <c r="E426" s="153" t="s">
        <v>1759</v>
      </c>
      <c r="F426" s="157" t="s">
        <v>1760</v>
      </c>
      <c r="G426" s="153" t="s">
        <v>1</v>
      </c>
      <c r="H426" s="153" t="s">
        <v>1761</v>
      </c>
      <c r="I426" s="153" t="s">
        <v>58</v>
      </c>
    </row>
    <row r="427" spans="1:9" ht="30">
      <c r="A427" s="151" t="s">
        <v>767</v>
      </c>
      <c r="B427" s="152" t="s">
        <v>768</v>
      </c>
      <c r="D427" s="153">
        <v>2010</v>
      </c>
      <c r="E427" s="153" t="s">
        <v>1762</v>
      </c>
      <c r="F427" s="155" t="s">
        <v>1763</v>
      </c>
      <c r="G427" s="153" t="s">
        <v>1</v>
      </c>
      <c r="H427" s="153" t="s">
        <v>1764</v>
      </c>
      <c r="I427" s="153" t="s">
        <v>58</v>
      </c>
    </row>
    <row r="428" spans="1:9" ht="60">
      <c r="A428" s="151" t="s">
        <v>769</v>
      </c>
      <c r="B428" s="152" t="s">
        <v>770</v>
      </c>
      <c r="C428" s="153" t="s">
        <v>1577</v>
      </c>
      <c r="D428" s="153">
        <v>2012</v>
      </c>
      <c r="E428" s="153" t="s">
        <v>1765</v>
      </c>
      <c r="F428" s="155" t="s">
        <v>1766</v>
      </c>
      <c r="G428" s="153" t="s">
        <v>1</v>
      </c>
      <c r="H428" s="153" t="s">
        <v>1767</v>
      </c>
      <c r="I428" s="153" t="s">
        <v>58</v>
      </c>
    </row>
    <row r="429" spans="1:9" ht="195">
      <c r="A429" s="151" t="s">
        <v>769</v>
      </c>
      <c r="B429" s="152" t="s">
        <v>771</v>
      </c>
      <c r="C429" s="153" t="s">
        <v>1577</v>
      </c>
      <c r="D429" s="153">
        <v>2014</v>
      </c>
      <c r="E429" s="153" t="s">
        <v>1765</v>
      </c>
      <c r="F429" s="155" t="s">
        <v>1768</v>
      </c>
      <c r="G429" s="153" t="s">
        <v>1</v>
      </c>
      <c r="H429" s="153" t="s">
        <v>1769</v>
      </c>
      <c r="I429" s="153" t="s">
        <v>58</v>
      </c>
    </row>
    <row r="430" spans="1:9" ht="390">
      <c r="A430" s="151" t="s">
        <v>769</v>
      </c>
      <c r="B430" s="152" t="s">
        <v>772</v>
      </c>
      <c r="D430" s="153">
        <v>2021</v>
      </c>
      <c r="E430" s="153" t="s">
        <v>1765</v>
      </c>
      <c r="F430" s="155" t="s">
        <v>1770</v>
      </c>
      <c r="G430" s="153" t="s">
        <v>1</v>
      </c>
      <c r="H430" s="153" t="s">
        <v>1771</v>
      </c>
      <c r="I430" s="153" t="s">
        <v>58</v>
      </c>
    </row>
    <row r="431" spans="1:9">
      <c r="A431" s="151" t="s">
        <v>773</v>
      </c>
      <c r="B431" s="152" t="s">
        <v>774</v>
      </c>
      <c r="D431" s="153">
        <v>2010</v>
      </c>
      <c r="E431" s="153" t="s">
        <v>1772</v>
      </c>
      <c r="F431" s="153" t="s">
        <v>1773</v>
      </c>
      <c r="G431" s="153" t="s">
        <v>2</v>
      </c>
      <c r="H431" s="153" t="s">
        <v>1774</v>
      </c>
      <c r="I431" s="153" t="s">
        <v>58</v>
      </c>
    </row>
    <row r="432" spans="1:9" ht="165">
      <c r="A432" s="151" t="s">
        <v>775</v>
      </c>
      <c r="B432" s="152" t="s">
        <v>776</v>
      </c>
      <c r="D432" s="153">
        <v>2010</v>
      </c>
      <c r="E432" s="153" t="s">
        <v>1775</v>
      </c>
      <c r="F432" s="155" t="s">
        <v>1776</v>
      </c>
      <c r="G432" s="153" t="s">
        <v>1</v>
      </c>
      <c r="H432" s="153" t="s">
        <v>1777</v>
      </c>
      <c r="I432" s="153" t="s">
        <v>58</v>
      </c>
    </row>
    <row r="433" spans="1:9" ht="120">
      <c r="A433" s="151" t="s">
        <v>777</v>
      </c>
      <c r="B433" s="152" t="s">
        <v>778</v>
      </c>
      <c r="D433" s="153">
        <v>2010</v>
      </c>
      <c r="E433" s="153" t="s">
        <v>1778</v>
      </c>
      <c r="F433" s="155" t="s">
        <v>1779</v>
      </c>
      <c r="G433" s="153" t="s">
        <v>1268</v>
      </c>
      <c r="H433" s="153" t="s">
        <v>1780</v>
      </c>
      <c r="I433" s="153" t="s">
        <v>58</v>
      </c>
    </row>
    <row r="434" spans="1:9">
      <c r="A434" s="151" t="s">
        <v>779</v>
      </c>
      <c r="B434" s="152" t="s">
        <v>780</v>
      </c>
      <c r="D434" s="153">
        <v>2010</v>
      </c>
      <c r="E434" s="153" t="s">
        <v>1781</v>
      </c>
      <c r="F434" s="153" t="s">
        <v>1782</v>
      </c>
      <c r="G434" s="153" t="s">
        <v>1</v>
      </c>
      <c r="H434" s="153" t="s">
        <v>1783</v>
      </c>
      <c r="I434" s="153" t="s">
        <v>58</v>
      </c>
    </row>
    <row r="435" spans="1:9">
      <c r="A435" s="151" t="s">
        <v>781</v>
      </c>
      <c r="B435" s="152" t="s">
        <v>782</v>
      </c>
      <c r="D435" s="153">
        <v>2010</v>
      </c>
      <c r="E435" s="153" t="s">
        <v>1784</v>
      </c>
      <c r="F435" s="153" t="s">
        <v>1785</v>
      </c>
      <c r="G435" s="153" t="s">
        <v>1268</v>
      </c>
      <c r="H435" s="153" t="s">
        <v>1786</v>
      </c>
      <c r="I435" s="153" t="s">
        <v>58</v>
      </c>
    </row>
    <row r="436" spans="1:9" ht="30">
      <c r="A436" s="151" t="s">
        <v>783</v>
      </c>
      <c r="B436" s="152" t="s">
        <v>784</v>
      </c>
      <c r="D436" s="153">
        <v>2010</v>
      </c>
      <c r="E436" s="153" t="s">
        <v>1237</v>
      </c>
      <c r="F436" s="155" t="s">
        <v>1787</v>
      </c>
      <c r="G436" s="153" t="s">
        <v>2</v>
      </c>
      <c r="H436" s="153" t="s">
        <v>1788</v>
      </c>
      <c r="I436" s="153" t="s">
        <v>58</v>
      </c>
    </row>
    <row r="437" spans="1:9">
      <c r="A437" s="151" t="s">
        <v>785</v>
      </c>
      <c r="B437" s="152" t="s">
        <v>786</v>
      </c>
      <c r="D437" s="153">
        <v>2011</v>
      </c>
      <c r="E437" s="153" t="s">
        <v>1789</v>
      </c>
      <c r="F437" s="153" t="s">
        <v>1790</v>
      </c>
      <c r="G437" s="153" t="s">
        <v>1</v>
      </c>
      <c r="H437" s="153" t="s">
        <v>1791</v>
      </c>
      <c r="I437" s="153" t="s">
        <v>58</v>
      </c>
    </row>
    <row r="438" spans="1:9">
      <c r="A438" s="151" t="s">
        <v>787</v>
      </c>
      <c r="B438" s="152" t="s">
        <v>788</v>
      </c>
      <c r="D438" s="153">
        <v>2010</v>
      </c>
      <c r="E438" s="153" t="s">
        <v>1656</v>
      </c>
      <c r="F438" s="153" t="s">
        <v>1792</v>
      </c>
      <c r="G438" s="153" t="s">
        <v>2</v>
      </c>
      <c r="H438" s="153" t="s">
        <v>1793</v>
      </c>
      <c r="I438" s="153" t="s">
        <v>58</v>
      </c>
    </row>
    <row r="439" spans="1:9">
      <c r="A439" s="151" t="s">
        <v>787</v>
      </c>
      <c r="B439" s="152" t="s">
        <v>789</v>
      </c>
      <c r="D439" s="153">
        <v>2012</v>
      </c>
      <c r="E439" s="153" t="s">
        <v>1656</v>
      </c>
      <c r="F439" s="153" t="s">
        <v>1792</v>
      </c>
      <c r="G439" s="153" t="s">
        <v>2</v>
      </c>
      <c r="H439" s="153" t="s">
        <v>1793</v>
      </c>
      <c r="I439" s="153" t="s">
        <v>58</v>
      </c>
    </row>
    <row r="440" spans="1:9">
      <c r="A440" s="151" t="s">
        <v>790</v>
      </c>
      <c r="B440" s="152" t="s">
        <v>791</v>
      </c>
      <c r="D440" s="153">
        <v>2011</v>
      </c>
      <c r="E440" s="153" t="s">
        <v>1794</v>
      </c>
      <c r="F440" s="153" t="s">
        <v>1795</v>
      </c>
      <c r="G440" s="153" t="s">
        <v>3</v>
      </c>
      <c r="H440" s="153" t="s">
        <v>1796</v>
      </c>
      <c r="I440" s="153" t="s">
        <v>58</v>
      </c>
    </row>
    <row r="441" spans="1:9" ht="60">
      <c r="A441" s="151" t="s">
        <v>792</v>
      </c>
      <c r="B441" s="152" t="s">
        <v>793</v>
      </c>
      <c r="D441" s="153">
        <v>2011</v>
      </c>
      <c r="E441" s="153" t="s">
        <v>1797</v>
      </c>
      <c r="F441" s="155" t="s">
        <v>1798</v>
      </c>
      <c r="G441" s="153" t="s">
        <v>3</v>
      </c>
      <c r="H441" s="155" t="s">
        <v>1799</v>
      </c>
      <c r="I441" s="153" t="s">
        <v>58</v>
      </c>
    </row>
    <row r="442" spans="1:9">
      <c r="A442" s="151" t="s">
        <v>794</v>
      </c>
      <c r="B442" s="152" t="s">
        <v>795</v>
      </c>
      <c r="D442" s="153">
        <v>2011</v>
      </c>
      <c r="E442" s="153" t="s">
        <v>1606</v>
      </c>
      <c r="F442" s="153" t="s">
        <v>1800</v>
      </c>
      <c r="G442" s="153" t="s">
        <v>1</v>
      </c>
      <c r="H442" s="153" t="s">
        <v>1801</v>
      </c>
      <c r="I442" s="153" t="s">
        <v>58</v>
      </c>
    </row>
    <row r="443" spans="1:9" ht="165">
      <c r="A443" s="151" t="s">
        <v>796</v>
      </c>
      <c r="B443" s="152" t="s">
        <v>797</v>
      </c>
      <c r="C443" s="153" t="s">
        <v>1577</v>
      </c>
      <c r="D443" s="153">
        <v>2013</v>
      </c>
      <c r="E443" s="153" t="s">
        <v>1802</v>
      </c>
      <c r="F443" s="155" t="s">
        <v>1803</v>
      </c>
      <c r="G443" s="153" t="s">
        <v>3</v>
      </c>
      <c r="H443" s="153" t="s">
        <v>1804</v>
      </c>
      <c r="I443" s="153" t="s">
        <v>58</v>
      </c>
    </row>
    <row r="444" spans="1:9" ht="165">
      <c r="A444" s="151" t="s">
        <v>796</v>
      </c>
      <c r="B444" s="152" t="s">
        <v>798</v>
      </c>
      <c r="D444" s="153">
        <v>2014</v>
      </c>
      <c r="E444" s="153" t="s">
        <v>1802</v>
      </c>
      <c r="F444" s="155" t="s">
        <v>1805</v>
      </c>
      <c r="G444" s="153" t="s">
        <v>3</v>
      </c>
      <c r="H444" s="153" t="s">
        <v>1806</v>
      </c>
      <c r="I444" s="153" t="s">
        <v>58</v>
      </c>
    </row>
    <row r="445" spans="1:9" ht="30">
      <c r="A445" s="151" t="s">
        <v>799</v>
      </c>
      <c r="B445" s="152" t="s">
        <v>800</v>
      </c>
      <c r="D445" s="153">
        <v>2011</v>
      </c>
      <c r="E445" s="153" t="s">
        <v>1807</v>
      </c>
      <c r="F445" s="155" t="s">
        <v>1808</v>
      </c>
      <c r="G445" s="153" t="s">
        <v>1268</v>
      </c>
      <c r="H445" s="153" t="s">
        <v>1809</v>
      </c>
      <c r="I445" s="153" t="s">
        <v>58</v>
      </c>
    </row>
    <row r="446" spans="1:9" ht="96" customHeight="1">
      <c r="A446" s="151" t="s">
        <v>801</v>
      </c>
      <c r="B446" s="152" t="s">
        <v>802</v>
      </c>
      <c r="D446" s="153">
        <v>2011</v>
      </c>
      <c r="E446" s="153" t="s">
        <v>1810</v>
      </c>
      <c r="F446" s="155" t="s">
        <v>1811</v>
      </c>
      <c r="G446" s="153" t="s">
        <v>1</v>
      </c>
      <c r="H446" s="153" t="s">
        <v>1812</v>
      </c>
      <c r="I446" s="153" t="s">
        <v>58</v>
      </c>
    </row>
    <row r="447" spans="1:9" ht="96" customHeight="1">
      <c r="A447" s="151" t="s">
        <v>803</v>
      </c>
      <c r="B447" s="152" t="s">
        <v>804</v>
      </c>
      <c r="C447" s="153" t="s">
        <v>1577</v>
      </c>
      <c r="D447" s="153">
        <v>2011</v>
      </c>
      <c r="E447" s="153" t="s">
        <v>1813</v>
      </c>
      <c r="F447" s="155" t="s">
        <v>1814</v>
      </c>
      <c r="G447" s="153" t="s">
        <v>3</v>
      </c>
      <c r="H447" s="153" t="s">
        <v>1815</v>
      </c>
      <c r="I447" s="153" t="s">
        <v>58</v>
      </c>
    </row>
    <row r="448" spans="1:9" ht="409.5">
      <c r="A448" s="151" t="s">
        <v>803</v>
      </c>
      <c r="B448" s="152" t="s">
        <v>805</v>
      </c>
      <c r="C448" s="153" t="s">
        <v>1577</v>
      </c>
      <c r="D448" s="153">
        <v>2017</v>
      </c>
      <c r="E448" s="153" t="s">
        <v>1813</v>
      </c>
      <c r="F448" s="155" t="s">
        <v>1816</v>
      </c>
      <c r="G448" s="153" t="s">
        <v>3</v>
      </c>
      <c r="H448" s="153" t="s">
        <v>1817</v>
      </c>
      <c r="I448" s="153" t="s">
        <v>58</v>
      </c>
    </row>
    <row r="449" spans="1:9" ht="409.5">
      <c r="A449" s="151" t="s">
        <v>803</v>
      </c>
      <c r="B449" s="152" t="s">
        <v>806</v>
      </c>
      <c r="C449" s="153" t="s">
        <v>1577</v>
      </c>
      <c r="D449" s="153">
        <v>2018</v>
      </c>
      <c r="E449" s="153" t="s">
        <v>1813</v>
      </c>
      <c r="F449" s="155" t="s">
        <v>1818</v>
      </c>
      <c r="G449" s="153" t="s">
        <v>3</v>
      </c>
      <c r="H449" s="153" t="s">
        <v>1817</v>
      </c>
      <c r="I449" s="153" t="s">
        <v>58</v>
      </c>
    </row>
    <row r="450" spans="1:9" ht="409.5">
      <c r="A450" s="151" t="s">
        <v>803</v>
      </c>
      <c r="B450" s="152" t="s">
        <v>807</v>
      </c>
      <c r="D450" s="153">
        <v>2020</v>
      </c>
      <c r="E450" s="153" t="s">
        <v>1813</v>
      </c>
      <c r="F450" s="155" t="s">
        <v>1819</v>
      </c>
      <c r="G450" s="153" t="s">
        <v>3</v>
      </c>
      <c r="H450" s="153" t="s">
        <v>1192</v>
      </c>
      <c r="I450" s="153" t="s">
        <v>58</v>
      </c>
    </row>
    <row r="451" spans="1:9">
      <c r="A451" s="151" t="s">
        <v>808</v>
      </c>
      <c r="B451" s="152" t="s">
        <v>809</v>
      </c>
      <c r="D451" s="153">
        <v>2012</v>
      </c>
      <c r="E451" s="153" t="s">
        <v>1820</v>
      </c>
      <c r="F451" s="153" t="s">
        <v>1821</v>
      </c>
      <c r="G451" s="153" t="s">
        <v>1</v>
      </c>
      <c r="H451" s="153" t="s">
        <v>1822</v>
      </c>
      <c r="I451" s="153" t="s">
        <v>58</v>
      </c>
    </row>
    <row r="452" spans="1:9" ht="75">
      <c r="A452" s="151" t="s">
        <v>810</v>
      </c>
      <c r="B452" s="152" t="s">
        <v>811</v>
      </c>
      <c r="C452" s="153" t="s">
        <v>1577</v>
      </c>
      <c r="D452" s="153">
        <v>2012</v>
      </c>
      <c r="E452" s="153" t="s">
        <v>1823</v>
      </c>
      <c r="F452" s="155" t="s">
        <v>1824</v>
      </c>
      <c r="G452" s="153" t="s">
        <v>1</v>
      </c>
      <c r="H452" s="153" t="s">
        <v>1825</v>
      </c>
      <c r="I452" s="153" t="s">
        <v>58</v>
      </c>
    </row>
    <row r="453" spans="1:9" ht="75">
      <c r="A453" s="151" t="s">
        <v>810</v>
      </c>
      <c r="B453" s="152" t="s">
        <v>812</v>
      </c>
      <c r="C453" s="153" t="s">
        <v>1577</v>
      </c>
      <c r="D453" s="153">
        <v>2014</v>
      </c>
      <c r="E453" s="153" t="s">
        <v>1823</v>
      </c>
      <c r="F453" s="155" t="s">
        <v>1824</v>
      </c>
      <c r="G453" s="153" t="s">
        <v>1</v>
      </c>
      <c r="H453" s="153" t="s">
        <v>1826</v>
      </c>
      <c r="I453" s="153" t="s">
        <v>58</v>
      </c>
    </row>
    <row r="454" spans="1:9" ht="120">
      <c r="A454" s="151" t="s">
        <v>810</v>
      </c>
      <c r="B454" s="152" t="s">
        <v>813</v>
      </c>
      <c r="D454" s="153">
        <v>2020</v>
      </c>
      <c r="E454" s="153" t="s">
        <v>1823</v>
      </c>
      <c r="F454" s="155" t="s">
        <v>1827</v>
      </c>
      <c r="G454" s="153" t="s">
        <v>1</v>
      </c>
      <c r="H454" s="153" t="s">
        <v>1828</v>
      </c>
      <c r="I454" s="153" t="s">
        <v>58</v>
      </c>
    </row>
    <row r="455" spans="1:9" ht="30">
      <c r="A455" s="151" t="s">
        <v>814</v>
      </c>
      <c r="B455" s="152" t="s">
        <v>815</v>
      </c>
      <c r="D455" s="153">
        <v>2012</v>
      </c>
      <c r="E455" s="153" t="s">
        <v>1614</v>
      </c>
      <c r="F455" s="155" t="s">
        <v>1829</v>
      </c>
      <c r="G455" s="153" t="s">
        <v>3</v>
      </c>
      <c r="H455" s="153" t="s">
        <v>1830</v>
      </c>
      <c r="I455" s="153" t="s">
        <v>58</v>
      </c>
    </row>
    <row r="456" spans="1:9">
      <c r="A456" s="151" t="s">
        <v>816</v>
      </c>
      <c r="B456" s="152" t="s">
        <v>817</v>
      </c>
      <c r="D456" s="153">
        <v>2012</v>
      </c>
      <c r="E456" s="153" t="s">
        <v>1831</v>
      </c>
      <c r="F456" s="153" t="s">
        <v>1832</v>
      </c>
      <c r="G456" s="153" t="s">
        <v>1268</v>
      </c>
      <c r="H456" s="153" t="s">
        <v>1833</v>
      </c>
      <c r="I456" s="153" t="s">
        <v>58</v>
      </c>
    </row>
    <row r="457" spans="1:9" ht="45">
      <c r="A457" s="151" t="s">
        <v>818</v>
      </c>
      <c r="B457" s="152" t="s">
        <v>819</v>
      </c>
      <c r="D457" s="153">
        <v>2013</v>
      </c>
      <c r="E457" s="153" t="s">
        <v>1834</v>
      </c>
      <c r="F457" s="155" t="s">
        <v>1835</v>
      </c>
      <c r="G457" s="153" t="s">
        <v>1</v>
      </c>
      <c r="H457" s="153" t="s">
        <v>1836</v>
      </c>
      <c r="I457" s="153" t="s">
        <v>58</v>
      </c>
    </row>
    <row r="458" spans="1:9" ht="30">
      <c r="A458" s="151" t="s">
        <v>820</v>
      </c>
      <c r="B458" s="152" t="s">
        <v>821</v>
      </c>
      <c r="D458" s="153">
        <v>2013</v>
      </c>
      <c r="E458" s="153" t="s">
        <v>1694</v>
      </c>
      <c r="F458" s="155" t="s">
        <v>1837</v>
      </c>
      <c r="G458" s="153" t="s">
        <v>1268</v>
      </c>
      <c r="H458" s="153" t="s">
        <v>1838</v>
      </c>
      <c r="I458" s="153" t="s">
        <v>58</v>
      </c>
    </row>
    <row r="459" spans="1:9" ht="30">
      <c r="A459" s="151" t="s">
        <v>820</v>
      </c>
      <c r="B459" s="152" t="s">
        <v>822</v>
      </c>
      <c r="D459" s="153">
        <v>2014</v>
      </c>
      <c r="E459" s="153" t="s">
        <v>1694</v>
      </c>
      <c r="F459" s="155" t="s">
        <v>1837</v>
      </c>
      <c r="G459" s="153" t="s">
        <v>1268</v>
      </c>
      <c r="H459" s="153" t="s">
        <v>1839</v>
      </c>
      <c r="I459" s="153" t="s">
        <v>58</v>
      </c>
    </row>
    <row r="460" spans="1:9">
      <c r="A460" s="151" t="s">
        <v>823</v>
      </c>
      <c r="B460" s="152" t="s">
        <v>824</v>
      </c>
      <c r="D460" s="153">
        <v>2013</v>
      </c>
      <c r="E460" s="153" t="s">
        <v>1694</v>
      </c>
      <c r="F460" s="153" t="s">
        <v>1840</v>
      </c>
      <c r="G460" s="153" t="s">
        <v>1268</v>
      </c>
      <c r="H460" s="153" t="s">
        <v>1841</v>
      </c>
      <c r="I460" s="153" t="s">
        <v>58</v>
      </c>
    </row>
    <row r="461" spans="1:9" ht="45">
      <c r="A461" s="151" t="s">
        <v>825</v>
      </c>
      <c r="B461" s="152" t="s">
        <v>826</v>
      </c>
      <c r="D461" s="153">
        <v>2013</v>
      </c>
      <c r="E461" s="153" t="s">
        <v>1293</v>
      </c>
      <c r="F461" s="155" t="s">
        <v>1842</v>
      </c>
      <c r="G461" s="153" t="s">
        <v>1</v>
      </c>
      <c r="H461" s="153" t="s">
        <v>1843</v>
      </c>
      <c r="I461" s="153" t="s">
        <v>58</v>
      </c>
    </row>
    <row r="462" spans="1:9" ht="45">
      <c r="A462" s="151" t="s">
        <v>825</v>
      </c>
      <c r="B462" s="152" t="s">
        <v>827</v>
      </c>
      <c r="D462" s="153">
        <v>2017</v>
      </c>
      <c r="E462" s="153" t="s">
        <v>1293</v>
      </c>
      <c r="F462" s="155" t="s">
        <v>1842</v>
      </c>
      <c r="G462" s="153" t="s">
        <v>1</v>
      </c>
      <c r="H462" s="153" t="s">
        <v>1844</v>
      </c>
      <c r="I462" s="153" t="s">
        <v>58</v>
      </c>
    </row>
    <row r="463" spans="1:9">
      <c r="A463" s="151" t="s">
        <v>828</v>
      </c>
      <c r="B463" s="152" t="s">
        <v>829</v>
      </c>
      <c r="D463" s="153">
        <v>2013</v>
      </c>
      <c r="E463" s="153" t="s">
        <v>1845</v>
      </c>
      <c r="F463" s="153" t="s">
        <v>1846</v>
      </c>
      <c r="G463" s="153" t="s">
        <v>3</v>
      </c>
      <c r="H463" s="153" t="s">
        <v>1847</v>
      </c>
      <c r="I463" s="153" t="s">
        <v>58</v>
      </c>
    </row>
    <row r="464" spans="1:9">
      <c r="A464" s="151" t="s">
        <v>828</v>
      </c>
      <c r="B464" s="152" t="s">
        <v>830</v>
      </c>
      <c r="D464" s="153">
        <v>2015</v>
      </c>
      <c r="E464" s="153" t="s">
        <v>1614</v>
      </c>
      <c r="F464" s="153" t="s">
        <v>1848</v>
      </c>
      <c r="G464" s="153" t="s">
        <v>3</v>
      </c>
      <c r="H464" s="153" t="s">
        <v>1849</v>
      </c>
      <c r="I464" s="153" t="s">
        <v>58</v>
      </c>
    </row>
    <row r="465" spans="1:9" ht="30">
      <c r="A465" s="151" t="s">
        <v>831</v>
      </c>
      <c r="B465" s="152" t="s">
        <v>832</v>
      </c>
      <c r="D465" s="153">
        <v>2014</v>
      </c>
      <c r="E465" s="153" t="s">
        <v>1850</v>
      </c>
      <c r="F465" s="155" t="s">
        <v>1851</v>
      </c>
      <c r="G465" s="153" t="s">
        <v>3</v>
      </c>
      <c r="H465" s="153" t="s">
        <v>1852</v>
      </c>
      <c r="I465" s="153" t="s">
        <v>58</v>
      </c>
    </row>
    <row r="466" spans="1:9" ht="60">
      <c r="A466" s="151" t="s">
        <v>833</v>
      </c>
      <c r="B466" s="152" t="s">
        <v>834</v>
      </c>
      <c r="C466" s="153" t="s">
        <v>1577</v>
      </c>
      <c r="D466" s="153">
        <v>2014</v>
      </c>
      <c r="E466" s="153" t="s">
        <v>1853</v>
      </c>
      <c r="F466" s="155" t="s">
        <v>1854</v>
      </c>
      <c r="G466" s="153" t="s">
        <v>1</v>
      </c>
      <c r="H466" s="153" t="s">
        <v>1855</v>
      </c>
      <c r="I466" s="153" t="s">
        <v>58</v>
      </c>
    </row>
    <row r="467" spans="1:9" ht="30">
      <c r="A467" s="151" t="s">
        <v>833</v>
      </c>
      <c r="B467" s="152" t="s">
        <v>835</v>
      </c>
      <c r="D467" s="153">
        <v>2014</v>
      </c>
      <c r="E467" s="153" t="s">
        <v>1853</v>
      </c>
      <c r="F467" s="155" t="s">
        <v>1856</v>
      </c>
      <c r="G467" s="153" t="s">
        <v>1</v>
      </c>
      <c r="H467" s="153" t="s">
        <v>1857</v>
      </c>
      <c r="I467" s="153" t="s">
        <v>58</v>
      </c>
    </row>
    <row r="468" spans="1:9">
      <c r="A468" s="151" t="s">
        <v>836</v>
      </c>
      <c r="B468" s="152" t="s">
        <v>837</v>
      </c>
      <c r="D468" s="153">
        <v>2014</v>
      </c>
      <c r="E468" s="153" t="s">
        <v>1858</v>
      </c>
      <c r="F468" s="153" t="s">
        <v>1859</v>
      </c>
      <c r="G468" s="153" t="s">
        <v>1268</v>
      </c>
      <c r="H468" s="153" t="s">
        <v>1860</v>
      </c>
      <c r="I468" s="153" t="s">
        <v>58</v>
      </c>
    </row>
    <row r="469" spans="1:9">
      <c r="A469" s="151" t="s">
        <v>838</v>
      </c>
      <c r="B469" s="152" t="s">
        <v>839</v>
      </c>
      <c r="C469" s="153" t="s">
        <v>1577</v>
      </c>
      <c r="D469" s="153">
        <v>2014</v>
      </c>
      <c r="E469" s="153" t="s">
        <v>1861</v>
      </c>
      <c r="F469" s="153" t="s">
        <v>1862</v>
      </c>
      <c r="G469" s="153" t="s">
        <v>3</v>
      </c>
      <c r="H469" s="153" t="s">
        <v>1863</v>
      </c>
      <c r="I469" s="153" t="s">
        <v>58</v>
      </c>
    </row>
    <row r="470" spans="1:9">
      <c r="A470" s="151" t="s">
        <v>838</v>
      </c>
      <c r="B470" s="152" t="s">
        <v>840</v>
      </c>
      <c r="D470" s="153">
        <v>2017</v>
      </c>
      <c r="E470" s="153" t="s">
        <v>1861</v>
      </c>
      <c r="F470" s="153" t="s">
        <v>1862</v>
      </c>
      <c r="G470" s="153" t="s">
        <v>3</v>
      </c>
      <c r="H470" s="153" t="s">
        <v>1864</v>
      </c>
      <c r="I470" s="153" t="s">
        <v>58</v>
      </c>
    </row>
    <row r="471" spans="1:9" ht="60">
      <c r="A471" s="151" t="s">
        <v>841</v>
      </c>
      <c r="B471" s="152" t="s">
        <v>842</v>
      </c>
      <c r="D471" s="153">
        <v>2016</v>
      </c>
      <c r="E471" s="153" t="s">
        <v>1865</v>
      </c>
      <c r="F471" s="155" t="s">
        <v>1866</v>
      </c>
      <c r="G471" s="153" t="s">
        <v>1</v>
      </c>
      <c r="H471" s="153" t="s">
        <v>1867</v>
      </c>
      <c r="I471" s="153" t="s">
        <v>58</v>
      </c>
    </row>
    <row r="472" spans="1:9" ht="45">
      <c r="A472" s="151" t="s">
        <v>843</v>
      </c>
      <c r="B472" s="152" t="s">
        <v>844</v>
      </c>
      <c r="C472" s="153" t="s">
        <v>1577</v>
      </c>
      <c r="D472" s="153">
        <v>2015</v>
      </c>
      <c r="E472" s="153" t="s">
        <v>1454</v>
      </c>
      <c r="F472" s="155" t="s">
        <v>1868</v>
      </c>
      <c r="G472" s="153" t="s">
        <v>3</v>
      </c>
      <c r="H472" s="153" t="s">
        <v>1869</v>
      </c>
      <c r="I472" s="153" t="s">
        <v>58</v>
      </c>
    </row>
    <row r="473" spans="1:9" ht="45">
      <c r="A473" s="151" t="s">
        <v>843</v>
      </c>
      <c r="B473" s="152" t="s">
        <v>845</v>
      </c>
      <c r="D473" s="153">
        <v>2018</v>
      </c>
      <c r="E473" s="153" t="s">
        <v>1454</v>
      </c>
      <c r="F473" s="155" t="s">
        <v>1870</v>
      </c>
      <c r="G473" s="153" t="s">
        <v>3</v>
      </c>
      <c r="H473" s="153" t="s">
        <v>1871</v>
      </c>
      <c r="I473" s="153" t="s">
        <v>58</v>
      </c>
    </row>
    <row r="474" spans="1:9" ht="45">
      <c r="A474" s="151" t="s">
        <v>846</v>
      </c>
      <c r="B474" s="152" t="s">
        <v>847</v>
      </c>
      <c r="D474" s="153">
        <v>2015</v>
      </c>
      <c r="E474" s="153" t="s">
        <v>1872</v>
      </c>
      <c r="F474" s="155" t="s">
        <v>1873</v>
      </c>
      <c r="G474" s="153" t="s">
        <v>2</v>
      </c>
      <c r="H474" s="153" t="s">
        <v>1874</v>
      </c>
      <c r="I474" s="153" t="s">
        <v>58</v>
      </c>
    </row>
    <row r="475" spans="1:9" ht="45">
      <c r="A475" s="151" t="s">
        <v>846</v>
      </c>
      <c r="B475" s="152" t="s">
        <v>848</v>
      </c>
      <c r="D475" s="153">
        <v>2017</v>
      </c>
      <c r="E475" s="153" t="s">
        <v>1872</v>
      </c>
      <c r="F475" s="155" t="s">
        <v>1875</v>
      </c>
      <c r="G475" s="153" t="s">
        <v>2</v>
      </c>
      <c r="H475" s="153" t="s">
        <v>1876</v>
      </c>
      <c r="I475" s="153" t="s">
        <v>58</v>
      </c>
    </row>
    <row r="476" spans="1:9" ht="30">
      <c r="A476" s="151" t="s">
        <v>850</v>
      </c>
      <c r="B476" s="152" t="s">
        <v>851</v>
      </c>
      <c r="D476" s="153">
        <v>2015</v>
      </c>
      <c r="E476" s="153" t="s">
        <v>1877</v>
      </c>
      <c r="F476" s="155" t="s">
        <v>1878</v>
      </c>
      <c r="G476" s="153" t="s">
        <v>1</v>
      </c>
      <c r="H476" s="153" t="s">
        <v>1879</v>
      </c>
      <c r="I476" s="153" t="s">
        <v>58</v>
      </c>
    </row>
    <row r="477" spans="1:9" ht="30">
      <c r="A477" s="151" t="s">
        <v>852</v>
      </c>
      <c r="B477" s="152" t="s">
        <v>853</v>
      </c>
      <c r="D477" s="153">
        <v>2015</v>
      </c>
      <c r="E477" s="153" t="s">
        <v>1880</v>
      </c>
      <c r="F477" s="155" t="s">
        <v>1881</v>
      </c>
      <c r="G477" s="153" t="s">
        <v>1</v>
      </c>
      <c r="H477" s="153" t="s">
        <v>1882</v>
      </c>
      <c r="I477" s="153" t="s">
        <v>58</v>
      </c>
    </row>
    <row r="478" spans="1:9" ht="30">
      <c r="A478" s="151" t="s">
        <v>854</v>
      </c>
      <c r="B478" s="152" t="s">
        <v>855</v>
      </c>
      <c r="C478" s="153" t="s">
        <v>1577</v>
      </c>
      <c r="D478" s="153">
        <v>2015</v>
      </c>
      <c r="E478" s="153" t="s">
        <v>1883</v>
      </c>
      <c r="F478" s="155" t="s">
        <v>1884</v>
      </c>
      <c r="G478" s="153" t="s">
        <v>3</v>
      </c>
      <c r="H478" s="153" t="s">
        <v>1885</v>
      </c>
      <c r="I478" s="153" t="s">
        <v>58</v>
      </c>
    </row>
    <row r="479" spans="1:9" ht="30">
      <c r="A479" s="151" t="s">
        <v>854</v>
      </c>
      <c r="B479" s="152" t="s">
        <v>856</v>
      </c>
      <c r="C479" s="153" t="s">
        <v>1577</v>
      </c>
      <c r="D479" s="153">
        <v>2019</v>
      </c>
      <c r="E479" s="153" t="s">
        <v>1886</v>
      </c>
      <c r="F479" s="155" t="s">
        <v>1887</v>
      </c>
      <c r="G479" s="153" t="s">
        <v>3</v>
      </c>
      <c r="H479" s="153" t="s">
        <v>1888</v>
      </c>
      <c r="I479" s="153" t="s">
        <v>58</v>
      </c>
    </row>
    <row r="480" spans="1:9" ht="30">
      <c r="A480" s="151" t="s">
        <v>854</v>
      </c>
      <c r="B480" s="152" t="s">
        <v>857</v>
      </c>
      <c r="D480" s="153">
        <v>2020</v>
      </c>
      <c r="E480" s="153" t="s">
        <v>1886</v>
      </c>
      <c r="F480" s="155" t="s">
        <v>1887</v>
      </c>
      <c r="G480" s="153" t="s">
        <v>3</v>
      </c>
      <c r="H480" s="153" t="s">
        <v>1889</v>
      </c>
      <c r="I480" s="153" t="s">
        <v>58</v>
      </c>
    </row>
    <row r="481" spans="1:9" ht="30">
      <c r="A481" s="151" t="s">
        <v>858</v>
      </c>
      <c r="B481" s="152" t="s">
        <v>859</v>
      </c>
      <c r="D481" s="153">
        <v>2015</v>
      </c>
      <c r="E481" s="153" t="s">
        <v>1890</v>
      </c>
      <c r="F481" s="155" t="s">
        <v>1891</v>
      </c>
      <c r="G481" s="153" t="s">
        <v>1268</v>
      </c>
      <c r="H481" s="153" t="s">
        <v>1892</v>
      </c>
      <c r="I481" s="153" t="s">
        <v>58</v>
      </c>
    </row>
    <row r="482" spans="1:9" ht="30">
      <c r="A482" s="151" t="s">
        <v>860</v>
      </c>
      <c r="B482" s="152" t="s">
        <v>861</v>
      </c>
      <c r="D482" s="153">
        <v>2015</v>
      </c>
      <c r="E482" s="153" t="s">
        <v>1861</v>
      </c>
      <c r="F482" s="155" t="s">
        <v>1893</v>
      </c>
      <c r="G482" s="153" t="s">
        <v>1</v>
      </c>
      <c r="H482" s="153" t="s">
        <v>1894</v>
      </c>
      <c r="I482" s="153" t="s">
        <v>58</v>
      </c>
    </row>
    <row r="483" spans="1:9">
      <c r="A483" s="151" t="s">
        <v>862</v>
      </c>
      <c r="B483" s="152" t="s">
        <v>863</v>
      </c>
      <c r="D483" s="153">
        <v>2015</v>
      </c>
      <c r="E483" s="153" t="s">
        <v>1895</v>
      </c>
      <c r="F483" s="153" t="s">
        <v>1896</v>
      </c>
      <c r="G483" s="153" t="s">
        <v>1268</v>
      </c>
      <c r="H483" s="153" t="s">
        <v>1897</v>
      </c>
      <c r="I483" s="153" t="s">
        <v>58</v>
      </c>
    </row>
    <row r="484" spans="1:9">
      <c r="A484" s="151" t="s">
        <v>862</v>
      </c>
      <c r="B484" s="152" t="s">
        <v>864</v>
      </c>
      <c r="D484" s="153">
        <v>2016</v>
      </c>
      <c r="E484" s="153" t="s">
        <v>1895</v>
      </c>
      <c r="F484" s="153" t="s">
        <v>1896</v>
      </c>
      <c r="G484" s="153" t="s">
        <v>1268</v>
      </c>
      <c r="H484" s="153" t="s">
        <v>1898</v>
      </c>
      <c r="I484" s="153" t="s">
        <v>58</v>
      </c>
    </row>
    <row r="485" spans="1:9">
      <c r="A485" s="151" t="s">
        <v>865</v>
      </c>
      <c r="B485" s="152" t="s">
        <v>866</v>
      </c>
      <c r="D485" s="153">
        <v>2015</v>
      </c>
      <c r="E485" s="153" t="s">
        <v>1899</v>
      </c>
      <c r="F485" s="153" t="s">
        <v>1900</v>
      </c>
      <c r="G485" s="153" t="s">
        <v>2</v>
      </c>
      <c r="H485" s="153" t="s">
        <v>1901</v>
      </c>
      <c r="I485" s="153" t="s">
        <v>58</v>
      </c>
    </row>
    <row r="486" spans="1:9" ht="90">
      <c r="A486" s="151" t="s">
        <v>867</v>
      </c>
      <c r="B486" s="152" t="s">
        <v>868</v>
      </c>
      <c r="C486" s="153" t="s">
        <v>1577</v>
      </c>
      <c r="D486" s="153">
        <v>2017</v>
      </c>
      <c r="E486" s="153" t="s">
        <v>1902</v>
      </c>
      <c r="F486" s="155" t="s">
        <v>1903</v>
      </c>
      <c r="G486" s="153" t="s">
        <v>1</v>
      </c>
      <c r="H486" s="153" t="s">
        <v>1904</v>
      </c>
      <c r="I486" s="153" t="s">
        <v>58</v>
      </c>
    </row>
    <row r="487" spans="1:9" ht="90">
      <c r="A487" s="151" t="s">
        <v>867</v>
      </c>
      <c r="B487" s="152" t="s">
        <v>869</v>
      </c>
      <c r="D487" s="153">
        <v>2018</v>
      </c>
      <c r="E487" s="153" t="s">
        <v>1902</v>
      </c>
      <c r="F487" s="155" t="s">
        <v>1903</v>
      </c>
      <c r="G487" s="153" t="s">
        <v>1</v>
      </c>
      <c r="H487" s="153" t="s">
        <v>1905</v>
      </c>
      <c r="I487" s="153" t="s">
        <v>58</v>
      </c>
    </row>
    <row r="488" spans="1:9" ht="60">
      <c r="A488" s="151" t="s">
        <v>870</v>
      </c>
      <c r="B488" s="152" t="s">
        <v>871</v>
      </c>
      <c r="D488" s="153">
        <v>2016</v>
      </c>
      <c r="E488" s="153" t="s">
        <v>1899</v>
      </c>
      <c r="F488" s="155" t="s">
        <v>1906</v>
      </c>
      <c r="G488" s="153" t="s">
        <v>2</v>
      </c>
      <c r="H488" s="153" t="s">
        <v>1907</v>
      </c>
      <c r="I488" s="153" t="s">
        <v>58</v>
      </c>
    </row>
    <row r="489" spans="1:9" ht="45">
      <c r="A489" s="151" t="s">
        <v>872</v>
      </c>
      <c r="B489" s="152" t="s">
        <v>873</v>
      </c>
      <c r="D489" s="153">
        <v>2016</v>
      </c>
      <c r="E489" s="153" t="s">
        <v>1908</v>
      </c>
      <c r="F489" s="155" t="s">
        <v>1909</v>
      </c>
      <c r="G489" s="153" t="s">
        <v>1</v>
      </c>
      <c r="H489" s="155" t="s">
        <v>1910</v>
      </c>
      <c r="I489" s="153" t="s">
        <v>58</v>
      </c>
    </row>
    <row r="490" spans="1:9" ht="45">
      <c r="A490" s="151" t="s">
        <v>872</v>
      </c>
      <c r="B490" s="152" t="s">
        <v>874</v>
      </c>
      <c r="C490" s="153" t="s">
        <v>1577</v>
      </c>
      <c r="D490" s="153">
        <v>2018</v>
      </c>
      <c r="E490" s="153" t="s">
        <v>1908</v>
      </c>
      <c r="F490" s="155" t="s">
        <v>1909</v>
      </c>
      <c r="G490" s="153" t="s">
        <v>1</v>
      </c>
      <c r="H490" s="153" t="s">
        <v>1911</v>
      </c>
      <c r="I490" s="153" t="s">
        <v>58</v>
      </c>
    </row>
    <row r="491" spans="1:9" ht="45">
      <c r="A491" s="151" t="s">
        <v>872</v>
      </c>
      <c r="B491" s="152" t="s">
        <v>875</v>
      </c>
      <c r="D491" s="153">
        <v>2019</v>
      </c>
      <c r="E491" s="153" t="s">
        <v>1908</v>
      </c>
      <c r="F491" s="155" t="s">
        <v>1909</v>
      </c>
      <c r="G491" s="153" t="s">
        <v>1</v>
      </c>
      <c r="H491" s="153" t="s">
        <v>1912</v>
      </c>
      <c r="I491" s="153" t="s">
        <v>58</v>
      </c>
    </row>
    <row r="492" spans="1:9">
      <c r="A492" s="151" t="s">
        <v>876</v>
      </c>
      <c r="B492" s="152" t="s">
        <v>877</v>
      </c>
      <c r="D492" s="153">
        <v>2017</v>
      </c>
      <c r="E492" s="153" t="s">
        <v>1405</v>
      </c>
      <c r="F492" s="153" t="s">
        <v>1900</v>
      </c>
      <c r="G492" s="153" t="s">
        <v>2</v>
      </c>
      <c r="H492" s="153" t="s">
        <v>1913</v>
      </c>
      <c r="I492" s="153" t="s">
        <v>58</v>
      </c>
    </row>
    <row r="493" spans="1:9">
      <c r="A493" s="151" t="s">
        <v>878</v>
      </c>
      <c r="B493" s="152" t="s">
        <v>879</v>
      </c>
      <c r="D493" s="153">
        <v>2017</v>
      </c>
      <c r="E493" s="153" t="s">
        <v>1914</v>
      </c>
      <c r="F493" s="153" t="s">
        <v>1915</v>
      </c>
      <c r="G493" s="153" t="s">
        <v>2</v>
      </c>
      <c r="H493" s="153" t="s">
        <v>1916</v>
      </c>
      <c r="I493" s="153" t="s">
        <v>58</v>
      </c>
    </row>
    <row r="494" spans="1:9">
      <c r="A494" s="151" t="s">
        <v>880</v>
      </c>
      <c r="B494" s="152" t="s">
        <v>881</v>
      </c>
      <c r="D494" s="153">
        <v>2019</v>
      </c>
      <c r="E494" s="153" t="s">
        <v>1917</v>
      </c>
      <c r="F494" s="153" t="s">
        <v>1918</v>
      </c>
      <c r="G494" s="153" t="s">
        <v>1</v>
      </c>
      <c r="H494" s="153" t="s">
        <v>1919</v>
      </c>
      <c r="I494" s="153" t="s">
        <v>58</v>
      </c>
    </row>
    <row r="495" spans="1:9" ht="30">
      <c r="A495" s="151" t="s">
        <v>882</v>
      </c>
      <c r="B495" s="152" t="s">
        <v>677</v>
      </c>
      <c r="D495" s="153">
        <v>2009</v>
      </c>
      <c r="E495" s="153" t="s">
        <v>1644</v>
      </c>
      <c r="F495" s="157" t="s">
        <v>1645</v>
      </c>
      <c r="G495" s="153" t="s">
        <v>1</v>
      </c>
      <c r="H495" s="153" t="s">
        <v>1646</v>
      </c>
      <c r="I495" s="153" t="s">
        <v>58</v>
      </c>
    </row>
    <row r="496" spans="1:9" ht="285">
      <c r="A496" s="151" t="s">
        <v>882</v>
      </c>
      <c r="B496" s="152" t="s">
        <v>678</v>
      </c>
      <c r="C496" s="153" t="s">
        <v>1577</v>
      </c>
      <c r="D496" s="153">
        <v>2017</v>
      </c>
      <c r="E496" s="153" t="s">
        <v>1647</v>
      </c>
      <c r="F496" s="155" t="s">
        <v>1648</v>
      </c>
      <c r="G496" s="153" t="s">
        <v>1</v>
      </c>
      <c r="H496" s="153" t="s">
        <v>1649</v>
      </c>
      <c r="I496" s="153" t="s">
        <v>58</v>
      </c>
    </row>
    <row r="497" spans="1:9" ht="135">
      <c r="A497" s="151" t="s">
        <v>882</v>
      </c>
      <c r="B497" s="152" t="s">
        <v>679</v>
      </c>
      <c r="D497" s="153">
        <v>2017</v>
      </c>
      <c r="E497" s="153" t="s">
        <v>1647</v>
      </c>
      <c r="F497" s="155" t="s">
        <v>1650</v>
      </c>
      <c r="G497" s="153" t="s">
        <v>1</v>
      </c>
      <c r="H497" s="153" t="s">
        <v>1649</v>
      </c>
      <c r="I497" s="153" t="s">
        <v>58</v>
      </c>
    </row>
    <row r="498" spans="1:9" ht="315">
      <c r="A498" s="151" t="s">
        <v>882</v>
      </c>
      <c r="B498" s="152" t="s">
        <v>680</v>
      </c>
      <c r="D498" s="153">
        <v>2021</v>
      </c>
      <c r="E498" s="153" t="s">
        <v>1647</v>
      </c>
      <c r="F498" s="155" t="s">
        <v>1651</v>
      </c>
      <c r="G498" s="153" t="s">
        <v>1</v>
      </c>
      <c r="H498" s="153" t="s">
        <v>1652</v>
      </c>
      <c r="I498" s="153" t="s">
        <v>58</v>
      </c>
    </row>
    <row r="499" spans="1:9" ht="30">
      <c r="A499" s="151" t="s">
        <v>883</v>
      </c>
      <c r="B499" s="152" t="s">
        <v>884</v>
      </c>
      <c r="C499" s="153" t="s">
        <v>1577</v>
      </c>
      <c r="D499" s="153">
        <v>2017</v>
      </c>
      <c r="E499" s="153" t="s">
        <v>1920</v>
      </c>
      <c r="F499" s="155" t="s">
        <v>1921</v>
      </c>
      <c r="G499" s="153" t="s">
        <v>1268</v>
      </c>
      <c r="H499" s="153" t="s">
        <v>1922</v>
      </c>
      <c r="I499" s="153" t="s">
        <v>58</v>
      </c>
    </row>
    <row r="500" spans="1:9" ht="30">
      <c r="A500" s="151" t="s">
        <v>883</v>
      </c>
      <c r="B500" s="152" t="s">
        <v>885</v>
      </c>
      <c r="C500" s="153" t="s">
        <v>1577</v>
      </c>
      <c r="D500" s="153">
        <v>2019</v>
      </c>
      <c r="E500" s="159" t="s">
        <v>1920</v>
      </c>
      <c r="F500" s="155" t="s">
        <v>1921</v>
      </c>
      <c r="G500" s="153" t="s">
        <v>1268</v>
      </c>
      <c r="H500" s="153" t="s">
        <v>1170</v>
      </c>
      <c r="I500" s="153" t="s">
        <v>58</v>
      </c>
    </row>
    <row r="501" spans="1:9" ht="60">
      <c r="A501" s="151" t="s">
        <v>883</v>
      </c>
      <c r="B501" s="152" t="s">
        <v>886</v>
      </c>
      <c r="D501" s="153">
        <v>2020</v>
      </c>
      <c r="E501" s="159" t="s">
        <v>1923</v>
      </c>
      <c r="F501" s="155" t="s">
        <v>1924</v>
      </c>
      <c r="G501" s="153" t="s">
        <v>1268</v>
      </c>
      <c r="H501" s="153" t="s">
        <v>1174</v>
      </c>
      <c r="I501" s="153" t="s">
        <v>58</v>
      </c>
    </row>
    <row r="502" spans="1:9">
      <c r="A502" s="151" t="s">
        <v>888</v>
      </c>
      <c r="B502" s="152" t="s">
        <v>889</v>
      </c>
      <c r="C502" s="153" t="s">
        <v>1577</v>
      </c>
      <c r="D502" s="153">
        <v>2019</v>
      </c>
      <c r="E502" s="153" t="s">
        <v>1925</v>
      </c>
      <c r="F502" s="153" t="s">
        <v>1926</v>
      </c>
      <c r="G502" s="153" t="s">
        <v>2</v>
      </c>
      <c r="H502" s="153" t="s">
        <v>1927</v>
      </c>
      <c r="I502" s="153" t="s">
        <v>58</v>
      </c>
    </row>
    <row r="503" spans="1:9">
      <c r="A503" s="151" t="s">
        <v>888</v>
      </c>
      <c r="B503" s="152" t="s">
        <v>890</v>
      </c>
      <c r="D503" s="153">
        <v>2019</v>
      </c>
      <c r="E503" s="153" t="s">
        <v>1925</v>
      </c>
      <c r="F503" s="153" t="s">
        <v>1926</v>
      </c>
      <c r="G503" s="153" t="s">
        <v>2</v>
      </c>
      <c r="H503" s="153" t="s">
        <v>1928</v>
      </c>
      <c r="I503" s="153" t="s">
        <v>58</v>
      </c>
    </row>
    <row r="504" spans="1:9" ht="120">
      <c r="A504" s="151" t="s">
        <v>891</v>
      </c>
      <c r="B504" s="152" t="s">
        <v>892</v>
      </c>
      <c r="D504" s="153">
        <v>2018</v>
      </c>
      <c r="E504" s="153" t="s">
        <v>1929</v>
      </c>
      <c r="F504" s="155" t="s">
        <v>1930</v>
      </c>
      <c r="G504" s="153" t="s">
        <v>3</v>
      </c>
      <c r="H504" s="153" t="s">
        <v>1931</v>
      </c>
      <c r="I504" s="153" t="s">
        <v>58</v>
      </c>
    </row>
    <row r="505" spans="1:9" ht="60">
      <c r="A505" s="151" t="s">
        <v>893</v>
      </c>
      <c r="B505" s="152" t="s">
        <v>894</v>
      </c>
      <c r="D505" s="153">
        <v>2017</v>
      </c>
      <c r="E505" s="153" t="s">
        <v>1861</v>
      </c>
      <c r="F505" s="155" t="s">
        <v>1932</v>
      </c>
      <c r="G505" s="153" t="s">
        <v>1</v>
      </c>
      <c r="H505" s="153" t="s">
        <v>1933</v>
      </c>
      <c r="I505" s="153" t="s">
        <v>58</v>
      </c>
    </row>
    <row r="506" spans="1:9" ht="60">
      <c r="A506" s="151" t="s">
        <v>893</v>
      </c>
      <c r="B506" s="152" t="s">
        <v>895</v>
      </c>
      <c r="D506" s="153">
        <v>2018</v>
      </c>
      <c r="E506" s="153" t="s">
        <v>1861</v>
      </c>
      <c r="F506" s="155" t="s">
        <v>1932</v>
      </c>
      <c r="G506" s="153" t="s">
        <v>1</v>
      </c>
      <c r="H506" s="153" t="s">
        <v>1933</v>
      </c>
      <c r="I506" s="153" t="s">
        <v>58</v>
      </c>
    </row>
    <row r="507" spans="1:9" ht="30">
      <c r="A507" s="151" t="s">
        <v>896</v>
      </c>
      <c r="B507" s="152" t="s">
        <v>897</v>
      </c>
      <c r="D507" s="153">
        <v>2018</v>
      </c>
      <c r="E507" s="153" t="s">
        <v>1934</v>
      </c>
      <c r="F507" s="155" t="s">
        <v>1935</v>
      </c>
      <c r="G507" s="153" t="s">
        <v>2</v>
      </c>
      <c r="H507" s="153" t="s">
        <v>1936</v>
      </c>
      <c r="I507" s="153" t="s">
        <v>58</v>
      </c>
    </row>
    <row r="508" spans="1:9" hidden="1">
      <c r="A508" s="151" t="s">
        <v>898</v>
      </c>
    </row>
    <row r="509" spans="1:9" ht="75">
      <c r="A509" s="151" t="s">
        <v>899</v>
      </c>
      <c r="B509" s="152" t="s">
        <v>900</v>
      </c>
      <c r="D509" s="153">
        <v>2019</v>
      </c>
      <c r="E509" s="153" t="s">
        <v>1937</v>
      </c>
      <c r="F509" s="155" t="s">
        <v>1938</v>
      </c>
      <c r="G509" s="153" t="s">
        <v>1</v>
      </c>
      <c r="H509" s="153" t="s">
        <v>1939</v>
      </c>
      <c r="I509" s="153" t="s">
        <v>58</v>
      </c>
    </row>
    <row r="510" spans="1:9" ht="45">
      <c r="A510" s="151" t="s">
        <v>901</v>
      </c>
      <c r="B510" s="152" t="s">
        <v>902</v>
      </c>
      <c r="C510" s="153" t="s">
        <v>1577</v>
      </c>
      <c r="D510" s="153">
        <v>2019</v>
      </c>
      <c r="E510" s="153" t="s">
        <v>1940</v>
      </c>
      <c r="F510" s="155" t="s">
        <v>1941</v>
      </c>
      <c r="G510" s="153" t="s">
        <v>1</v>
      </c>
      <c r="H510" s="153" t="s">
        <v>1942</v>
      </c>
      <c r="I510" s="153" t="s">
        <v>58</v>
      </c>
    </row>
    <row r="511" spans="1:9" ht="90">
      <c r="A511" s="151" t="s">
        <v>901</v>
      </c>
      <c r="B511" s="152" t="s">
        <v>903</v>
      </c>
      <c r="C511" s="153" t="s">
        <v>1577</v>
      </c>
      <c r="D511" s="153">
        <v>2020</v>
      </c>
      <c r="E511" s="153" t="s">
        <v>1940</v>
      </c>
      <c r="F511" s="155" t="s">
        <v>1943</v>
      </c>
      <c r="G511" s="153" t="s">
        <v>1</v>
      </c>
      <c r="H511" s="153" t="s">
        <v>1944</v>
      </c>
      <c r="I511" s="153" t="s">
        <v>58</v>
      </c>
    </row>
    <row r="512" spans="1:9" ht="90">
      <c r="A512" s="151" t="s">
        <v>901</v>
      </c>
      <c r="B512" s="152" t="s">
        <v>904</v>
      </c>
      <c r="D512" s="153">
        <v>2020</v>
      </c>
      <c r="E512" s="153" t="s">
        <v>1940</v>
      </c>
      <c r="F512" s="155" t="s">
        <v>1943</v>
      </c>
      <c r="G512" s="153" t="s">
        <v>1</v>
      </c>
      <c r="H512" s="153" t="s">
        <v>1945</v>
      </c>
      <c r="I512" s="153" t="s">
        <v>58</v>
      </c>
    </row>
    <row r="513" spans="1:9" ht="120">
      <c r="A513" s="151" t="s">
        <v>905</v>
      </c>
      <c r="B513" s="152" t="s">
        <v>906</v>
      </c>
      <c r="D513" s="153">
        <v>2019</v>
      </c>
      <c r="E513" s="153" t="s">
        <v>1946</v>
      </c>
      <c r="F513" s="155" t="s">
        <v>1947</v>
      </c>
      <c r="G513" s="153" t="s">
        <v>1</v>
      </c>
      <c r="H513" s="153" t="s">
        <v>1948</v>
      </c>
      <c r="I513" s="153" t="s">
        <v>58</v>
      </c>
    </row>
    <row r="514" spans="1:9" ht="120">
      <c r="A514" s="151" t="s">
        <v>905</v>
      </c>
      <c r="B514" s="152" t="s">
        <v>907</v>
      </c>
      <c r="D514" s="153">
        <v>2020</v>
      </c>
      <c r="E514" s="153" t="s">
        <v>1946</v>
      </c>
      <c r="F514" s="155" t="s">
        <v>1947</v>
      </c>
      <c r="G514" s="153" t="s">
        <v>1</v>
      </c>
      <c r="H514" s="153" t="s">
        <v>1949</v>
      </c>
      <c r="I514" s="153" t="s">
        <v>58</v>
      </c>
    </row>
    <row r="515" spans="1:9" ht="45">
      <c r="A515" s="151" t="s">
        <v>908</v>
      </c>
      <c r="B515" s="152" t="s">
        <v>909</v>
      </c>
      <c r="D515" s="153">
        <v>2020</v>
      </c>
      <c r="E515" s="153" t="s">
        <v>1950</v>
      </c>
      <c r="F515" s="155" t="s">
        <v>1951</v>
      </c>
      <c r="G515" s="153" t="s">
        <v>1</v>
      </c>
      <c r="H515" s="153" t="s">
        <v>1952</v>
      </c>
      <c r="I515" s="153" t="s">
        <v>58</v>
      </c>
    </row>
    <row r="516" spans="1:9" ht="45">
      <c r="A516" s="151" t="s">
        <v>908</v>
      </c>
      <c r="B516" s="152" t="s">
        <v>910</v>
      </c>
      <c r="D516" s="153">
        <v>2020</v>
      </c>
      <c r="E516" s="153" t="s">
        <v>1950</v>
      </c>
      <c r="F516" s="155" t="s">
        <v>1951</v>
      </c>
      <c r="G516" s="153" t="s">
        <v>1</v>
      </c>
      <c r="H516" s="153" t="s">
        <v>1953</v>
      </c>
      <c r="I516" s="153" t="s">
        <v>58</v>
      </c>
    </row>
    <row r="517" spans="1:9">
      <c r="A517" s="151" t="s">
        <v>911</v>
      </c>
      <c r="B517" s="152" t="s">
        <v>912</v>
      </c>
      <c r="D517" s="153">
        <v>2021</v>
      </c>
      <c r="E517" s="153" t="s">
        <v>1954</v>
      </c>
      <c r="F517" s="153" t="s">
        <v>1955</v>
      </c>
      <c r="G517" s="153" t="s">
        <v>1</v>
      </c>
      <c r="H517" s="153" t="s">
        <v>1956</v>
      </c>
      <c r="I517" s="153" t="s">
        <v>58</v>
      </c>
    </row>
    <row r="518" spans="1:9" ht="45">
      <c r="A518" s="151" t="s">
        <v>913</v>
      </c>
      <c r="B518" s="152" t="s">
        <v>914</v>
      </c>
      <c r="D518" s="153">
        <v>2020</v>
      </c>
      <c r="E518" s="153" t="s">
        <v>1957</v>
      </c>
      <c r="F518" s="155" t="s">
        <v>1958</v>
      </c>
      <c r="G518" s="153" t="s">
        <v>2</v>
      </c>
      <c r="H518" s="155" t="s">
        <v>1959</v>
      </c>
      <c r="I518" s="153" t="s">
        <v>58</v>
      </c>
    </row>
    <row r="519" spans="1:9" ht="45">
      <c r="A519" s="151" t="s">
        <v>915</v>
      </c>
      <c r="B519" s="152" t="s">
        <v>916</v>
      </c>
      <c r="C519" s="153" t="s">
        <v>1577</v>
      </c>
      <c r="D519" s="153">
        <v>2020</v>
      </c>
      <c r="E519" s="153" t="s">
        <v>1960</v>
      </c>
      <c r="F519" s="155" t="s">
        <v>1961</v>
      </c>
      <c r="G519" s="153" t="s">
        <v>1</v>
      </c>
      <c r="H519" s="153" t="s">
        <v>1962</v>
      </c>
      <c r="I519" s="153" t="s">
        <v>58</v>
      </c>
    </row>
    <row r="520" spans="1:9" ht="60">
      <c r="A520" s="151" t="s">
        <v>915</v>
      </c>
      <c r="B520" s="152" t="s">
        <v>1963</v>
      </c>
      <c r="C520" s="153" t="s">
        <v>1577</v>
      </c>
      <c r="D520" s="153">
        <v>2020</v>
      </c>
      <c r="E520" s="153" t="s">
        <v>1960</v>
      </c>
      <c r="F520" s="155" t="s">
        <v>1964</v>
      </c>
      <c r="G520" s="153" t="s">
        <v>1</v>
      </c>
      <c r="H520" s="153" t="s">
        <v>1965</v>
      </c>
      <c r="I520" s="153" t="s">
        <v>58</v>
      </c>
    </row>
    <row r="521" spans="1:9" ht="45">
      <c r="A521" s="151" t="s">
        <v>915</v>
      </c>
      <c r="B521" s="152" t="s">
        <v>918</v>
      </c>
      <c r="D521" s="153">
        <v>2021</v>
      </c>
      <c r="E521" s="153" t="s">
        <v>1960</v>
      </c>
      <c r="F521" s="155" t="s">
        <v>1961</v>
      </c>
      <c r="G521" s="153" t="s">
        <v>1</v>
      </c>
      <c r="H521" s="153" t="s">
        <v>1965</v>
      </c>
      <c r="I521" s="153" t="s">
        <v>58</v>
      </c>
    </row>
    <row r="522" spans="1:9" ht="75">
      <c r="A522" s="151" t="s">
        <v>919</v>
      </c>
      <c r="B522" s="152" t="s">
        <v>920</v>
      </c>
      <c r="D522" s="153">
        <v>2020</v>
      </c>
      <c r="E522" s="153" t="s">
        <v>1966</v>
      </c>
      <c r="F522" s="155" t="s">
        <v>1967</v>
      </c>
      <c r="G522" s="153" t="s">
        <v>1</v>
      </c>
      <c r="H522" s="155" t="s">
        <v>1968</v>
      </c>
      <c r="I522" s="153" t="s">
        <v>58</v>
      </c>
    </row>
    <row r="523" spans="1:9" ht="210">
      <c r="A523" s="151" t="s">
        <v>921</v>
      </c>
      <c r="B523" s="152" t="s">
        <v>922</v>
      </c>
      <c r="D523" s="153">
        <v>2020</v>
      </c>
      <c r="E523" s="153" t="s">
        <v>1899</v>
      </c>
      <c r="F523" s="155" t="s">
        <v>1969</v>
      </c>
      <c r="G523" s="153" t="s">
        <v>2</v>
      </c>
      <c r="H523" s="155" t="s">
        <v>1970</v>
      </c>
      <c r="I523" s="153" t="s">
        <v>58</v>
      </c>
    </row>
    <row r="524" spans="1:9" ht="195">
      <c r="A524" s="151" t="s">
        <v>921</v>
      </c>
      <c r="B524" s="152" t="s">
        <v>923</v>
      </c>
      <c r="D524" s="153">
        <v>2021</v>
      </c>
      <c r="E524" s="153" t="s">
        <v>1405</v>
      </c>
      <c r="F524" s="155" t="s">
        <v>1971</v>
      </c>
      <c r="G524" s="153" t="s">
        <v>2</v>
      </c>
      <c r="H524" s="155" t="s">
        <v>1972</v>
      </c>
      <c r="I524" s="153" t="s">
        <v>58</v>
      </c>
    </row>
    <row r="525" spans="1:9">
      <c r="A525" s="151" t="s">
        <v>924</v>
      </c>
      <c r="B525" s="152" t="s">
        <v>925</v>
      </c>
      <c r="D525" s="153">
        <v>2020</v>
      </c>
      <c r="E525" s="153" t="s">
        <v>1973</v>
      </c>
      <c r="F525" s="153" t="s">
        <v>1974</v>
      </c>
      <c r="G525" s="153" t="s">
        <v>1</v>
      </c>
      <c r="H525" s="153" t="s">
        <v>1975</v>
      </c>
      <c r="I525" s="153" t="s">
        <v>58</v>
      </c>
    </row>
    <row r="526" spans="1:9" ht="45">
      <c r="A526" s="151" t="s">
        <v>926</v>
      </c>
      <c r="B526" s="152" t="s">
        <v>927</v>
      </c>
      <c r="D526" s="153">
        <v>2020</v>
      </c>
      <c r="E526" s="153" t="s">
        <v>1976</v>
      </c>
      <c r="F526" s="155" t="s">
        <v>1977</v>
      </c>
      <c r="G526" s="153" t="s">
        <v>2</v>
      </c>
      <c r="H526" s="153" t="s">
        <v>1978</v>
      </c>
      <c r="I526" s="153" t="s">
        <v>58</v>
      </c>
    </row>
    <row r="527" spans="1:9" ht="60">
      <c r="A527" s="151" t="s">
        <v>928</v>
      </c>
      <c r="B527" s="152" t="s">
        <v>929</v>
      </c>
      <c r="D527" s="153">
        <v>2020</v>
      </c>
      <c r="E527" s="153" t="s">
        <v>1979</v>
      </c>
      <c r="F527" s="155" t="s">
        <v>1980</v>
      </c>
      <c r="G527" s="153" t="s">
        <v>1</v>
      </c>
      <c r="H527" s="153" t="s">
        <v>1981</v>
      </c>
      <c r="I527" s="153" t="s">
        <v>58</v>
      </c>
    </row>
    <row r="528" spans="1:9" ht="60">
      <c r="A528" s="151" t="s">
        <v>928</v>
      </c>
      <c r="B528" s="152" t="s">
        <v>930</v>
      </c>
      <c r="D528" s="153">
        <v>2022</v>
      </c>
      <c r="E528" s="153" t="s">
        <v>1979</v>
      </c>
      <c r="F528" s="155" t="s">
        <v>1980</v>
      </c>
      <c r="G528" s="153" t="s">
        <v>1</v>
      </c>
      <c r="H528" s="153" t="s">
        <v>1982</v>
      </c>
      <c r="I528" s="153" t="s">
        <v>58</v>
      </c>
    </row>
    <row r="529" spans="1:9" ht="165">
      <c r="A529" s="151" t="s">
        <v>931</v>
      </c>
      <c r="B529" s="152" t="s">
        <v>932</v>
      </c>
      <c r="D529" s="153">
        <v>2020</v>
      </c>
      <c r="E529" s="153" t="s">
        <v>1983</v>
      </c>
      <c r="F529" s="155" t="s">
        <v>1984</v>
      </c>
      <c r="G529" s="153" t="s">
        <v>1</v>
      </c>
      <c r="H529" s="153" t="s">
        <v>1985</v>
      </c>
      <c r="I529" s="153" t="s">
        <v>58</v>
      </c>
    </row>
    <row r="530" spans="1:9" ht="90">
      <c r="A530" s="151" t="s">
        <v>933</v>
      </c>
      <c r="B530" s="152" t="s">
        <v>934</v>
      </c>
      <c r="D530" s="153">
        <v>2020</v>
      </c>
      <c r="E530" s="153" t="s">
        <v>1986</v>
      </c>
      <c r="F530" s="155" t="s">
        <v>1987</v>
      </c>
      <c r="G530" s="153" t="s">
        <v>1</v>
      </c>
      <c r="H530" s="153" t="s">
        <v>1988</v>
      </c>
      <c r="I530" s="153" t="s">
        <v>58</v>
      </c>
    </row>
    <row r="531" spans="1:9" ht="30">
      <c r="A531" s="151" t="s">
        <v>935</v>
      </c>
      <c r="B531" s="152" t="s">
        <v>936</v>
      </c>
      <c r="D531" s="153">
        <v>2020</v>
      </c>
      <c r="E531" s="153" t="s">
        <v>1989</v>
      </c>
      <c r="F531" s="155" t="s">
        <v>1990</v>
      </c>
      <c r="G531" s="153" t="s">
        <v>1</v>
      </c>
      <c r="H531" s="153" t="s">
        <v>1991</v>
      </c>
      <c r="I531" s="153" t="s">
        <v>58</v>
      </c>
    </row>
    <row r="532" spans="1:9" ht="30">
      <c r="A532" s="151" t="s">
        <v>935</v>
      </c>
      <c r="B532" s="152" t="s">
        <v>937</v>
      </c>
      <c r="D532" s="153">
        <v>2022</v>
      </c>
      <c r="E532" s="153" t="s">
        <v>1989</v>
      </c>
      <c r="F532" s="155" t="s">
        <v>1990</v>
      </c>
      <c r="G532" s="153" t="s">
        <v>1</v>
      </c>
      <c r="H532" s="153" t="s">
        <v>1992</v>
      </c>
      <c r="I532" s="153" t="s">
        <v>58</v>
      </c>
    </row>
    <row r="533" spans="1:9" ht="45">
      <c r="A533" s="151" t="s">
        <v>938</v>
      </c>
      <c r="B533" s="152" t="s">
        <v>939</v>
      </c>
      <c r="C533" s="153" t="s">
        <v>1577</v>
      </c>
      <c r="D533" s="153">
        <v>2020</v>
      </c>
      <c r="E533" s="153" t="s">
        <v>1993</v>
      </c>
      <c r="F533" s="155" t="s">
        <v>1994</v>
      </c>
      <c r="G533" s="153" t="s">
        <v>2</v>
      </c>
      <c r="H533" s="153" t="s">
        <v>1995</v>
      </c>
      <c r="I533" s="153" t="s">
        <v>58</v>
      </c>
    </row>
    <row r="534" spans="1:9" ht="45">
      <c r="A534" s="151" t="s">
        <v>938</v>
      </c>
      <c r="B534" s="152" t="s">
        <v>940</v>
      </c>
      <c r="D534" s="153">
        <v>2022</v>
      </c>
      <c r="E534" s="153" t="s">
        <v>1993</v>
      </c>
      <c r="F534" s="155" t="s">
        <v>1994</v>
      </c>
      <c r="G534" s="153" t="s">
        <v>2</v>
      </c>
      <c r="H534" s="153" t="s">
        <v>1996</v>
      </c>
      <c r="I534" s="153" t="s">
        <v>58</v>
      </c>
    </row>
    <row r="535" spans="1:9" ht="30">
      <c r="A535" s="151" t="s">
        <v>941</v>
      </c>
      <c r="B535" s="152" t="s">
        <v>942</v>
      </c>
      <c r="D535" s="153">
        <v>2020</v>
      </c>
      <c r="E535" s="153" t="s">
        <v>1997</v>
      </c>
      <c r="F535" s="155" t="s">
        <v>1998</v>
      </c>
      <c r="G535" s="153" t="s">
        <v>1</v>
      </c>
      <c r="H535" s="153" t="s">
        <v>1999</v>
      </c>
      <c r="I535" s="153" t="s">
        <v>58</v>
      </c>
    </row>
    <row r="536" spans="1:9" ht="30">
      <c r="A536" s="151" t="s">
        <v>943</v>
      </c>
      <c r="B536" s="152" t="s">
        <v>944</v>
      </c>
      <c r="C536" s="153" t="s">
        <v>1577</v>
      </c>
      <c r="D536" s="153">
        <v>2020</v>
      </c>
      <c r="E536" s="153" t="s">
        <v>1656</v>
      </c>
      <c r="F536" s="155" t="s">
        <v>2000</v>
      </c>
      <c r="G536" s="153" t="s">
        <v>1</v>
      </c>
      <c r="H536" s="153" t="s">
        <v>2001</v>
      </c>
      <c r="I536" s="153" t="s">
        <v>58</v>
      </c>
    </row>
    <row r="537" spans="1:9" ht="30">
      <c r="A537" s="151" t="s">
        <v>943</v>
      </c>
      <c r="B537" s="152" t="s">
        <v>945</v>
      </c>
      <c r="D537" s="153">
        <v>2020</v>
      </c>
      <c r="E537" s="153" t="s">
        <v>1656</v>
      </c>
      <c r="F537" s="155" t="s">
        <v>2000</v>
      </c>
      <c r="G537" s="153" t="s">
        <v>1</v>
      </c>
      <c r="H537" s="153" t="s">
        <v>2002</v>
      </c>
      <c r="I537" s="153" t="s">
        <v>58</v>
      </c>
    </row>
    <row r="538" spans="1:9" ht="45">
      <c r="A538" s="151" t="s">
        <v>943</v>
      </c>
      <c r="B538" s="152" t="s">
        <v>946</v>
      </c>
      <c r="D538" s="153">
        <v>2021</v>
      </c>
      <c r="E538" s="153" t="s">
        <v>1656</v>
      </c>
      <c r="F538" s="155" t="s">
        <v>2003</v>
      </c>
      <c r="G538" s="153" t="s">
        <v>1</v>
      </c>
      <c r="H538" s="153" t="s">
        <v>2004</v>
      </c>
      <c r="I538" s="153" t="s">
        <v>58</v>
      </c>
    </row>
    <row r="539" spans="1:9" ht="30">
      <c r="A539" s="151" t="s">
        <v>943</v>
      </c>
      <c r="B539" s="152" t="s">
        <v>947</v>
      </c>
      <c r="D539" s="153">
        <v>2022</v>
      </c>
      <c r="E539" s="153" t="s">
        <v>1656</v>
      </c>
      <c r="F539" s="155" t="s">
        <v>2005</v>
      </c>
      <c r="G539" s="153" t="s">
        <v>1</v>
      </c>
      <c r="H539" s="153" t="s">
        <v>2006</v>
      </c>
      <c r="I539" s="153" t="s">
        <v>58</v>
      </c>
    </row>
    <row r="540" spans="1:9" hidden="1">
      <c r="A540" s="151" t="s">
        <v>948</v>
      </c>
    </row>
    <row r="541" spans="1:9" ht="105">
      <c r="A541" s="151" t="s">
        <v>949</v>
      </c>
      <c r="B541" s="152" t="s">
        <v>950</v>
      </c>
      <c r="D541" s="153">
        <v>2022</v>
      </c>
      <c r="E541" s="153" t="s">
        <v>2007</v>
      </c>
      <c r="F541" s="155" t="s">
        <v>2008</v>
      </c>
      <c r="G541" s="153" t="s">
        <v>1</v>
      </c>
      <c r="H541" s="153" t="s">
        <v>2009</v>
      </c>
      <c r="I541" s="153" t="s">
        <v>58</v>
      </c>
    </row>
    <row r="542" spans="1:9" ht="30">
      <c r="A542" s="151" t="s">
        <v>951</v>
      </c>
      <c r="B542" s="152" t="s">
        <v>952</v>
      </c>
      <c r="D542" s="153">
        <v>2022</v>
      </c>
      <c r="E542" s="153" t="s">
        <v>2010</v>
      </c>
      <c r="F542" s="155" t="s">
        <v>2011</v>
      </c>
      <c r="G542" s="153" t="s">
        <v>2</v>
      </c>
      <c r="H542" s="153" t="s">
        <v>2012</v>
      </c>
      <c r="I542" s="153" t="s">
        <v>58</v>
      </c>
    </row>
    <row r="543" spans="1:9" ht="30">
      <c r="A543" s="151" t="s">
        <v>951</v>
      </c>
      <c r="B543" s="152" t="s">
        <v>953</v>
      </c>
      <c r="D543" s="153">
        <v>2022</v>
      </c>
      <c r="E543" s="153" t="s">
        <v>2010</v>
      </c>
      <c r="F543" s="155" t="s">
        <v>2011</v>
      </c>
      <c r="G543" s="153" t="s">
        <v>2</v>
      </c>
      <c r="H543" s="153" t="s">
        <v>2013</v>
      </c>
      <c r="I543" s="153" t="s">
        <v>58</v>
      </c>
    </row>
    <row r="544" spans="1:9" ht="60">
      <c r="A544" s="271" t="s">
        <v>954</v>
      </c>
      <c r="B544" s="152" t="s">
        <v>955</v>
      </c>
      <c r="D544" s="153">
        <v>2023</v>
      </c>
      <c r="E544" s="153" t="s">
        <v>2014</v>
      </c>
      <c r="F544" s="155" t="s">
        <v>2015</v>
      </c>
      <c r="G544" s="153" t="s">
        <v>1</v>
      </c>
      <c r="H544" s="153" t="s">
        <v>2016</v>
      </c>
      <c r="I544" s="153" t="s">
        <v>58</v>
      </c>
    </row>
    <row r="545" spans="1:11">
      <c r="A545" s="270" t="s">
        <v>846</v>
      </c>
      <c r="B545" s="94" t="s">
        <v>849</v>
      </c>
      <c r="C545" s="94" t="s">
        <v>59</v>
      </c>
      <c r="D545" s="94">
        <v>2025</v>
      </c>
      <c r="E545" s="94" t="s">
        <v>2017</v>
      </c>
      <c r="F545" s="98" t="s">
        <v>2018</v>
      </c>
      <c r="G545" s="94" t="s">
        <v>2</v>
      </c>
      <c r="H545" s="94" t="s">
        <v>1130</v>
      </c>
      <c r="I545" s="94" t="s">
        <v>58</v>
      </c>
      <c r="J545" s="94"/>
      <c r="K545" s="94"/>
    </row>
    <row r="546" spans="1:11" ht="60">
      <c r="A546" s="270" t="s">
        <v>883</v>
      </c>
      <c r="B546" s="94" t="s">
        <v>887</v>
      </c>
      <c r="C546" s="94" t="s">
        <v>59</v>
      </c>
      <c r="D546" s="94">
        <v>2025</v>
      </c>
      <c r="E546" s="94" t="s">
        <v>2019</v>
      </c>
      <c r="F546" s="98" t="s">
        <v>2020</v>
      </c>
      <c r="G546" s="94" t="s">
        <v>1268</v>
      </c>
      <c r="H546" s="94" t="s">
        <v>1133</v>
      </c>
      <c r="I546" s="94" t="s">
        <v>58</v>
      </c>
      <c r="J546" s="94"/>
      <c r="K546" s="94"/>
    </row>
    <row r="547" spans="1:11" ht="45">
      <c r="A547" s="270" t="s">
        <v>1136</v>
      </c>
      <c r="B547" s="94" t="s">
        <v>681</v>
      </c>
      <c r="C547" s="94" t="s">
        <v>59</v>
      </c>
      <c r="D547" s="94">
        <v>2025</v>
      </c>
      <c r="E547" s="94" t="s">
        <v>2021</v>
      </c>
      <c r="F547" s="98" t="s">
        <v>2022</v>
      </c>
      <c r="G547" s="94" t="s">
        <v>1</v>
      </c>
      <c r="H547" s="94" t="s">
        <v>1135</v>
      </c>
      <c r="I547" s="94" t="s">
        <v>58</v>
      </c>
      <c r="J547" s="94"/>
      <c r="K547" s="94"/>
    </row>
    <row r="548" spans="1:11" ht="30">
      <c r="A548" s="270" t="s">
        <v>956</v>
      </c>
      <c r="B548" s="94" t="s">
        <v>3249</v>
      </c>
      <c r="C548" s="94" t="s">
        <v>59</v>
      </c>
      <c r="D548" s="94">
        <v>2025</v>
      </c>
      <c r="E548" s="188" t="s">
        <v>3116</v>
      </c>
      <c r="F548" s="98" t="s">
        <v>3253</v>
      </c>
      <c r="G548" s="94" t="s">
        <v>1268</v>
      </c>
      <c r="H548" s="101" t="s">
        <v>3115</v>
      </c>
      <c r="I548" s="94" t="s">
        <v>58</v>
      </c>
      <c r="J548" s="94"/>
      <c r="K548" s="94"/>
    </row>
    <row r="549" spans="1:11" ht="90">
      <c r="A549" s="269" t="s">
        <v>957</v>
      </c>
      <c r="B549" s="94"/>
      <c r="C549" s="94"/>
      <c r="D549" s="94"/>
      <c r="E549" s="188" t="s">
        <v>3122</v>
      </c>
      <c r="F549" s="98"/>
      <c r="G549" s="101" t="s">
        <v>1268</v>
      </c>
      <c r="H549" s="101" t="s">
        <v>3121</v>
      </c>
      <c r="I549" s="94" t="s">
        <v>60</v>
      </c>
      <c r="J549" s="94"/>
      <c r="K549" s="94"/>
    </row>
    <row r="550" spans="1:11">
      <c r="A550" s="270" t="s">
        <v>958</v>
      </c>
      <c r="B550" s="94" t="s">
        <v>3238</v>
      </c>
      <c r="C550" s="94" t="s">
        <v>59</v>
      </c>
      <c r="D550" s="94">
        <v>2025</v>
      </c>
      <c r="E550" s="188" t="s">
        <v>3213</v>
      </c>
      <c r="F550" s="98" t="s">
        <v>3256</v>
      </c>
      <c r="G550" s="101" t="s">
        <v>2</v>
      </c>
      <c r="H550" s="101" t="s">
        <v>3126</v>
      </c>
      <c r="I550" s="94" t="s">
        <v>58</v>
      </c>
      <c r="J550" s="94"/>
      <c r="K550" s="94"/>
    </row>
    <row r="551" spans="1:11" ht="30">
      <c r="A551" s="270" t="s">
        <v>959</v>
      </c>
      <c r="B551" s="94" t="s">
        <v>3240</v>
      </c>
      <c r="C551" s="94" t="s">
        <v>59</v>
      </c>
      <c r="D551" s="94">
        <v>2025</v>
      </c>
      <c r="E551" s="188" t="s">
        <v>3128</v>
      </c>
      <c r="F551" s="98" t="s">
        <v>3258</v>
      </c>
      <c r="G551" s="101" t="s">
        <v>1268</v>
      </c>
      <c r="H551" s="101" t="s">
        <v>3127</v>
      </c>
      <c r="I551" s="94" t="s">
        <v>58</v>
      </c>
      <c r="J551" s="94"/>
      <c r="K551" s="94"/>
    </row>
    <row r="552" spans="1:11" ht="105">
      <c r="A552" s="270" t="s">
        <v>960</v>
      </c>
      <c r="B552" s="94" t="s">
        <v>3260</v>
      </c>
      <c r="C552" s="94" t="s">
        <v>59</v>
      </c>
      <c r="D552" s="94">
        <v>2025</v>
      </c>
      <c r="E552" s="188" t="s">
        <v>3134</v>
      </c>
      <c r="F552" s="98" t="s">
        <v>3261</v>
      </c>
      <c r="G552" s="101" t="s">
        <v>3</v>
      </c>
      <c r="H552" s="101" t="s">
        <v>3133</v>
      </c>
      <c r="I552" s="94" t="s">
        <v>58</v>
      </c>
      <c r="J552" s="94"/>
      <c r="K552" s="94"/>
    </row>
    <row r="553" spans="1:11" ht="45">
      <c r="A553" s="269" t="s">
        <v>961</v>
      </c>
      <c r="B553" s="94" t="s">
        <v>3242</v>
      </c>
      <c r="C553" s="94" t="s">
        <v>59</v>
      </c>
      <c r="D553" s="94">
        <v>2025</v>
      </c>
      <c r="E553" s="188" t="s">
        <v>3141</v>
      </c>
      <c r="F553" s="98" t="s">
        <v>3264</v>
      </c>
      <c r="G553" s="94" t="s">
        <v>1</v>
      </c>
      <c r="H553" s="101" t="s">
        <v>3140</v>
      </c>
      <c r="I553" s="94" t="s">
        <v>58</v>
      </c>
      <c r="J553" s="94"/>
      <c r="K553" s="94"/>
    </row>
    <row r="554" spans="1:11" ht="45">
      <c r="A554" s="270" t="s">
        <v>962</v>
      </c>
      <c r="B554" s="94" t="s">
        <v>3266</v>
      </c>
      <c r="C554" s="94" t="s">
        <v>59</v>
      </c>
      <c r="D554" s="94">
        <v>2025</v>
      </c>
      <c r="E554" s="188" t="s">
        <v>3146</v>
      </c>
      <c r="F554" s="98" t="s">
        <v>3267</v>
      </c>
      <c r="G554" s="101" t="s">
        <v>1</v>
      </c>
      <c r="H554" s="101" t="s">
        <v>3145</v>
      </c>
      <c r="I554" s="94" t="s">
        <v>58</v>
      </c>
      <c r="J554" s="94"/>
      <c r="K554" s="94"/>
    </row>
    <row r="555" spans="1:11">
      <c r="A555" s="233" t="s">
        <v>963</v>
      </c>
      <c r="B555" s="94"/>
      <c r="C555" s="94"/>
      <c r="D555" s="94"/>
      <c r="E555" s="188" t="s">
        <v>3152</v>
      </c>
      <c r="F555" s="98" t="s">
        <v>3292</v>
      </c>
      <c r="G555" s="94" t="s">
        <v>1268</v>
      </c>
      <c r="H555" s="101" t="s">
        <v>3151</v>
      </c>
      <c r="I555" s="94" t="s">
        <v>58</v>
      </c>
      <c r="J555" s="94"/>
      <c r="K555" s="94"/>
    </row>
    <row r="556" spans="1:11" ht="90">
      <c r="A556" s="269" t="s">
        <v>964</v>
      </c>
      <c r="B556" s="94"/>
      <c r="C556" s="94"/>
      <c r="D556" s="94"/>
      <c r="E556" s="188" t="s">
        <v>3157</v>
      </c>
      <c r="F556" s="98"/>
      <c r="G556" s="101" t="s">
        <v>3</v>
      </c>
      <c r="H556" s="101" t="s">
        <v>3156</v>
      </c>
      <c r="I556" s="94" t="s">
        <v>58</v>
      </c>
      <c r="J556" s="94"/>
      <c r="K556" s="94"/>
    </row>
    <row r="557" spans="1:11">
      <c r="A557" s="270" t="s">
        <v>965</v>
      </c>
      <c r="B557" s="94" t="s">
        <v>3248</v>
      </c>
      <c r="C557" s="94" t="s">
        <v>59</v>
      </c>
      <c r="D557" s="94">
        <v>2025</v>
      </c>
      <c r="E557" s="188" t="s">
        <v>3171</v>
      </c>
      <c r="F557" s="98" t="s">
        <v>3273</v>
      </c>
      <c r="G557" s="101" t="s">
        <v>2</v>
      </c>
      <c r="H557" s="101" t="s">
        <v>3170</v>
      </c>
      <c r="I557" s="94" t="s">
        <v>58</v>
      </c>
      <c r="J557" s="94"/>
      <c r="K557" s="94"/>
    </row>
    <row r="558" spans="1:11">
      <c r="A558" s="270" t="s">
        <v>966</v>
      </c>
      <c r="B558" s="94" t="s">
        <v>3235</v>
      </c>
      <c r="C558" s="94" t="s">
        <v>59</v>
      </c>
      <c r="D558" s="94">
        <v>2025</v>
      </c>
      <c r="E558" s="188" t="s">
        <v>3177</v>
      </c>
      <c r="F558" s="98" t="s">
        <v>3274</v>
      </c>
      <c r="G558" s="94" t="s">
        <v>1268</v>
      </c>
      <c r="H558" s="101" t="s">
        <v>3176</v>
      </c>
      <c r="I558" s="94" t="s">
        <v>58</v>
      </c>
      <c r="J558" s="94"/>
      <c r="K558" s="94"/>
    </row>
    <row r="559" spans="1:11">
      <c r="A559" s="269" t="s">
        <v>967</v>
      </c>
      <c r="B559" s="94"/>
      <c r="C559" s="94"/>
      <c r="D559" s="94"/>
      <c r="E559" s="188" t="s">
        <v>3183</v>
      </c>
      <c r="F559" s="98" t="s">
        <v>3276</v>
      </c>
      <c r="G559" s="94" t="s">
        <v>1</v>
      </c>
      <c r="H559" s="101" t="s">
        <v>3182</v>
      </c>
      <c r="I559" s="94" t="s">
        <v>58</v>
      </c>
      <c r="J559" s="94"/>
      <c r="K559" s="94"/>
    </row>
    <row r="560" spans="1:11" ht="30">
      <c r="A560" s="270" t="s">
        <v>968</v>
      </c>
      <c r="B560" s="94" t="s">
        <v>3255</v>
      </c>
      <c r="C560" s="94" t="s">
        <v>59</v>
      </c>
      <c r="D560" s="94">
        <v>2025</v>
      </c>
      <c r="E560" s="188" t="s">
        <v>3188</v>
      </c>
      <c r="F560" s="98" t="s">
        <v>3277</v>
      </c>
      <c r="G560" s="94" t="s">
        <v>2</v>
      </c>
      <c r="H560" s="101" t="s">
        <v>3187</v>
      </c>
      <c r="I560" s="94" t="s">
        <v>58</v>
      </c>
      <c r="J560" s="94"/>
      <c r="K560" s="94"/>
    </row>
    <row r="561" spans="1:11" ht="30">
      <c r="A561" s="233" t="s">
        <v>969</v>
      </c>
      <c r="B561" s="94"/>
      <c r="C561" s="94"/>
      <c r="D561" s="94"/>
      <c r="E561" s="188" t="s">
        <v>3193</v>
      </c>
      <c r="F561" s="262" t="s">
        <v>3279</v>
      </c>
      <c r="G561" s="94" t="s">
        <v>2</v>
      </c>
      <c r="H561" s="101" t="s">
        <v>3192</v>
      </c>
      <c r="I561" s="94" t="s">
        <v>58</v>
      </c>
      <c r="J561" s="94"/>
      <c r="K561" s="94"/>
    </row>
    <row r="562" spans="1:11" ht="105">
      <c r="A562" s="269" t="s">
        <v>970</v>
      </c>
      <c r="B562" s="94"/>
      <c r="C562" s="94"/>
      <c r="D562" s="94"/>
      <c r="E562" s="188" t="s">
        <v>3198</v>
      </c>
      <c r="F562" s="98"/>
      <c r="G562" s="101" t="s">
        <v>1268</v>
      </c>
      <c r="H562" s="101" t="s">
        <v>3197</v>
      </c>
      <c r="I562" s="94" t="s">
        <v>60</v>
      </c>
      <c r="J562" s="94"/>
      <c r="K562" s="94"/>
    </row>
    <row r="563" spans="1:11">
      <c r="A563" s="270" t="s">
        <v>971</v>
      </c>
      <c r="B563" s="94" t="s">
        <v>3233</v>
      </c>
      <c r="C563" s="94" t="s">
        <v>59</v>
      </c>
      <c r="D563" s="94">
        <v>2025</v>
      </c>
      <c r="E563" s="188" t="s">
        <v>3204</v>
      </c>
      <c r="F563" s="98" t="s">
        <v>3280</v>
      </c>
      <c r="G563" s="94" t="s">
        <v>2</v>
      </c>
      <c r="H563" s="101" t="s">
        <v>3203</v>
      </c>
      <c r="I563" s="94" t="s">
        <v>58</v>
      </c>
      <c r="J563" s="94"/>
      <c r="K563" s="94"/>
    </row>
    <row r="564" spans="1:11">
      <c r="A564" s="269" t="s">
        <v>972</v>
      </c>
      <c r="B564" s="94"/>
      <c r="C564" s="94"/>
      <c r="D564" s="94"/>
      <c r="E564" s="188" t="s">
        <v>3208</v>
      </c>
      <c r="F564" s="98" t="s">
        <v>3282</v>
      </c>
      <c r="G564" s="101" t="s">
        <v>1268</v>
      </c>
      <c r="H564" s="101" t="s">
        <v>3207</v>
      </c>
      <c r="I564" s="94" t="s">
        <v>58</v>
      </c>
      <c r="J564" s="94"/>
      <c r="K564" s="94"/>
    </row>
    <row r="565" spans="1:11">
      <c r="A565" s="270" t="s">
        <v>911</v>
      </c>
      <c r="B565" s="201" t="s">
        <v>3230</v>
      </c>
      <c r="C565" s="201" t="s">
        <v>59</v>
      </c>
      <c r="D565" s="201">
        <v>2025</v>
      </c>
      <c r="E565" s="244" t="s">
        <v>3111</v>
      </c>
      <c r="F565" s="219" t="s">
        <v>3252</v>
      </c>
      <c r="G565" s="240" t="s">
        <v>1</v>
      </c>
      <c r="H565" s="240" t="s">
        <v>3110</v>
      </c>
      <c r="I565" s="201" t="s">
        <v>58</v>
      </c>
      <c r="J565" s="94"/>
      <c r="K565" s="94"/>
    </row>
    <row r="566" spans="1:11">
      <c r="A566" s="270" t="s">
        <v>846</v>
      </c>
      <c r="B566" s="201" t="s">
        <v>3246</v>
      </c>
      <c r="C566" s="201" t="s">
        <v>59</v>
      </c>
      <c r="D566" s="201">
        <v>2025</v>
      </c>
      <c r="E566" s="244" t="s">
        <v>1148</v>
      </c>
      <c r="F566" s="201" t="s">
        <v>3270</v>
      </c>
      <c r="G566" s="240" t="s">
        <v>2</v>
      </c>
      <c r="H566" s="240" t="s">
        <v>3162</v>
      </c>
      <c r="I566" s="201" t="s">
        <v>58</v>
      </c>
      <c r="J566" s="94"/>
      <c r="K566" s="94"/>
    </row>
    <row r="567" spans="1:11">
      <c r="A567" s="267" t="s">
        <v>943</v>
      </c>
      <c r="B567" s="201"/>
      <c r="C567" s="201"/>
      <c r="D567" s="201">
        <v>2025</v>
      </c>
      <c r="E567" s="244" t="s">
        <v>3167</v>
      </c>
      <c r="F567" s="201" t="s">
        <v>3272</v>
      </c>
      <c r="G567" s="240" t="s">
        <v>1</v>
      </c>
      <c r="H567" s="240" t="s">
        <v>3166</v>
      </c>
      <c r="I567" s="201" t="s">
        <v>60</v>
      </c>
      <c r="J567" s="94"/>
      <c r="K567" s="94"/>
    </row>
    <row r="568" spans="1:11" ht="30">
      <c r="A568" s="270" t="s">
        <v>803</v>
      </c>
      <c r="B568" s="201" t="s">
        <v>1139</v>
      </c>
      <c r="C568" s="201" t="s">
        <v>59</v>
      </c>
      <c r="D568" s="201">
        <v>2025</v>
      </c>
      <c r="E568" s="244" t="s">
        <v>3290</v>
      </c>
      <c r="F568" s="201" t="s">
        <v>3283</v>
      </c>
      <c r="G568" s="240" t="s">
        <v>3</v>
      </c>
      <c r="H568" s="240" t="s">
        <v>1175</v>
      </c>
      <c r="I568" s="201" t="s">
        <v>58</v>
      </c>
      <c r="J568" s="94"/>
      <c r="K568" s="94"/>
    </row>
    <row r="569" spans="1:11" ht="60">
      <c r="A569" s="273" t="s">
        <v>883</v>
      </c>
      <c r="B569" s="201" t="s">
        <v>2025</v>
      </c>
      <c r="C569" s="201" t="s">
        <v>59</v>
      </c>
      <c r="D569" s="201">
        <v>2025</v>
      </c>
      <c r="E569" s="188" t="s">
        <v>1163</v>
      </c>
      <c r="F569" s="219" t="s">
        <v>3284</v>
      </c>
      <c r="G569" s="240" t="s">
        <v>1268</v>
      </c>
      <c r="H569" s="139" t="s">
        <v>3231</v>
      </c>
      <c r="I569" s="201" t="s">
        <v>58</v>
      </c>
      <c r="J569" s="94"/>
      <c r="K569" s="94"/>
    </row>
    <row r="570" spans="1:11">
      <c r="A570" s="270" t="s">
        <v>803</v>
      </c>
      <c r="B570" s="201"/>
      <c r="C570" s="201"/>
      <c r="D570" s="201"/>
      <c r="E570" s="141" t="s">
        <v>3109</v>
      </c>
      <c r="F570" s="201" t="s">
        <v>3283</v>
      </c>
      <c r="G570" s="240" t="s">
        <v>3</v>
      </c>
      <c r="H570" s="139" t="s">
        <v>3108</v>
      </c>
      <c r="I570" s="201" t="s">
        <v>58</v>
      </c>
      <c r="J570" s="94"/>
      <c r="K570" s="94"/>
    </row>
    <row r="571" spans="1:11">
      <c r="A571" s="270" t="s">
        <v>367</v>
      </c>
      <c r="B571" s="201"/>
      <c r="C571" s="201"/>
      <c r="D571" s="201"/>
      <c r="E571" s="141" t="s">
        <v>3286</v>
      </c>
      <c r="F571" s="201" t="s">
        <v>3305</v>
      </c>
      <c r="G571" s="240" t="s">
        <v>1268</v>
      </c>
      <c r="H571" s="139" t="s">
        <v>3285</v>
      </c>
      <c r="I571" s="201" t="s">
        <v>60</v>
      </c>
      <c r="J571" s="94"/>
      <c r="K571" s="94"/>
    </row>
    <row r="572" spans="1:11" hidden="1">
      <c r="A572" s="234" t="s">
        <v>973</v>
      </c>
      <c r="B572" s="232" t="s">
        <v>2023</v>
      </c>
      <c r="C572" s="135"/>
      <c r="D572" s="135"/>
      <c r="E572" s="135"/>
      <c r="F572" s="136"/>
      <c r="G572" s="135"/>
      <c r="H572" s="135"/>
      <c r="I572" s="135"/>
      <c r="J572" s="94"/>
      <c r="K572" s="94"/>
    </row>
    <row r="573" spans="1:11" ht="45">
      <c r="A573" s="270" t="s">
        <v>551</v>
      </c>
      <c r="B573" s="94"/>
      <c r="C573" s="94"/>
      <c r="D573" s="94"/>
      <c r="E573" s="98" t="s">
        <v>3304</v>
      </c>
      <c r="F573" s="98" t="s">
        <v>3306</v>
      </c>
      <c r="G573" s="240" t="s">
        <v>1268</v>
      </c>
      <c r="H573" s="94" t="s">
        <v>3307</v>
      </c>
      <c r="I573" s="152" t="s">
        <v>58</v>
      </c>
    </row>
    <row r="574" spans="1:11">
      <c r="A574" s="99"/>
      <c r="B574" s="94"/>
      <c r="C574" s="94"/>
      <c r="D574" s="94"/>
      <c r="E574" s="94"/>
      <c r="F574" s="94"/>
      <c r="G574" s="94"/>
      <c r="H574" s="94"/>
      <c r="I574" s="152"/>
    </row>
    <row r="575" spans="1:11">
      <c r="A575" s="99"/>
      <c r="B575" s="94"/>
      <c r="C575" s="94"/>
      <c r="D575" s="94"/>
      <c r="E575" s="94"/>
      <c r="F575" s="94"/>
      <c r="G575" s="94"/>
      <c r="H575" s="94"/>
      <c r="I575" s="152"/>
    </row>
    <row r="576" spans="1:11">
      <c r="A576" s="99"/>
      <c r="B576" s="94"/>
      <c r="C576" s="94"/>
      <c r="D576" s="94"/>
      <c r="E576" s="94"/>
      <c r="F576" s="94"/>
      <c r="G576" s="94"/>
      <c r="H576" s="94"/>
      <c r="I576" s="152"/>
    </row>
    <row r="577" spans="1:9">
      <c r="A577" s="99"/>
      <c r="B577" s="94"/>
      <c r="C577" s="94"/>
      <c r="D577" s="94"/>
      <c r="E577" s="94"/>
      <c r="F577" s="94"/>
      <c r="G577" s="94"/>
      <c r="H577" s="94"/>
      <c r="I577" s="152"/>
    </row>
    <row r="578" spans="1:9">
      <c r="A578" s="99"/>
      <c r="B578" s="94"/>
      <c r="C578" s="94"/>
      <c r="D578" s="94"/>
      <c r="E578" s="94"/>
      <c r="F578" s="94"/>
      <c r="G578" s="94"/>
      <c r="H578" s="94"/>
      <c r="I578" s="152"/>
    </row>
    <row r="579" spans="1:9">
      <c r="A579" s="99"/>
      <c r="B579" s="94"/>
      <c r="C579" s="94"/>
      <c r="D579" s="94"/>
      <c r="E579" s="94"/>
      <c r="F579" s="94"/>
      <c r="G579" s="94"/>
      <c r="H579" s="94"/>
      <c r="I579" s="152"/>
    </row>
    <row r="580" spans="1:9">
      <c r="A580" s="99"/>
      <c r="B580" s="94"/>
      <c r="C580" s="94"/>
      <c r="D580" s="94"/>
      <c r="E580" s="94"/>
      <c r="F580" s="94"/>
      <c r="G580" s="94"/>
      <c r="H580" s="94"/>
      <c r="I580" s="152"/>
    </row>
    <row r="581" spans="1:9">
      <c r="A581" s="99"/>
      <c r="B581" s="94"/>
      <c r="C581" s="94"/>
      <c r="D581" s="94"/>
      <c r="E581" s="94"/>
      <c r="F581" s="94"/>
      <c r="G581" s="94"/>
      <c r="H581" s="94"/>
      <c r="I581" s="152"/>
    </row>
    <row r="582" spans="1:9">
      <c r="A582" s="99"/>
      <c r="B582" s="94"/>
      <c r="C582" s="94"/>
      <c r="D582" s="94"/>
      <c r="E582" s="94"/>
      <c r="F582" s="94"/>
      <c r="G582" s="94"/>
      <c r="H582" s="94"/>
      <c r="I582" s="152"/>
    </row>
    <row r="583" spans="1:9">
      <c r="A583" s="99"/>
      <c r="B583" s="94"/>
      <c r="C583" s="94"/>
      <c r="D583" s="94"/>
      <c r="E583" s="94"/>
      <c r="F583" s="94"/>
      <c r="G583" s="94"/>
      <c r="H583" s="94"/>
      <c r="I583" s="152"/>
    </row>
    <row r="584" spans="1:9">
      <c r="A584" s="99"/>
      <c r="B584" s="94"/>
      <c r="C584" s="94"/>
      <c r="D584" s="94"/>
      <c r="E584" s="94"/>
      <c r="F584" s="94"/>
      <c r="G584" s="94"/>
      <c r="H584" s="94"/>
      <c r="I584" s="152"/>
    </row>
    <row r="585" spans="1:9">
      <c r="A585" s="99"/>
      <c r="B585" s="94"/>
      <c r="C585" s="94"/>
      <c r="D585" s="94"/>
      <c r="E585" s="94"/>
      <c r="F585" s="94"/>
      <c r="G585" s="94"/>
      <c r="H585" s="94"/>
      <c r="I585" s="152"/>
    </row>
    <row r="586" spans="1:9">
      <c r="A586" s="99"/>
      <c r="B586" s="94"/>
      <c r="C586" s="94"/>
      <c r="D586" s="94"/>
      <c r="E586" s="94"/>
      <c r="F586" s="94"/>
      <c r="G586" s="94"/>
      <c r="H586" s="94"/>
      <c r="I586" s="152"/>
    </row>
    <row r="587" spans="1:9">
      <c r="A587" s="99"/>
      <c r="B587" s="94"/>
      <c r="C587" s="94"/>
      <c r="D587" s="94"/>
      <c r="E587" s="94"/>
      <c r="F587" s="94"/>
      <c r="G587" s="94"/>
      <c r="H587" s="94"/>
      <c r="I587" s="152"/>
    </row>
    <row r="588" spans="1:9">
      <c r="A588" s="99"/>
      <c r="B588" s="94"/>
      <c r="C588" s="94"/>
      <c r="D588" s="94"/>
      <c r="E588" s="94"/>
      <c r="F588" s="94"/>
      <c r="G588" s="94"/>
      <c r="H588" s="94"/>
      <c r="I588" s="152"/>
    </row>
    <row r="589" spans="1:9">
      <c r="A589" s="99"/>
      <c r="B589" s="94"/>
      <c r="C589" s="94"/>
      <c r="D589" s="94"/>
      <c r="E589" s="94"/>
      <c r="F589" s="94"/>
      <c r="G589" s="94"/>
      <c r="H589" s="94"/>
      <c r="I589" s="152"/>
    </row>
    <row r="590" spans="1:9">
      <c r="A590" s="99"/>
      <c r="B590" s="94"/>
      <c r="C590" s="94"/>
      <c r="D590" s="94"/>
      <c r="E590" s="94"/>
      <c r="F590" s="94"/>
      <c r="G590" s="94"/>
      <c r="H590" s="94"/>
      <c r="I590" s="152"/>
    </row>
    <row r="591" spans="1:9">
      <c r="A591" s="99"/>
      <c r="B591" s="94"/>
      <c r="C591" s="94"/>
      <c r="D591" s="94"/>
      <c r="E591" s="94"/>
      <c r="F591" s="94"/>
      <c r="G591" s="94"/>
      <c r="H591" s="94"/>
      <c r="I591" s="152"/>
    </row>
    <row r="592" spans="1:9">
      <c r="A592" s="99"/>
      <c r="B592" s="94"/>
      <c r="C592" s="94"/>
      <c r="D592" s="94"/>
      <c r="E592" s="94"/>
      <c r="F592" s="94"/>
      <c r="G592" s="94"/>
      <c r="H592" s="94"/>
      <c r="I592" s="152"/>
    </row>
    <row r="593" spans="1:9">
      <c r="A593" s="99"/>
      <c r="B593" s="94"/>
      <c r="C593" s="94"/>
      <c r="D593" s="94"/>
      <c r="E593" s="94"/>
      <c r="F593" s="94"/>
      <c r="G593" s="94"/>
      <c r="H593" s="94"/>
      <c r="I593" s="152"/>
    </row>
    <row r="594" spans="1:9">
      <c r="A594" s="99"/>
      <c r="B594" s="94"/>
      <c r="C594" s="94"/>
      <c r="D594" s="94"/>
      <c r="E594" s="94"/>
      <c r="F594" s="94"/>
      <c r="G594" s="94"/>
      <c r="H594" s="94"/>
      <c r="I594" s="152"/>
    </row>
    <row r="595" spans="1:9">
      <c r="A595" s="99"/>
      <c r="B595" s="94"/>
      <c r="C595" s="94"/>
      <c r="D595" s="94"/>
      <c r="E595" s="94"/>
      <c r="F595" s="94"/>
      <c r="G595" s="94"/>
      <c r="H595" s="94"/>
      <c r="I595" s="152"/>
    </row>
    <row r="596" spans="1:9">
      <c r="A596" s="99"/>
      <c r="B596" s="94"/>
      <c r="C596" s="94"/>
      <c r="D596" s="94"/>
      <c r="E596" s="94"/>
      <c r="F596" s="94"/>
      <c r="G596" s="94"/>
      <c r="H596" s="94"/>
      <c r="I596" s="152"/>
    </row>
    <row r="597" spans="1:9">
      <c r="A597" s="99"/>
      <c r="B597" s="94"/>
      <c r="C597" s="94"/>
      <c r="D597" s="94"/>
      <c r="E597" s="94"/>
      <c r="F597" s="94"/>
      <c r="G597" s="94"/>
      <c r="H597" s="94"/>
      <c r="I597" s="152"/>
    </row>
    <row r="598" spans="1:9">
      <c r="A598" s="99"/>
      <c r="B598" s="94"/>
      <c r="C598" s="94"/>
      <c r="D598" s="94"/>
      <c r="E598" s="94"/>
      <c r="F598" s="94"/>
      <c r="G598" s="94"/>
      <c r="H598" s="94"/>
      <c r="I598" s="152"/>
    </row>
    <row r="599" spans="1:9">
      <c r="A599" s="99"/>
      <c r="B599" s="94"/>
      <c r="C599" s="94"/>
      <c r="D599" s="94"/>
      <c r="E599" s="94"/>
      <c r="F599" s="94"/>
      <c r="G599" s="94"/>
      <c r="H599" s="94"/>
      <c r="I599" s="152"/>
    </row>
    <row r="600" spans="1:9">
      <c r="A600" s="99"/>
      <c r="B600" s="94"/>
      <c r="C600" s="94"/>
      <c r="D600" s="94"/>
      <c r="E600" s="94"/>
      <c r="F600" s="94"/>
      <c r="G600" s="94"/>
      <c r="H600" s="94"/>
      <c r="I600" s="152"/>
    </row>
    <row r="601" spans="1:9">
      <c r="A601" s="99"/>
      <c r="B601" s="94"/>
      <c r="C601" s="94"/>
      <c r="D601" s="94"/>
      <c r="E601" s="94"/>
      <c r="F601" s="94"/>
      <c r="G601" s="94"/>
      <c r="H601" s="94"/>
      <c r="I601" s="152"/>
    </row>
    <row r="602" spans="1:9">
      <c r="A602" s="99"/>
      <c r="B602" s="94"/>
      <c r="C602" s="94"/>
      <c r="D602" s="94"/>
      <c r="E602" s="94"/>
      <c r="F602" s="94"/>
      <c r="G602" s="94"/>
      <c r="H602" s="94"/>
      <c r="I602" s="152"/>
    </row>
    <row r="603" spans="1:9">
      <c r="A603" s="99"/>
      <c r="B603" s="94"/>
      <c r="C603" s="94"/>
      <c r="D603" s="94"/>
      <c r="E603" s="94"/>
      <c r="F603" s="94"/>
      <c r="G603" s="94"/>
      <c r="H603" s="94"/>
      <c r="I603" s="152"/>
    </row>
    <row r="604" spans="1:9">
      <c r="A604" s="99"/>
      <c r="B604" s="94"/>
      <c r="C604" s="94"/>
      <c r="D604" s="94"/>
      <c r="E604" s="94"/>
      <c r="F604" s="94"/>
      <c r="G604" s="94"/>
      <c r="H604" s="94"/>
      <c r="I604" s="152"/>
    </row>
    <row r="605" spans="1:9">
      <c r="A605" s="99"/>
      <c r="B605" s="94"/>
      <c r="C605" s="94"/>
      <c r="D605" s="94"/>
      <c r="E605" s="94"/>
      <c r="F605" s="94"/>
      <c r="G605" s="94"/>
      <c r="H605" s="94"/>
      <c r="I605" s="152"/>
    </row>
    <row r="606" spans="1:9">
      <c r="A606" s="99"/>
      <c r="B606" s="94"/>
      <c r="C606" s="94"/>
      <c r="D606" s="94"/>
      <c r="E606" s="94"/>
      <c r="F606" s="94"/>
      <c r="G606" s="94"/>
      <c r="H606" s="94"/>
      <c r="I606" s="152"/>
    </row>
    <row r="607" spans="1:9">
      <c r="A607" s="99"/>
      <c r="B607" s="94"/>
      <c r="C607" s="94"/>
      <c r="D607" s="94"/>
      <c r="E607" s="94"/>
      <c r="F607" s="94"/>
      <c r="G607" s="94"/>
      <c r="H607" s="94"/>
      <c r="I607" s="152"/>
    </row>
    <row r="608" spans="1:9">
      <c r="A608" s="99"/>
      <c r="B608" s="94"/>
      <c r="C608" s="94"/>
      <c r="D608" s="94"/>
      <c r="E608" s="94"/>
      <c r="F608" s="94"/>
      <c r="G608" s="94"/>
      <c r="H608" s="94"/>
      <c r="I608" s="152"/>
    </row>
    <row r="609" spans="1:9">
      <c r="A609" s="99"/>
      <c r="B609" s="94"/>
      <c r="C609" s="94"/>
      <c r="D609" s="94"/>
      <c r="E609" s="94"/>
      <c r="F609" s="94"/>
      <c r="G609" s="94"/>
      <c r="H609" s="94"/>
      <c r="I609" s="152"/>
    </row>
    <row r="610" spans="1:9">
      <c r="A610" s="99"/>
      <c r="B610" s="94"/>
      <c r="C610" s="94"/>
      <c r="D610" s="94"/>
      <c r="E610" s="94"/>
      <c r="F610" s="94"/>
      <c r="G610" s="94"/>
      <c r="H610" s="94"/>
      <c r="I610" s="152"/>
    </row>
    <row r="611" spans="1:9">
      <c r="A611" s="99"/>
      <c r="B611" s="94"/>
      <c r="C611" s="94"/>
      <c r="D611" s="94"/>
      <c r="E611" s="94"/>
      <c r="F611" s="94"/>
      <c r="G611" s="94"/>
      <c r="H611" s="94"/>
      <c r="I611" s="152"/>
    </row>
    <row r="612" spans="1:9">
      <c r="A612" s="99"/>
      <c r="B612" s="94"/>
      <c r="C612" s="94"/>
      <c r="D612" s="94"/>
      <c r="E612" s="94"/>
      <c r="F612" s="94"/>
      <c r="G612" s="94"/>
      <c r="H612" s="94"/>
      <c r="I612" s="152"/>
    </row>
    <row r="613" spans="1:9">
      <c r="A613" s="99"/>
      <c r="B613" s="94"/>
      <c r="C613" s="94"/>
      <c r="D613" s="94"/>
      <c r="E613" s="94"/>
      <c r="F613" s="94"/>
      <c r="G613" s="94"/>
      <c r="H613" s="94"/>
      <c r="I613" s="152"/>
    </row>
    <row r="614" spans="1:9">
      <c r="A614" s="99"/>
      <c r="B614" s="94"/>
      <c r="C614" s="94"/>
      <c r="D614" s="94"/>
      <c r="E614" s="94"/>
      <c r="F614" s="94"/>
      <c r="G614" s="94"/>
      <c r="H614" s="94"/>
      <c r="I614" s="152"/>
    </row>
    <row r="615" spans="1:9">
      <c r="A615" s="99"/>
      <c r="B615" s="94"/>
      <c r="C615" s="94"/>
      <c r="D615" s="94"/>
      <c r="E615" s="94"/>
      <c r="F615" s="94"/>
      <c r="G615" s="94"/>
      <c r="H615" s="94"/>
      <c r="I615" s="152"/>
    </row>
    <row r="616" spans="1:9">
      <c r="A616" s="99"/>
      <c r="B616" s="94"/>
      <c r="C616" s="94"/>
      <c r="D616" s="94"/>
      <c r="E616" s="94"/>
      <c r="F616" s="94"/>
      <c r="G616" s="94"/>
      <c r="H616" s="94"/>
      <c r="I616" s="152"/>
    </row>
    <row r="617" spans="1:9">
      <c r="A617" s="99"/>
      <c r="B617" s="94"/>
      <c r="C617" s="94"/>
      <c r="D617" s="94"/>
      <c r="E617" s="94"/>
      <c r="F617" s="94"/>
      <c r="G617" s="94"/>
      <c r="H617" s="94"/>
      <c r="I617" s="152"/>
    </row>
    <row r="618" spans="1:9">
      <c r="A618" s="99"/>
      <c r="B618" s="94"/>
      <c r="C618" s="94"/>
      <c r="D618" s="94"/>
      <c r="E618" s="94"/>
      <c r="F618" s="94"/>
      <c r="G618" s="94"/>
      <c r="H618" s="94"/>
      <c r="I618" s="152"/>
    </row>
    <row r="619" spans="1:9">
      <c r="A619" s="99"/>
      <c r="B619" s="94"/>
      <c r="C619" s="94"/>
      <c r="D619" s="94"/>
      <c r="E619" s="94"/>
      <c r="F619" s="94"/>
      <c r="G619" s="94"/>
      <c r="H619" s="94"/>
      <c r="I619" s="152"/>
    </row>
    <row r="620" spans="1:9">
      <c r="A620" s="99"/>
      <c r="B620" s="94"/>
      <c r="C620" s="94"/>
      <c r="D620" s="94"/>
      <c r="E620" s="94"/>
      <c r="F620" s="94"/>
      <c r="G620" s="94"/>
      <c r="H620" s="94"/>
      <c r="I620" s="152"/>
    </row>
    <row r="621" spans="1:9">
      <c r="A621" s="99"/>
      <c r="B621" s="94"/>
      <c r="C621" s="94"/>
      <c r="D621" s="94"/>
      <c r="E621" s="94"/>
      <c r="F621" s="94"/>
      <c r="G621" s="94"/>
      <c r="H621" s="94"/>
      <c r="I621" s="152"/>
    </row>
    <row r="622" spans="1:9">
      <c r="A622" s="99"/>
      <c r="B622" s="94"/>
      <c r="C622" s="94"/>
      <c r="D622" s="94"/>
      <c r="E622" s="94"/>
      <c r="F622" s="94"/>
      <c r="G622" s="94"/>
      <c r="H622" s="94"/>
      <c r="I622" s="152"/>
    </row>
    <row r="623" spans="1:9">
      <c r="A623" s="99"/>
      <c r="B623" s="94"/>
      <c r="C623" s="94"/>
      <c r="D623" s="94"/>
      <c r="E623" s="94"/>
      <c r="F623" s="94"/>
      <c r="G623" s="94"/>
      <c r="H623" s="94"/>
      <c r="I623" s="152"/>
    </row>
    <row r="624" spans="1:9">
      <c r="A624" s="99"/>
      <c r="B624" s="94"/>
      <c r="C624" s="94"/>
      <c r="D624" s="94"/>
      <c r="E624" s="94"/>
      <c r="F624" s="94"/>
      <c r="G624" s="94"/>
      <c r="H624" s="94"/>
      <c r="I624" s="152"/>
    </row>
    <row r="625" spans="1:9">
      <c r="A625" s="99"/>
      <c r="B625" s="94"/>
      <c r="C625" s="94"/>
      <c r="D625" s="94"/>
      <c r="E625" s="94"/>
      <c r="F625" s="94"/>
      <c r="G625" s="94"/>
      <c r="H625" s="94"/>
      <c r="I625" s="152"/>
    </row>
    <row r="626" spans="1:9">
      <c r="A626" s="99"/>
      <c r="B626" s="94"/>
      <c r="C626" s="94"/>
      <c r="D626" s="94"/>
      <c r="E626" s="94"/>
      <c r="F626" s="94"/>
      <c r="G626" s="94"/>
      <c r="H626" s="94"/>
      <c r="I626" s="152"/>
    </row>
    <row r="627" spans="1:9">
      <c r="A627" s="99"/>
      <c r="B627" s="94"/>
      <c r="C627" s="94"/>
      <c r="D627" s="94"/>
      <c r="E627" s="94"/>
      <c r="F627" s="94"/>
      <c r="G627" s="94"/>
      <c r="H627" s="94"/>
      <c r="I627" s="152"/>
    </row>
    <row r="628" spans="1:9">
      <c r="A628" s="99"/>
      <c r="B628" s="94"/>
      <c r="C628" s="94"/>
      <c r="D628" s="94"/>
      <c r="E628" s="94"/>
      <c r="F628" s="94"/>
      <c r="G628" s="94"/>
      <c r="H628" s="94"/>
      <c r="I628" s="152"/>
    </row>
    <row r="629" spans="1:9">
      <c r="A629" s="99"/>
      <c r="B629" s="94"/>
      <c r="C629" s="94"/>
      <c r="D629" s="94"/>
      <c r="E629" s="94"/>
      <c r="F629" s="94"/>
      <c r="G629" s="94"/>
      <c r="H629" s="94"/>
      <c r="I629" s="152"/>
    </row>
    <row r="630" spans="1:9">
      <c r="A630" s="99"/>
      <c r="B630" s="94"/>
      <c r="C630" s="94"/>
      <c r="D630" s="94"/>
      <c r="E630" s="94"/>
      <c r="F630" s="94"/>
      <c r="G630" s="94"/>
      <c r="H630" s="94"/>
      <c r="I630" s="152"/>
    </row>
    <row r="631" spans="1:9">
      <c r="A631" s="99"/>
      <c r="B631" s="94"/>
      <c r="C631" s="94"/>
      <c r="D631" s="94"/>
      <c r="E631" s="94"/>
      <c r="F631" s="94"/>
      <c r="G631" s="94"/>
      <c r="H631" s="94"/>
      <c r="I631" s="152"/>
    </row>
    <row r="632" spans="1:9">
      <c r="A632" s="99"/>
      <c r="B632" s="94"/>
      <c r="C632" s="94"/>
      <c r="D632" s="94"/>
      <c r="E632" s="94"/>
      <c r="F632" s="94"/>
      <c r="G632" s="94"/>
      <c r="H632" s="94"/>
      <c r="I632" s="152"/>
    </row>
    <row r="633" spans="1:9">
      <c r="A633" s="99"/>
      <c r="B633" s="94"/>
      <c r="C633" s="94"/>
      <c r="D633" s="94"/>
      <c r="E633" s="94"/>
      <c r="F633" s="94"/>
      <c r="G633" s="94"/>
      <c r="H633" s="94"/>
      <c r="I633" s="152"/>
    </row>
    <row r="634" spans="1:9">
      <c r="A634" s="99"/>
      <c r="B634" s="94"/>
      <c r="C634" s="94"/>
      <c r="D634" s="94"/>
      <c r="E634" s="94"/>
      <c r="F634" s="94"/>
      <c r="G634" s="94"/>
      <c r="H634" s="94"/>
      <c r="I634" s="152"/>
    </row>
    <row r="635" spans="1:9">
      <c r="A635" s="99"/>
      <c r="B635" s="94"/>
      <c r="C635" s="94"/>
      <c r="D635" s="94"/>
      <c r="E635" s="94"/>
      <c r="F635" s="94"/>
      <c r="G635" s="94"/>
      <c r="H635" s="94"/>
      <c r="I635" s="152"/>
    </row>
    <row r="636" spans="1:9">
      <c r="A636" s="99"/>
      <c r="B636" s="94"/>
      <c r="C636" s="94"/>
      <c r="D636" s="94"/>
      <c r="E636" s="94"/>
      <c r="F636" s="94"/>
      <c r="G636" s="94"/>
      <c r="H636" s="94"/>
      <c r="I636" s="152"/>
    </row>
    <row r="637" spans="1:9">
      <c r="A637" s="99"/>
      <c r="B637" s="94"/>
      <c r="C637" s="94"/>
      <c r="D637" s="94"/>
      <c r="E637" s="94"/>
      <c r="F637" s="94"/>
      <c r="G637" s="94"/>
      <c r="H637" s="94"/>
      <c r="I637" s="152"/>
    </row>
    <row r="638" spans="1:9">
      <c r="A638" s="99"/>
      <c r="B638" s="94"/>
      <c r="C638" s="94"/>
      <c r="D638" s="94"/>
      <c r="E638" s="94"/>
      <c r="F638" s="94"/>
      <c r="G638" s="94"/>
      <c r="H638" s="94"/>
      <c r="I638" s="152"/>
    </row>
    <row r="639" spans="1:9">
      <c r="A639" s="99"/>
      <c r="B639" s="94"/>
      <c r="C639" s="94"/>
      <c r="D639" s="94"/>
      <c r="E639" s="94"/>
      <c r="F639" s="94"/>
      <c r="G639" s="94"/>
      <c r="H639" s="94"/>
      <c r="I639" s="152"/>
    </row>
    <row r="640" spans="1:9">
      <c r="A640" s="99"/>
      <c r="B640" s="94"/>
      <c r="C640" s="94"/>
      <c r="D640" s="94"/>
      <c r="E640" s="94"/>
      <c r="F640" s="94"/>
      <c r="G640" s="94"/>
      <c r="H640" s="94"/>
      <c r="I640" s="152"/>
    </row>
    <row r="641" spans="1:9">
      <c r="A641" s="99"/>
      <c r="B641" s="94"/>
      <c r="C641" s="94"/>
      <c r="D641" s="94"/>
      <c r="E641" s="94"/>
      <c r="F641" s="94"/>
      <c r="G641" s="94"/>
      <c r="H641" s="94"/>
      <c r="I641" s="152"/>
    </row>
    <row r="642" spans="1:9">
      <c r="A642" s="99"/>
      <c r="B642" s="94"/>
      <c r="C642" s="94"/>
      <c r="D642" s="94"/>
      <c r="E642" s="94"/>
      <c r="F642" s="94"/>
      <c r="G642" s="94"/>
      <c r="H642" s="94"/>
      <c r="I642" s="152"/>
    </row>
    <row r="643" spans="1:9">
      <c r="A643" s="99"/>
      <c r="B643" s="94"/>
      <c r="C643" s="94"/>
      <c r="D643" s="94"/>
      <c r="E643" s="94"/>
      <c r="F643" s="94"/>
      <c r="G643" s="94"/>
      <c r="H643" s="94"/>
      <c r="I643" s="152"/>
    </row>
    <row r="644" spans="1:9">
      <c r="A644" s="99"/>
      <c r="B644" s="94"/>
      <c r="C644" s="94"/>
      <c r="D644" s="94"/>
      <c r="E644" s="94"/>
      <c r="F644" s="94"/>
      <c r="G644" s="94"/>
      <c r="H644" s="94"/>
      <c r="I644" s="152"/>
    </row>
    <row r="645" spans="1:9">
      <c r="A645" s="99"/>
      <c r="B645" s="94"/>
      <c r="C645" s="94"/>
      <c r="D645" s="94"/>
      <c r="E645" s="94"/>
      <c r="F645" s="94"/>
      <c r="G645" s="94"/>
      <c r="H645" s="94"/>
      <c r="I645" s="152"/>
    </row>
    <row r="646" spans="1:9">
      <c r="A646" s="99"/>
      <c r="B646" s="94"/>
      <c r="C646" s="94"/>
      <c r="D646" s="94"/>
      <c r="E646" s="94"/>
      <c r="F646" s="94"/>
      <c r="G646" s="94"/>
      <c r="H646" s="94"/>
      <c r="I646" s="152"/>
    </row>
    <row r="647" spans="1:9">
      <c r="A647" s="99"/>
      <c r="B647" s="94"/>
      <c r="C647" s="94"/>
      <c r="D647" s="94"/>
      <c r="E647" s="94"/>
      <c r="F647" s="94"/>
      <c r="G647" s="94"/>
      <c r="H647" s="94"/>
      <c r="I647" s="152"/>
    </row>
    <row r="648" spans="1:9">
      <c r="A648" s="99"/>
      <c r="B648" s="94"/>
      <c r="C648" s="94"/>
      <c r="D648" s="94"/>
      <c r="E648" s="94"/>
      <c r="F648" s="94"/>
      <c r="G648" s="94"/>
      <c r="H648" s="94"/>
      <c r="I648" s="152"/>
    </row>
    <row r="649" spans="1:9">
      <c r="A649" s="99"/>
      <c r="B649" s="94"/>
      <c r="C649" s="94"/>
      <c r="D649" s="94"/>
      <c r="E649" s="94"/>
      <c r="F649" s="94"/>
      <c r="G649" s="94"/>
      <c r="H649" s="94"/>
      <c r="I649" s="152"/>
    </row>
    <row r="650" spans="1:9">
      <c r="A650" s="99"/>
      <c r="B650" s="94"/>
      <c r="C650" s="94"/>
      <c r="D650" s="94"/>
      <c r="E650" s="94"/>
      <c r="F650" s="94"/>
      <c r="G650" s="94"/>
      <c r="H650" s="94"/>
      <c r="I650" s="152"/>
    </row>
    <row r="651" spans="1:9">
      <c r="A651" s="99"/>
      <c r="B651" s="94"/>
      <c r="C651" s="94"/>
      <c r="D651" s="94"/>
      <c r="E651" s="94"/>
      <c r="F651" s="94"/>
      <c r="G651" s="94"/>
      <c r="H651" s="94"/>
      <c r="I651" s="152"/>
    </row>
    <row r="652" spans="1:9">
      <c r="A652" s="99"/>
      <c r="B652" s="94"/>
      <c r="C652" s="94"/>
      <c r="D652" s="94"/>
      <c r="E652" s="94"/>
      <c r="F652" s="94"/>
      <c r="G652" s="94"/>
      <c r="H652" s="94"/>
      <c r="I652" s="152"/>
    </row>
    <row r="653" spans="1:9">
      <c r="A653" s="99"/>
      <c r="B653" s="94"/>
      <c r="C653" s="94"/>
      <c r="D653" s="94"/>
      <c r="E653" s="94"/>
      <c r="F653" s="94"/>
      <c r="G653" s="94"/>
      <c r="H653" s="94"/>
      <c r="I653" s="152"/>
    </row>
    <row r="654" spans="1:9">
      <c r="A654" s="99"/>
      <c r="B654" s="94"/>
      <c r="C654" s="94"/>
      <c r="D654" s="94"/>
      <c r="E654" s="94"/>
      <c r="F654" s="94"/>
      <c r="G654" s="94"/>
      <c r="H654" s="94"/>
      <c r="I654" s="152"/>
    </row>
    <row r="655" spans="1:9">
      <c r="A655" s="99"/>
      <c r="B655" s="94"/>
      <c r="C655" s="94"/>
      <c r="D655" s="94"/>
      <c r="E655" s="94"/>
      <c r="F655" s="94"/>
      <c r="G655" s="94"/>
      <c r="H655" s="94"/>
      <c r="I655" s="152"/>
    </row>
    <row r="656" spans="1:9">
      <c r="A656" s="99"/>
      <c r="B656" s="94"/>
      <c r="C656" s="94"/>
      <c r="D656" s="94"/>
      <c r="E656" s="94"/>
      <c r="F656" s="94"/>
      <c r="G656" s="94"/>
      <c r="H656" s="94"/>
      <c r="I656" s="152"/>
    </row>
    <row r="657" spans="1:9">
      <c r="A657" s="99"/>
      <c r="B657" s="94"/>
      <c r="C657" s="94"/>
      <c r="D657" s="94"/>
      <c r="E657" s="94"/>
      <c r="F657" s="94"/>
      <c r="G657" s="94"/>
      <c r="H657" s="94"/>
      <c r="I657" s="152"/>
    </row>
    <row r="658" spans="1:9">
      <c r="A658" s="99"/>
      <c r="B658" s="94"/>
      <c r="C658" s="94"/>
      <c r="D658" s="94"/>
      <c r="E658" s="94"/>
      <c r="F658" s="94"/>
      <c r="G658" s="94"/>
      <c r="H658" s="94"/>
      <c r="I658" s="152"/>
    </row>
    <row r="659" spans="1:9">
      <c r="A659" s="99"/>
      <c r="B659" s="94"/>
      <c r="C659" s="94"/>
      <c r="D659" s="94"/>
      <c r="E659" s="94"/>
      <c r="F659" s="94"/>
      <c r="G659" s="94"/>
      <c r="H659" s="94"/>
      <c r="I659" s="152"/>
    </row>
    <row r="660" spans="1:9">
      <c r="A660" s="99"/>
      <c r="B660" s="94"/>
      <c r="C660" s="94"/>
      <c r="D660" s="94"/>
      <c r="E660" s="94"/>
      <c r="F660" s="94"/>
      <c r="G660" s="94"/>
      <c r="H660" s="94"/>
      <c r="I660" s="152"/>
    </row>
    <row r="661" spans="1:9">
      <c r="A661" s="99"/>
      <c r="B661" s="94"/>
      <c r="C661" s="94"/>
      <c r="D661" s="94"/>
      <c r="E661" s="94"/>
      <c r="F661" s="94"/>
      <c r="G661" s="94"/>
      <c r="H661" s="94"/>
      <c r="I661" s="152"/>
    </row>
    <row r="662" spans="1:9">
      <c r="A662" s="99"/>
      <c r="B662" s="94"/>
      <c r="C662" s="94"/>
      <c r="D662" s="94"/>
      <c r="E662" s="94"/>
      <c r="F662" s="94"/>
      <c r="G662" s="94"/>
      <c r="H662" s="94"/>
      <c r="I662" s="152"/>
    </row>
    <row r="663" spans="1:9">
      <c r="A663" s="99"/>
      <c r="B663" s="94"/>
      <c r="C663" s="94"/>
      <c r="D663" s="94"/>
      <c r="E663" s="94"/>
      <c r="F663" s="94"/>
      <c r="G663" s="94"/>
      <c r="H663" s="94"/>
      <c r="I663" s="152"/>
    </row>
    <row r="664" spans="1:9">
      <c r="A664" s="99"/>
      <c r="B664" s="94"/>
      <c r="C664" s="94"/>
      <c r="D664" s="94"/>
      <c r="E664" s="94"/>
      <c r="F664" s="94"/>
      <c r="G664" s="94"/>
      <c r="H664" s="94"/>
      <c r="I664" s="152"/>
    </row>
    <row r="665" spans="1:9">
      <c r="A665" s="99"/>
      <c r="B665" s="94"/>
      <c r="C665" s="94"/>
      <c r="D665" s="94"/>
      <c r="E665" s="94"/>
      <c r="F665" s="94"/>
      <c r="G665" s="94"/>
      <c r="H665" s="94"/>
      <c r="I665" s="152"/>
    </row>
    <row r="666" spans="1:9">
      <c r="A666" s="99"/>
      <c r="B666" s="94"/>
      <c r="C666" s="94"/>
      <c r="D666" s="94"/>
      <c r="E666" s="94"/>
      <c r="F666" s="94"/>
      <c r="G666" s="94"/>
      <c r="H666" s="94"/>
      <c r="I666" s="152"/>
    </row>
    <row r="667" spans="1:9">
      <c r="A667" s="99"/>
      <c r="B667" s="94"/>
      <c r="C667" s="94"/>
      <c r="D667" s="94"/>
      <c r="E667" s="94"/>
      <c r="F667" s="94"/>
      <c r="G667" s="94"/>
      <c r="H667" s="94"/>
      <c r="I667" s="152"/>
    </row>
    <row r="668" spans="1:9">
      <c r="A668" s="99"/>
      <c r="B668" s="94"/>
      <c r="C668" s="94"/>
      <c r="D668" s="94"/>
      <c r="E668" s="94"/>
      <c r="F668" s="94"/>
      <c r="G668" s="94"/>
      <c r="H668" s="94"/>
      <c r="I668" s="152"/>
    </row>
    <row r="669" spans="1:9">
      <c r="A669" s="99"/>
      <c r="B669" s="94"/>
      <c r="C669" s="94"/>
      <c r="D669" s="94"/>
      <c r="E669" s="94"/>
      <c r="F669" s="94"/>
      <c r="G669" s="94"/>
      <c r="H669" s="94"/>
      <c r="I669" s="152"/>
    </row>
    <row r="670" spans="1:9">
      <c r="A670" s="99"/>
      <c r="B670" s="94"/>
      <c r="C670" s="94"/>
      <c r="D670" s="94"/>
      <c r="E670" s="94"/>
      <c r="F670" s="94"/>
      <c r="G670" s="94"/>
      <c r="H670" s="94"/>
      <c r="I670" s="152"/>
    </row>
    <row r="671" spans="1:9">
      <c r="A671" s="99"/>
      <c r="B671" s="94"/>
      <c r="C671" s="94"/>
      <c r="D671" s="94"/>
      <c r="E671" s="94"/>
      <c r="F671" s="94"/>
      <c r="G671" s="94"/>
      <c r="H671" s="94"/>
      <c r="I671" s="152"/>
    </row>
    <row r="672" spans="1:9">
      <c r="A672" s="99"/>
      <c r="B672" s="94"/>
      <c r="C672" s="94"/>
      <c r="D672" s="94"/>
      <c r="E672" s="94"/>
      <c r="F672" s="94"/>
      <c r="G672" s="94"/>
      <c r="H672" s="94"/>
      <c r="I672" s="152"/>
    </row>
    <row r="673" spans="1:9">
      <c r="A673" s="99"/>
      <c r="B673" s="94"/>
      <c r="C673" s="94"/>
      <c r="D673" s="94"/>
      <c r="E673" s="94"/>
      <c r="F673" s="94"/>
      <c r="G673" s="94"/>
      <c r="H673" s="94"/>
      <c r="I673" s="152"/>
    </row>
    <row r="674" spans="1:9">
      <c r="A674" s="99"/>
      <c r="B674" s="94"/>
      <c r="C674" s="94"/>
      <c r="D674" s="94"/>
      <c r="E674" s="94"/>
      <c r="F674" s="94"/>
      <c r="G674" s="94"/>
      <c r="H674" s="94"/>
      <c r="I674" s="152"/>
    </row>
    <row r="675" spans="1:9">
      <c r="A675" s="99"/>
      <c r="B675" s="94"/>
      <c r="C675" s="94"/>
      <c r="D675" s="94"/>
      <c r="E675" s="94"/>
      <c r="F675" s="94"/>
      <c r="G675" s="94"/>
      <c r="H675" s="94"/>
      <c r="I675" s="152"/>
    </row>
    <row r="676" spans="1:9">
      <c r="A676" s="99"/>
      <c r="B676" s="94"/>
      <c r="C676" s="94"/>
      <c r="D676" s="94"/>
      <c r="E676" s="94"/>
      <c r="F676" s="94"/>
      <c r="G676" s="94"/>
      <c r="H676" s="94"/>
      <c r="I676" s="152"/>
    </row>
    <row r="677" spans="1:9">
      <c r="A677" s="99"/>
      <c r="B677" s="94"/>
      <c r="C677" s="94"/>
      <c r="D677" s="94"/>
      <c r="E677" s="94"/>
      <c r="F677" s="94"/>
      <c r="G677" s="94"/>
      <c r="H677" s="94"/>
      <c r="I677" s="152"/>
    </row>
    <row r="678" spans="1:9">
      <c r="A678" s="99"/>
      <c r="B678" s="94"/>
      <c r="C678" s="94"/>
      <c r="D678" s="94"/>
      <c r="E678" s="94"/>
      <c r="F678" s="94"/>
      <c r="G678" s="94"/>
      <c r="H678" s="94"/>
      <c r="I678" s="152"/>
    </row>
    <row r="679" spans="1:9">
      <c r="A679" s="99"/>
      <c r="B679" s="94"/>
      <c r="C679" s="94"/>
      <c r="D679" s="94"/>
      <c r="E679" s="94"/>
      <c r="F679" s="94"/>
      <c r="G679" s="94"/>
      <c r="H679" s="94"/>
      <c r="I679" s="152"/>
    </row>
    <row r="680" spans="1:9">
      <c r="A680" s="99"/>
      <c r="B680" s="94"/>
      <c r="C680" s="94"/>
      <c r="D680" s="94"/>
      <c r="E680" s="94"/>
      <c r="F680" s="94"/>
      <c r="G680" s="94"/>
      <c r="H680" s="94"/>
      <c r="I680" s="152"/>
    </row>
    <row r="681" spans="1:9">
      <c r="A681" s="99"/>
      <c r="B681" s="94"/>
      <c r="C681" s="94"/>
      <c r="D681" s="94"/>
      <c r="E681" s="94"/>
      <c r="F681" s="94"/>
      <c r="G681" s="94"/>
      <c r="H681" s="94"/>
      <c r="I681" s="152"/>
    </row>
    <row r="682" spans="1:9">
      <c r="A682" s="99"/>
      <c r="B682" s="94"/>
      <c r="C682" s="94"/>
      <c r="D682" s="94"/>
      <c r="E682" s="94"/>
      <c r="F682" s="94"/>
      <c r="G682" s="94"/>
      <c r="H682" s="94"/>
      <c r="I682" s="152"/>
    </row>
    <row r="683" spans="1:9">
      <c r="A683" s="99"/>
      <c r="B683" s="94"/>
      <c r="C683" s="94"/>
      <c r="D683" s="94"/>
      <c r="E683" s="94"/>
      <c r="F683" s="94"/>
      <c r="G683" s="94"/>
      <c r="H683" s="94"/>
      <c r="I683" s="152"/>
    </row>
    <row r="684" spans="1:9">
      <c r="A684" s="99"/>
      <c r="B684" s="94"/>
      <c r="C684" s="94"/>
      <c r="D684" s="94"/>
      <c r="E684" s="94"/>
      <c r="F684" s="94"/>
      <c r="G684" s="94"/>
      <c r="H684" s="94"/>
      <c r="I684" s="152"/>
    </row>
    <row r="685" spans="1:9">
      <c r="A685" s="99"/>
      <c r="B685" s="94"/>
      <c r="C685" s="94"/>
      <c r="D685" s="94"/>
      <c r="E685" s="94"/>
      <c r="F685" s="94"/>
      <c r="G685" s="94"/>
      <c r="H685" s="94"/>
      <c r="I685" s="152"/>
    </row>
    <row r="686" spans="1:9">
      <c r="A686" s="99"/>
      <c r="B686" s="94"/>
      <c r="C686" s="94"/>
      <c r="D686" s="94"/>
      <c r="E686" s="94"/>
      <c r="F686" s="94"/>
      <c r="G686" s="94"/>
      <c r="H686" s="94"/>
      <c r="I686" s="152"/>
    </row>
    <row r="687" spans="1:9">
      <c r="A687" s="99"/>
      <c r="B687" s="94"/>
      <c r="C687" s="94"/>
      <c r="D687" s="94"/>
      <c r="E687" s="94"/>
      <c r="F687" s="94"/>
      <c r="G687" s="94"/>
      <c r="H687" s="94"/>
      <c r="I687" s="152"/>
    </row>
    <row r="688" spans="1:9">
      <c r="A688" s="99"/>
      <c r="B688" s="94"/>
      <c r="C688" s="94"/>
      <c r="D688" s="94"/>
      <c r="E688" s="94"/>
      <c r="F688" s="94"/>
      <c r="G688" s="94"/>
      <c r="H688" s="94"/>
      <c r="I688" s="152"/>
    </row>
    <row r="689" spans="1:9">
      <c r="A689" s="99"/>
      <c r="B689" s="94"/>
      <c r="C689" s="94"/>
      <c r="D689" s="94"/>
      <c r="E689" s="94"/>
      <c r="F689" s="94"/>
      <c r="G689" s="94"/>
      <c r="H689" s="94"/>
      <c r="I689" s="152"/>
    </row>
    <row r="690" spans="1:9">
      <c r="A690" s="99"/>
      <c r="B690" s="94"/>
      <c r="C690" s="94"/>
      <c r="D690" s="94"/>
      <c r="E690" s="94"/>
      <c r="F690" s="94"/>
      <c r="G690" s="94"/>
      <c r="H690" s="94"/>
      <c r="I690" s="152"/>
    </row>
    <row r="691" spans="1:9">
      <c r="A691" s="99"/>
      <c r="B691" s="94"/>
      <c r="C691" s="94"/>
      <c r="D691" s="94"/>
      <c r="E691" s="94"/>
      <c r="F691" s="94"/>
      <c r="G691" s="94"/>
      <c r="H691" s="94"/>
      <c r="I691" s="152"/>
    </row>
    <row r="692" spans="1:9">
      <c r="A692" s="99"/>
      <c r="B692" s="94"/>
      <c r="C692" s="94"/>
      <c r="D692" s="94"/>
      <c r="E692" s="94"/>
      <c r="F692" s="94"/>
      <c r="G692" s="94"/>
      <c r="H692" s="94"/>
      <c r="I692" s="152"/>
    </row>
    <row r="693" spans="1:9">
      <c r="A693" s="99"/>
      <c r="B693" s="94"/>
      <c r="C693" s="94"/>
      <c r="D693" s="94"/>
      <c r="E693" s="94"/>
      <c r="F693" s="94"/>
      <c r="G693" s="94"/>
      <c r="H693" s="94"/>
      <c r="I693" s="152"/>
    </row>
    <row r="694" spans="1:9">
      <c r="A694" s="99"/>
      <c r="B694" s="94"/>
      <c r="C694" s="94"/>
      <c r="D694" s="94"/>
      <c r="E694" s="94"/>
      <c r="F694" s="94"/>
      <c r="G694" s="94"/>
      <c r="H694" s="94"/>
      <c r="I694" s="152"/>
    </row>
    <row r="695" spans="1:9">
      <c r="A695" s="99"/>
      <c r="B695" s="94"/>
      <c r="C695" s="94"/>
      <c r="D695" s="94"/>
      <c r="E695" s="94"/>
      <c r="F695" s="94"/>
      <c r="G695" s="94"/>
      <c r="H695" s="94"/>
      <c r="I695" s="152"/>
    </row>
    <row r="696" spans="1:9">
      <c r="A696" s="99"/>
      <c r="B696" s="94"/>
      <c r="C696" s="94"/>
      <c r="D696" s="94"/>
      <c r="E696" s="94"/>
      <c r="F696" s="94"/>
      <c r="G696" s="94"/>
      <c r="H696" s="94"/>
      <c r="I696" s="152"/>
    </row>
    <row r="697" spans="1:9">
      <c r="A697" s="99"/>
      <c r="B697" s="94"/>
      <c r="C697" s="94"/>
      <c r="D697" s="94"/>
      <c r="E697" s="94"/>
      <c r="F697" s="94"/>
      <c r="G697" s="94"/>
      <c r="H697" s="94"/>
      <c r="I697" s="152"/>
    </row>
    <row r="698" spans="1:9">
      <c r="A698" s="99"/>
      <c r="B698" s="94"/>
      <c r="C698" s="94"/>
      <c r="D698" s="94"/>
      <c r="E698" s="94"/>
      <c r="F698" s="94"/>
      <c r="G698" s="94"/>
      <c r="H698" s="94"/>
      <c r="I698" s="152"/>
    </row>
    <row r="699" spans="1:9">
      <c r="A699" s="99"/>
      <c r="B699" s="94"/>
      <c r="C699" s="94"/>
      <c r="D699" s="94"/>
      <c r="E699" s="94"/>
      <c r="F699" s="94"/>
      <c r="G699" s="94"/>
      <c r="H699" s="94"/>
      <c r="I699" s="152"/>
    </row>
    <row r="700" spans="1:9">
      <c r="A700" s="99"/>
      <c r="B700" s="94"/>
      <c r="C700" s="94"/>
      <c r="D700" s="94"/>
      <c r="E700" s="94"/>
      <c r="F700" s="94"/>
      <c r="G700" s="94"/>
      <c r="H700" s="94"/>
      <c r="I700" s="152"/>
    </row>
    <row r="701" spans="1:9">
      <c r="A701" s="99"/>
      <c r="B701" s="94"/>
      <c r="C701" s="94"/>
      <c r="D701" s="94"/>
      <c r="E701" s="94"/>
      <c r="F701" s="94"/>
      <c r="G701" s="94"/>
      <c r="H701" s="94"/>
      <c r="I701" s="152"/>
    </row>
    <row r="702" spans="1:9">
      <c r="A702" s="99"/>
      <c r="B702" s="94"/>
      <c r="C702" s="94"/>
      <c r="D702" s="94"/>
      <c r="E702" s="94"/>
      <c r="F702" s="94"/>
      <c r="G702" s="94"/>
      <c r="H702" s="94"/>
      <c r="I702" s="152"/>
    </row>
    <row r="703" spans="1:9">
      <c r="A703" s="99"/>
      <c r="B703" s="94"/>
      <c r="C703" s="94"/>
      <c r="D703" s="94"/>
      <c r="E703" s="94"/>
      <c r="F703" s="94"/>
      <c r="G703" s="94"/>
      <c r="H703" s="94"/>
      <c r="I703" s="152"/>
    </row>
    <row r="704" spans="1:9">
      <c r="A704" s="99"/>
      <c r="B704" s="94"/>
      <c r="C704" s="94"/>
      <c r="D704" s="94"/>
      <c r="E704" s="94"/>
      <c r="F704" s="94"/>
      <c r="G704" s="94"/>
      <c r="H704" s="94"/>
      <c r="I704" s="152"/>
    </row>
    <row r="705" spans="1:9">
      <c r="A705" s="99"/>
      <c r="B705" s="94"/>
      <c r="C705" s="94"/>
      <c r="D705" s="94"/>
      <c r="E705" s="94"/>
      <c r="F705" s="94"/>
      <c r="G705" s="94"/>
      <c r="H705" s="94"/>
      <c r="I705" s="152"/>
    </row>
    <row r="706" spans="1:9">
      <c r="A706" s="99"/>
      <c r="B706" s="94"/>
      <c r="C706" s="94"/>
      <c r="D706" s="94"/>
      <c r="E706" s="94"/>
      <c r="F706" s="94"/>
      <c r="G706" s="94"/>
      <c r="H706" s="94"/>
      <c r="I706" s="152"/>
    </row>
    <row r="707" spans="1:9">
      <c r="A707" s="99"/>
      <c r="B707" s="94"/>
      <c r="C707" s="94"/>
      <c r="D707" s="94"/>
      <c r="E707" s="94"/>
      <c r="F707" s="94"/>
      <c r="G707" s="94"/>
      <c r="H707" s="94"/>
      <c r="I707" s="152"/>
    </row>
    <row r="708" spans="1:9">
      <c r="A708" s="99"/>
      <c r="B708" s="94"/>
      <c r="C708" s="94"/>
      <c r="D708" s="94"/>
      <c r="E708" s="94"/>
      <c r="F708" s="94"/>
      <c r="G708" s="94"/>
      <c r="H708" s="94"/>
      <c r="I708" s="152"/>
    </row>
    <row r="709" spans="1:9">
      <c r="A709" s="99"/>
      <c r="B709" s="94"/>
      <c r="C709" s="94"/>
      <c r="D709" s="94"/>
      <c r="E709" s="94"/>
      <c r="F709" s="94"/>
      <c r="G709" s="94"/>
      <c r="H709" s="94"/>
      <c r="I709" s="152"/>
    </row>
    <row r="710" spans="1:9">
      <c r="A710" s="99"/>
      <c r="B710" s="94"/>
      <c r="C710" s="94"/>
      <c r="D710" s="94"/>
      <c r="E710" s="94"/>
      <c r="F710" s="94"/>
      <c r="G710" s="94"/>
      <c r="H710" s="94"/>
      <c r="I710" s="152"/>
    </row>
    <row r="711" spans="1:9">
      <c r="A711" s="99"/>
      <c r="B711" s="94"/>
      <c r="C711" s="94"/>
      <c r="D711" s="94"/>
      <c r="E711" s="94"/>
      <c r="F711" s="94"/>
      <c r="G711" s="94"/>
      <c r="H711" s="94"/>
      <c r="I711" s="152"/>
    </row>
    <row r="712" spans="1:9">
      <c r="A712" s="99"/>
      <c r="B712" s="94"/>
      <c r="C712" s="94"/>
      <c r="D712" s="94"/>
      <c r="E712" s="94"/>
      <c r="F712" s="94"/>
      <c r="G712" s="94"/>
      <c r="H712" s="94"/>
      <c r="I712" s="152"/>
    </row>
    <row r="713" spans="1:9">
      <c r="A713" s="99"/>
      <c r="B713" s="94"/>
      <c r="C713" s="94"/>
      <c r="D713" s="94"/>
      <c r="E713" s="94"/>
      <c r="F713" s="94"/>
      <c r="G713" s="94"/>
      <c r="H713" s="94"/>
      <c r="I713" s="152"/>
    </row>
    <row r="714" spans="1:9">
      <c r="A714" s="99"/>
      <c r="B714" s="94"/>
      <c r="C714" s="94"/>
      <c r="D714" s="94"/>
      <c r="E714" s="94"/>
      <c r="F714" s="94"/>
      <c r="G714" s="94"/>
      <c r="H714" s="94"/>
      <c r="I714" s="152"/>
    </row>
    <row r="715" spans="1:9">
      <c r="A715" s="99"/>
      <c r="B715" s="94"/>
      <c r="C715" s="94"/>
      <c r="D715" s="94"/>
      <c r="E715" s="94"/>
      <c r="F715" s="94"/>
      <c r="G715" s="94"/>
      <c r="H715" s="94"/>
      <c r="I715" s="152"/>
    </row>
    <row r="716" spans="1:9">
      <c r="A716" s="99"/>
      <c r="B716" s="94"/>
      <c r="C716" s="94"/>
      <c r="D716" s="94"/>
      <c r="E716" s="94"/>
      <c r="F716" s="94"/>
      <c r="G716" s="94"/>
      <c r="H716" s="94"/>
      <c r="I716" s="152"/>
    </row>
    <row r="717" spans="1:9">
      <c r="A717" s="99"/>
      <c r="B717" s="94"/>
      <c r="C717" s="94"/>
      <c r="D717" s="94"/>
      <c r="E717" s="94"/>
      <c r="F717" s="94"/>
      <c r="G717" s="94"/>
      <c r="H717" s="94"/>
      <c r="I717" s="152"/>
    </row>
    <row r="718" spans="1:9">
      <c r="A718" s="99"/>
      <c r="B718" s="94"/>
      <c r="C718" s="94"/>
      <c r="D718" s="94"/>
      <c r="E718" s="94"/>
      <c r="F718" s="94"/>
      <c r="G718" s="94"/>
      <c r="H718" s="94"/>
      <c r="I718" s="152"/>
    </row>
    <row r="719" spans="1:9">
      <c r="A719" s="99"/>
      <c r="B719" s="94"/>
      <c r="C719" s="94"/>
      <c r="D719" s="94"/>
      <c r="E719" s="94"/>
      <c r="F719" s="94"/>
      <c r="G719" s="94"/>
      <c r="H719" s="94"/>
      <c r="I719" s="152"/>
    </row>
    <row r="720" spans="1:9">
      <c r="A720" s="99"/>
      <c r="B720" s="94"/>
      <c r="C720" s="94"/>
      <c r="D720" s="94"/>
      <c r="E720" s="94"/>
      <c r="F720" s="94"/>
      <c r="G720" s="94"/>
      <c r="H720" s="94"/>
      <c r="I720" s="152"/>
    </row>
    <row r="721" spans="1:9">
      <c r="A721" s="99"/>
      <c r="B721" s="94"/>
      <c r="C721" s="94"/>
      <c r="D721" s="94"/>
      <c r="E721" s="94"/>
      <c r="F721" s="94"/>
      <c r="G721" s="94"/>
      <c r="H721" s="94"/>
      <c r="I721" s="152"/>
    </row>
    <row r="722" spans="1:9">
      <c r="A722" s="99"/>
      <c r="B722" s="94"/>
      <c r="C722" s="94"/>
      <c r="D722" s="94"/>
      <c r="E722" s="94"/>
      <c r="F722" s="94"/>
      <c r="G722" s="94"/>
      <c r="H722" s="94"/>
      <c r="I722" s="152"/>
    </row>
    <row r="723" spans="1:9">
      <c r="A723" s="99"/>
      <c r="B723" s="94"/>
      <c r="C723" s="94"/>
      <c r="D723" s="94"/>
      <c r="E723" s="94"/>
      <c r="F723" s="94"/>
      <c r="G723" s="94"/>
      <c r="H723" s="94"/>
      <c r="I723" s="152"/>
    </row>
    <row r="724" spans="1:9">
      <c r="A724" s="99"/>
      <c r="B724" s="94"/>
      <c r="C724" s="94"/>
      <c r="D724" s="94"/>
      <c r="E724" s="94"/>
      <c r="F724" s="94"/>
      <c r="G724" s="94"/>
      <c r="H724" s="94"/>
      <c r="I724" s="152"/>
    </row>
    <row r="725" spans="1:9">
      <c r="A725" s="99"/>
      <c r="B725" s="94"/>
      <c r="C725" s="94"/>
      <c r="D725" s="94"/>
      <c r="E725" s="94"/>
      <c r="F725" s="94"/>
      <c r="G725" s="94"/>
      <c r="H725" s="94"/>
      <c r="I725" s="152"/>
    </row>
    <row r="726" spans="1:9">
      <c r="A726" s="99"/>
      <c r="B726" s="94"/>
      <c r="C726" s="94"/>
      <c r="D726" s="94"/>
      <c r="E726" s="94"/>
      <c r="F726" s="94"/>
      <c r="G726" s="94"/>
      <c r="H726" s="94"/>
      <c r="I726" s="152"/>
    </row>
    <row r="727" spans="1:9">
      <c r="A727" s="99"/>
      <c r="B727" s="94"/>
      <c r="C727" s="94"/>
      <c r="D727" s="94"/>
      <c r="E727" s="94"/>
      <c r="F727" s="94"/>
      <c r="G727" s="94"/>
      <c r="H727" s="94"/>
      <c r="I727" s="152"/>
    </row>
    <row r="728" spans="1:9">
      <c r="A728" s="99"/>
      <c r="B728" s="94"/>
      <c r="C728" s="94"/>
      <c r="D728" s="94"/>
      <c r="E728" s="94"/>
      <c r="F728" s="98"/>
      <c r="G728" s="94"/>
      <c r="H728" s="94"/>
      <c r="I728" s="152"/>
    </row>
    <row r="729" spans="1:9">
      <c r="A729" s="99"/>
      <c r="B729" s="94"/>
      <c r="C729" s="94"/>
      <c r="D729" s="94"/>
      <c r="E729" s="94"/>
      <c r="F729" s="94"/>
      <c r="G729" s="94"/>
      <c r="H729" s="94"/>
      <c r="I729" s="152"/>
    </row>
    <row r="730" spans="1:9">
      <c r="A730" s="99"/>
      <c r="B730" s="94"/>
      <c r="C730" s="94"/>
      <c r="D730" s="94"/>
      <c r="E730" s="94"/>
      <c r="F730" s="94"/>
      <c r="G730" s="94"/>
      <c r="H730" s="94"/>
      <c r="I730" s="152"/>
    </row>
    <row r="731" spans="1:9">
      <c r="A731" s="99"/>
      <c r="B731" s="94"/>
      <c r="C731" s="94"/>
      <c r="D731" s="94"/>
      <c r="E731" s="94"/>
      <c r="F731" s="94"/>
      <c r="G731" s="94"/>
      <c r="H731" s="94"/>
      <c r="I731" s="152"/>
    </row>
    <row r="732" spans="1:9">
      <c r="A732" s="99"/>
      <c r="B732" s="94"/>
      <c r="C732" s="94"/>
      <c r="D732" s="94"/>
      <c r="E732" s="94"/>
      <c r="F732" s="94"/>
      <c r="G732" s="94"/>
      <c r="H732" s="94"/>
      <c r="I732" s="152"/>
    </row>
    <row r="733" spans="1:9">
      <c r="A733" s="99"/>
      <c r="B733" s="94"/>
      <c r="C733" s="94"/>
      <c r="D733" s="94"/>
      <c r="E733" s="94"/>
      <c r="F733" s="94"/>
      <c r="G733" s="94"/>
      <c r="H733" s="94"/>
      <c r="I733" s="152"/>
    </row>
    <row r="734" spans="1:9">
      <c r="A734" s="99"/>
      <c r="B734" s="94"/>
      <c r="C734" s="94"/>
      <c r="D734" s="94"/>
      <c r="E734" s="94"/>
      <c r="F734" s="94"/>
      <c r="G734" s="94"/>
      <c r="H734" s="94"/>
      <c r="I734" s="152"/>
    </row>
    <row r="735" spans="1:9">
      <c r="A735" s="99"/>
      <c r="B735" s="94"/>
      <c r="C735" s="94"/>
      <c r="D735" s="94"/>
      <c r="E735" s="94"/>
      <c r="F735" s="94"/>
      <c r="G735" s="94"/>
      <c r="H735" s="94"/>
      <c r="I735" s="152"/>
    </row>
    <row r="736" spans="1:9">
      <c r="A736" s="99"/>
      <c r="B736" s="94"/>
      <c r="C736" s="94"/>
      <c r="D736" s="94"/>
      <c r="E736" s="94"/>
      <c r="F736" s="94"/>
      <c r="G736" s="94"/>
      <c r="H736" s="94"/>
      <c r="I736" s="152"/>
    </row>
    <row r="737" spans="1:9">
      <c r="A737" s="99"/>
      <c r="B737" s="94"/>
      <c r="C737" s="94"/>
      <c r="D737" s="94"/>
      <c r="E737" s="94"/>
      <c r="F737" s="94"/>
      <c r="G737" s="94"/>
      <c r="H737" s="94"/>
      <c r="I737" s="152"/>
    </row>
    <row r="738" spans="1:9">
      <c r="A738" s="99"/>
      <c r="B738" s="94"/>
      <c r="C738" s="94"/>
      <c r="D738" s="94"/>
      <c r="E738" s="94"/>
      <c r="F738" s="94"/>
      <c r="G738" s="94"/>
      <c r="H738" s="94"/>
      <c r="I738" s="152"/>
    </row>
    <row r="739" spans="1:9">
      <c r="A739" s="99"/>
      <c r="B739" s="94"/>
      <c r="C739" s="94"/>
      <c r="D739" s="94"/>
      <c r="E739" s="94"/>
      <c r="F739" s="94"/>
      <c r="G739" s="94"/>
      <c r="H739" s="94"/>
      <c r="I739" s="152"/>
    </row>
    <row r="740" spans="1:9">
      <c r="A740" s="99"/>
      <c r="B740" s="94"/>
      <c r="C740" s="94"/>
      <c r="D740" s="94"/>
      <c r="E740" s="94"/>
      <c r="F740" s="94"/>
      <c r="G740" s="94"/>
      <c r="H740" s="94"/>
      <c r="I740" s="152"/>
    </row>
    <row r="741" spans="1:9">
      <c r="A741" s="99"/>
      <c r="B741" s="94"/>
      <c r="C741" s="94"/>
      <c r="D741" s="94"/>
      <c r="E741" s="94"/>
      <c r="F741" s="94"/>
      <c r="G741" s="94"/>
      <c r="H741" s="94"/>
      <c r="I741" s="152"/>
    </row>
    <row r="742" spans="1:9">
      <c r="A742" s="99"/>
      <c r="B742" s="94"/>
      <c r="C742" s="94"/>
      <c r="D742" s="94"/>
      <c r="E742" s="94"/>
      <c r="F742" s="94"/>
      <c r="G742" s="94"/>
      <c r="H742" s="94"/>
      <c r="I742" s="152"/>
    </row>
    <row r="743" spans="1:9">
      <c r="A743" s="99"/>
      <c r="B743" s="94"/>
      <c r="C743" s="94"/>
      <c r="D743" s="94"/>
      <c r="E743" s="94"/>
      <c r="F743" s="94"/>
      <c r="G743" s="94"/>
      <c r="H743" s="94"/>
      <c r="I743" s="152"/>
    </row>
    <row r="744" spans="1:9">
      <c r="A744" s="99"/>
      <c r="B744" s="94"/>
      <c r="C744" s="94"/>
      <c r="D744" s="94"/>
      <c r="E744" s="94"/>
      <c r="F744" s="94"/>
      <c r="G744" s="94"/>
      <c r="H744" s="94"/>
      <c r="I744" s="152"/>
    </row>
    <row r="745" spans="1:9">
      <c r="A745" s="99"/>
      <c r="B745" s="94"/>
      <c r="C745" s="94"/>
      <c r="D745" s="94"/>
      <c r="E745" s="94"/>
      <c r="F745" s="94"/>
      <c r="G745" s="94"/>
      <c r="H745" s="94"/>
      <c r="I745" s="152"/>
    </row>
    <row r="746" spans="1:9">
      <c r="A746" s="146"/>
      <c r="B746" s="164"/>
      <c r="C746" s="150"/>
      <c r="D746" s="150"/>
      <c r="E746" s="150"/>
      <c r="F746" s="150"/>
      <c r="G746" s="150"/>
      <c r="H746" s="150"/>
    </row>
  </sheetData>
  <autoFilter ref="A1:K572" xr:uid="{FB873AA1-C9CF-442B-8F92-0963F9202E8A}">
    <filterColumn colId="8">
      <filters>
        <filter val="ANALISE"/>
        <filter val="DEFERIDO"/>
      </filters>
    </filterColumn>
  </autoFilter>
  <dataValidations count="3">
    <dataValidation type="list" allowBlank="1" showInputMessage="1" showErrorMessage="1" sqref="G548:G571 G573" xr:uid="{5DAD909A-1163-4BB5-9663-318DA9CC91ED}">
      <formula1>"PINHEIROS, FARIA LIMA, HELIO PELEGRINO, OLIMPIADAS"</formula1>
    </dataValidation>
    <dataValidation type="custom" allowBlank="1" showInputMessage="1" showErrorMessage="1" errorTitle="Informação Inválida" error="Verifique Metadados" sqref="H569:H571" xr:uid="{24776E8B-C7D6-4791-9594-2D389FC259E0}">
      <formula1>AND(ISNUMBER(VALUE(LEFT(H569, 4))),MID(H569, 5, 1)= ".", ISNUMBER(VALUE(RIGHT(LEFT(H569, 9), 4))),MID(H569, 10, 1)= "/", ISNUMBER(VALUE(RIGHT(LEFT(H569, 17),7))), MID(H569, 18, 1)= "-",ISNUMBER(VALUE(RIGHT(LEFT(H569, 19),1))),LEN(H569)=19)</formula1>
    </dataValidation>
    <dataValidation type="custom" allowBlank="1" showInputMessage="1" showErrorMessage="1" errorTitle="Campo inválido" error="Verifique Metadados" sqref="E570:E571" xr:uid="{48FD2423-27BB-41B1-A290-52FD8469EBC2}">
      <formula1>EXACT(E570,UPPER(E570))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D987-ADCA-4022-8BB4-9905227A84CF}">
  <dimension ref="A1:AL5008"/>
  <sheetViews>
    <sheetView tabSelected="1" topLeftCell="V1" zoomScale="110" zoomScaleNormal="110" workbookViewId="0">
      <pane ySplit="1" topLeftCell="A216" activePane="bottomLeft" state="frozen"/>
      <selection pane="bottomLeft" activeCell="W1" sqref="W1"/>
    </sheetView>
  </sheetViews>
  <sheetFormatPr defaultColWidth="9.140625" defaultRowHeight="15" zeroHeight="1"/>
  <cols>
    <col min="1" max="2" width="13.140625" style="137" customWidth="1"/>
    <col min="3" max="4" width="24.140625" style="137" customWidth="1"/>
    <col min="5" max="5" width="24.140625" style="175" customWidth="1"/>
    <col min="6" max="6" width="24.140625" style="137" customWidth="1"/>
    <col min="7" max="7" width="77.7109375" style="137" customWidth="1"/>
    <col min="8" max="8" width="36.42578125" style="137" customWidth="1"/>
    <col min="9" max="9" width="28" style="137" customWidth="1"/>
    <col min="10" max="10" width="63.28515625" style="137" customWidth="1"/>
    <col min="11" max="11" width="21.140625" style="137" bestFit="1" customWidth="1"/>
    <col min="12" max="12" width="24.140625" style="137" customWidth="1"/>
    <col min="13" max="13" width="24.140625" style="176" customWidth="1"/>
    <col min="14" max="14" width="35" style="137" customWidth="1"/>
    <col min="15" max="15" width="24.140625" style="177" customWidth="1"/>
    <col min="16" max="16" width="24.140625" style="137" customWidth="1"/>
    <col min="17" max="23" width="24.140625" style="177" customWidth="1"/>
    <col min="24" max="24" width="24.140625" style="137" customWidth="1"/>
    <col min="25" max="25" width="24.140625" style="177" customWidth="1"/>
    <col min="26" max="28" width="24.140625" style="178" customWidth="1"/>
    <col min="29" max="30" width="24.140625" style="137" customWidth="1"/>
    <col min="31" max="33" width="24.140625" style="175" customWidth="1"/>
    <col min="34" max="34" width="24.140625" style="177" customWidth="1"/>
    <col min="35" max="35" width="24.140625" style="137" customWidth="1"/>
    <col min="36" max="36" width="118.85546875" style="137" customWidth="1"/>
    <col min="37" max="37" width="24.140625" style="137" customWidth="1"/>
    <col min="38" max="16384" width="9.140625" style="94"/>
  </cols>
  <sheetData>
    <row r="1" spans="1:37" s="348" customFormat="1" ht="39.950000000000003" customHeight="1">
      <c r="A1" s="170" t="s">
        <v>66</v>
      </c>
      <c r="B1" s="170" t="s">
        <v>3079</v>
      </c>
      <c r="C1" s="170" t="s">
        <v>1143</v>
      </c>
      <c r="D1" s="170" t="s">
        <v>1144</v>
      </c>
      <c r="E1" s="171" t="s">
        <v>73</v>
      </c>
      <c r="F1" s="134" t="s">
        <v>55</v>
      </c>
      <c r="G1" s="134" t="s">
        <v>79</v>
      </c>
      <c r="H1" s="134" t="s">
        <v>82</v>
      </c>
      <c r="I1" s="134" t="s">
        <v>1145</v>
      </c>
      <c r="J1" s="134" t="s">
        <v>86</v>
      </c>
      <c r="K1" s="134" t="s">
        <v>89</v>
      </c>
      <c r="L1" s="134" t="s">
        <v>93</v>
      </c>
      <c r="M1" s="172" t="s">
        <v>96</v>
      </c>
      <c r="N1" s="134" t="s">
        <v>100</v>
      </c>
      <c r="O1" s="172" t="s">
        <v>103</v>
      </c>
      <c r="P1" s="134" t="s">
        <v>107</v>
      </c>
      <c r="Q1" s="174" t="s">
        <v>3332</v>
      </c>
      <c r="R1" s="174" t="s">
        <v>3331</v>
      </c>
      <c r="S1" s="174" t="s">
        <v>110</v>
      </c>
      <c r="T1" s="174" t="s">
        <v>3333</v>
      </c>
      <c r="U1" s="174" t="s">
        <v>3334</v>
      </c>
      <c r="V1" s="174" t="s">
        <v>112</v>
      </c>
      <c r="W1" s="174" t="s">
        <v>114</v>
      </c>
      <c r="X1" s="134" t="s">
        <v>116</v>
      </c>
      <c r="Y1" s="172" t="s">
        <v>119</v>
      </c>
      <c r="Z1" s="173" t="s">
        <v>123</v>
      </c>
      <c r="AA1" s="134" t="s">
        <v>126</v>
      </c>
      <c r="AB1" s="134" t="s">
        <v>128</v>
      </c>
      <c r="AC1" s="134" t="s">
        <v>130</v>
      </c>
      <c r="AD1" s="134" t="s">
        <v>133</v>
      </c>
      <c r="AE1" s="134" t="s">
        <v>136</v>
      </c>
      <c r="AF1" s="174" t="s">
        <v>138</v>
      </c>
      <c r="AG1" s="174" t="s">
        <v>1146</v>
      </c>
      <c r="AH1" s="174" t="s">
        <v>142</v>
      </c>
      <c r="AI1" s="134" t="s">
        <v>146</v>
      </c>
      <c r="AJ1" s="134" t="s">
        <v>149</v>
      </c>
      <c r="AK1" s="134" t="s">
        <v>152</v>
      </c>
    </row>
    <row r="2" spans="1:37" s="201" customFormat="1">
      <c r="A2" s="196" t="s">
        <v>338</v>
      </c>
      <c r="B2" s="196" t="s">
        <v>3083</v>
      </c>
      <c r="C2" s="196"/>
      <c r="D2" s="196" t="s">
        <v>2026</v>
      </c>
      <c r="E2" s="197">
        <v>41579</v>
      </c>
      <c r="F2" s="196" t="s">
        <v>58</v>
      </c>
      <c r="G2" s="196" t="s">
        <v>2027</v>
      </c>
      <c r="H2" s="196" t="s">
        <v>2028</v>
      </c>
      <c r="I2" s="196"/>
      <c r="J2" s="196" t="s">
        <v>2029</v>
      </c>
      <c r="K2" s="196" t="s">
        <v>2</v>
      </c>
      <c r="L2" s="196" t="s">
        <v>1151</v>
      </c>
      <c r="M2" s="198" t="s">
        <v>2030</v>
      </c>
      <c r="N2" s="196" t="s">
        <v>2031</v>
      </c>
      <c r="O2" s="199">
        <v>287.82</v>
      </c>
      <c r="P2" s="196" t="s">
        <v>1172</v>
      </c>
      <c r="Q2" s="199">
        <v>863.46</v>
      </c>
      <c r="R2" s="199"/>
      <c r="S2" s="199"/>
      <c r="T2" s="199"/>
      <c r="U2" s="199"/>
      <c r="V2" s="199"/>
      <c r="W2" s="199">
        <f t="shared" ref="W2:W43" si="0">T2+Q2</f>
        <v>863.46</v>
      </c>
      <c r="X2" s="196" t="s">
        <v>1155</v>
      </c>
      <c r="Y2" s="199"/>
      <c r="Z2" s="200">
        <v>785</v>
      </c>
      <c r="AA2" s="200"/>
      <c r="AB2" s="200">
        <f t="shared" ref="AB2:AB64" si="1">AA2+Z2</f>
        <v>785</v>
      </c>
      <c r="AC2" s="196" t="s">
        <v>339</v>
      </c>
      <c r="AD2" s="196" t="s">
        <v>59</v>
      </c>
      <c r="AE2" s="197">
        <v>41645</v>
      </c>
      <c r="AF2" s="197"/>
      <c r="AG2" s="197"/>
      <c r="AH2" s="199"/>
      <c r="AI2" s="196"/>
      <c r="AJ2" s="196" t="s">
        <v>2032</v>
      </c>
      <c r="AK2" s="196" t="s">
        <v>2033</v>
      </c>
    </row>
    <row r="3" spans="1:37" s="201" customFormat="1">
      <c r="A3" s="196" t="s">
        <v>431</v>
      </c>
      <c r="B3" s="196" t="s">
        <v>3083</v>
      </c>
      <c r="C3" s="196"/>
      <c r="D3" s="196" t="s">
        <v>2034</v>
      </c>
      <c r="E3" s="197">
        <v>38702</v>
      </c>
      <c r="F3" s="196" t="s">
        <v>58</v>
      </c>
      <c r="G3" s="196" t="s">
        <v>2035</v>
      </c>
      <c r="H3" s="196" t="s">
        <v>2036</v>
      </c>
      <c r="I3" s="196"/>
      <c r="J3" s="196" t="s">
        <v>2037</v>
      </c>
      <c r="K3" s="196" t="s">
        <v>40</v>
      </c>
      <c r="L3" s="196" t="s">
        <v>1151</v>
      </c>
      <c r="M3" s="198" t="s">
        <v>2038</v>
      </c>
      <c r="N3" s="196" t="s">
        <v>2039</v>
      </c>
      <c r="O3" s="199">
        <v>2878.34</v>
      </c>
      <c r="P3" s="196" t="s">
        <v>1161</v>
      </c>
      <c r="Q3" s="199"/>
      <c r="R3" s="199"/>
      <c r="S3" s="199"/>
      <c r="T3" s="199">
        <v>780.87</v>
      </c>
      <c r="U3" s="199"/>
      <c r="V3" s="199"/>
      <c r="W3" s="199">
        <f t="shared" si="0"/>
        <v>780.87</v>
      </c>
      <c r="X3" s="196" t="s">
        <v>1155</v>
      </c>
      <c r="Y3" s="199"/>
      <c r="Z3" s="200">
        <v>975</v>
      </c>
      <c r="AA3" s="200">
        <v>173</v>
      </c>
      <c r="AB3" s="200">
        <f t="shared" si="1"/>
        <v>1148</v>
      </c>
      <c r="AC3" s="196" t="s">
        <v>432</v>
      </c>
      <c r="AD3" s="196" t="s">
        <v>59</v>
      </c>
      <c r="AE3" s="197">
        <v>39016</v>
      </c>
      <c r="AF3" s="197"/>
      <c r="AG3" s="197"/>
      <c r="AH3" s="199"/>
      <c r="AI3" s="196"/>
      <c r="AJ3" s="196" t="s">
        <v>2040</v>
      </c>
      <c r="AK3" s="196" t="s">
        <v>2033</v>
      </c>
    </row>
    <row r="4" spans="1:37" s="201" customFormat="1">
      <c r="A4" s="196" t="s">
        <v>497</v>
      </c>
      <c r="B4" s="196" t="s">
        <v>3083</v>
      </c>
      <c r="C4" s="196"/>
      <c r="D4" s="196" t="s">
        <v>2041</v>
      </c>
      <c r="E4" s="197">
        <v>37937</v>
      </c>
      <c r="F4" s="196" t="s">
        <v>58</v>
      </c>
      <c r="G4" s="196" t="s">
        <v>2042</v>
      </c>
      <c r="H4" s="196" t="s">
        <v>2043</v>
      </c>
      <c r="I4" s="196"/>
      <c r="J4" s="196" t="s">
        <v>2044</v>
      </c>
      <c r="K4" s="196"/>
      <c r="L4" s="196" t="s">
        <v>1151</v>
      </c>
      <c r="M4" s="198" t="s">
        <v>2045</v>
      </c>
      <c r="N4" s="196" t="s">
        <v>2046</v>
      </c>
      <c r="O4" s="199">
        <v>9372</v>
      </c>
      <c r="P4" s="196"/>
      <c r="Q4" s="199"/>
      <c r="R4" s="199"/>
      <c r="S4" s="199"/>
      <c r="T4" s="199"/>
      <c r="U4" s="199"/>
      <c r="V4" s="199"/>
      <c r="W4" s="199">
        <f t="shared" si="0"/>
        <v>0</v>
      </c>
      <c r="X4" s="196" t="s">
        <v>1155</v>
      </c>
      <c r="Y4" s="199"/>
      <c r="Z4" s="200"/>
      <c r="AA4" s="200">
        <v>2343</v>
      </c>
      <c r="AB4" s="200">
        <f t="shared" si="1"/>
        <v>2343</v>
      </c>
      <c r="AC4" s="196" t="s">
        <v>498</v>
      </c>
      <c r="AD4" s="196" t="s">
        <v>61</v>
      </c>
      <c r="AE4" s="197">
        <v>40456</v>
      </c>
      <c r="AF4" s="197"/>
      <c r="AG4" s="197"/>
      <c r="AH4" s="199"/>
      <c r="AI4" s="196"/>
      <c r="AJ4" s="196"/>
      <c r="AK4" s="196" t="s">
        <v>2033</v>
      </c>
    </row>
    <row r="5" spans="1:37" s="201" customFormat="1">
      <c r="A5" s="196" t="s">
        <v>497</v>
      </c>
      <c r="B5" s="196" t="s">
        <v>3083</v>
      </c>
      <c r="C5" s="196"/>
      <c r="D5" s="196" t="s">
        <v>2047</v>
      </c>
      <c r="E5" s="197">
        <v>41799</v>
      </c>
      <c r="F5" s="196" t="s">
        <v>58</v>
      </c>
      <c r="G5" s="196" t="s">
        <v>2042</v>
      </c>
      <c r="H5" s="196" t="s">
        <v>2043</v>
      </c>
      <c r="I5" s="196"/>
      <c r="J5" s="196" t="s">
        <v>2044</v>
      </c>
      <c r="K5" s="196"/>
      <c r="L5" s="196" t="s">
        <v>1195</v>
      </c>
      <c r="M5" s="198" t="s">
        <v>2045</v>
      </c>
      <c r="N5" s="196" t="s">
        <v>2046</v>
      </c>
      <c r="O5" s="199">
        <v>9372</v>
      </c>
      <c r="P5" s="196"/>
      <c r="Q5" s="199"/>
      <c r="R5" s="199"/>
      <c r="S5" s="199"/>
      <c r="T5" s="199"/>
      <c r="U5" s="199"/>
      <c r="V5" s="199"/>
      <c r="W5" s="199">
        <f t="shared" si="0"/>
        <v>0</v>
      </c>
      <c r="X5" s="196" t="s">
        <v>1155</v>
      </c>
      <c r="Y5" s="199"/>
      <c r="Z5" s="200"/>
      <c r="AA5" s="200">
        <v>2343</v>
      </c>
      <c r="AB5" s="200">
        <f t="shared" si="1"/>
        <v>2343</v>
      </c>
      <c r="AC5" s="195" t="s">
        <v>2048</v>
      </c>
      <c r="AD5" s="196" t="s">
        <v>59</v>
      </c>
      <c r="AE5" s="197">
        <v>42095</v>
      </c>
      <c r="AF5" s="197"/>
      <c r="AG5" s="197"/>
      <c r="AH5" s="199"/>
      <c r="AI5" s="196"/>
      <c r="AJ5" s="196"/>
      <c r="AK5" s="196"/>
    </row>
    <row r="6" spans="1:37" s="201" customFormat="1">
      <c r="A6" s="195" t="s">
        <v>504</v>
      </c>
      <c r="B6" s="196" t="s">
        <v>3083</v>
      </c>
      <c r="C6" s="196"/>
      <c r="D6" s="196" t="s">
        <v>2049</v>
      </c>
      <c r="E6" s="197">
        <v>37967</v>
      </c>
      <c r="F6" s="196" t="s">
        <v>58</v>
      </c>
      <c r="G6" s="196" t="s">
        <v>2050</v>
      </c>
      <c r="H6" s="196" t="s">
        <v>2051</v>
      </c>
      <c r="I6" s="196"/>
      <c r="J6" s="196" t="s">
        <v>2052</v>
      </c>
      <c r="K6" s="196" t="s">
        <v>40</v>
      </c>
      <c r="L6" s="196" t="s">
        <v>1151</v>
      </c>
      <c r="M6" s="198" t="s">
        <v>2053</v>
      </c>
      <c r="N6" s="196" t="s">
        <v>2054</v>
      </c>
      <c r="O6" s="199">
        <v>1600</v>
      </c>
      <c r="P6" s="196" t="s">
        <v>1172</v>
      </c>
      <c r="Q6" s="199">
        <v>4800</v>
      </c>
      <c r="R6" s="199"/>
      <c r="S6" s="199"/>
      <c r="T6" s="199"/>
      <c r="U6" s="199"/>
      <c r="V6" s="199"/>
      <c r="W6" s="199">
        <f t="shared" si="0"/>
        <v>4800</v>
      </c>
      <c r="X6" s="196" t="s">
        <v>1155</v>
      </c>
      <c r="Y6" s="199"/>
      <c r="Z6" s="200">
        <v>1920</v>
      </c>
      <c r="AA6" s="200"/>
      <c r="AB6" s="200">
        <f t="shared" si="1"/>
        <v>1920</v>
      </c>
      <c r="AC6" s="196" t="s">
        <v>369</v>
      </c>
      <c r="AD6" s="196" t="s">
        <v>59</v>
      </c>
      <c r="AE6" s="197">
        <v>38764</v>
      </c>
      <c r="AF6" s="197"/>
      <c r="AG6" s="197"/>
      <c r="AH6" s="199"/>
      <c r="AI6" s="196"/>
      <c r="AJ6" s="196"/>
      <c r="AK6" s="196" t="s">
        <v>2055</v>
      </c>
    </row>
    <row r="7" spans="1:37" s="201" customFormat="1" ht="45">
      <c r="A7" s="195" t="s">
        <v>505</v>
      </c>
      <c r="B7" s="196" t="s">
        <v>3083</v>
      </c>
      <c r="C7" s="196"/>
      <c r="D7" s="196" t="s">
        <v>2056</v>
      </c>
      <c r="E7" s="197">
        <v>37970</v>
      </c>
      <c r="F7" s="196" t="s">
        <v>58</v>
      </c>
      <c r="G7" s="138" t="s">
        <v>2057</v>
      </c>
      <c r="H7" s="196" t="s">
        <v>2058</v>
      </c>
      <c r="I7" s="196"/>
      <c r="J7" s="196" t="s">
        <v>2059</v>
      </c>
      <c r="K7" s="196" t="s">
        <v>2</v>
      </c>
      <c r="L7" s="196" t="s">
        <v>1151</v>
      </c>
      <c r="M7" s="198" t="s">
        <v>2060</v>
      </c>
      <c r="N7" s="196" t="s">
        <v>2061</v>
      </c>
      <c r="O7" s="199">
        <v>1646.88</v>
      </c>
      <c r="P7" s="196" t="s">
        <v>1172</v>
      </c>
      <c r="Q7" s="199">
        <v>4940.97</v>
      </c>
      <c r="R7" s="199"/>
      <c r="S7" s="199"/>
      <c r="T7" s="199"/>
      <c r="U7" s="199"/>
      <c r="V7" s="199"/>
      <c r="W7" s="199">
        <f t="shared" si="0"/>
        <v>4940.97</v>
      </c>
      <c r="X7" s="196" t="s">
        <v>1155</v>
      </c>
      <c r="Y7" s="199"/>
      <c r="Z7" s="200">
        <v>3801</v>
      </c>
      <c r="AA7" s="200"/>
      <c r="AB7" s="200">
        <f t="shared" si="1"/>
        <v>3801</v>
      </c>
      <c r="AC7" s="196" t="s">
        <v>1518</v>
      </c>
      <c r="AD7" s="196" t="s">
        <v>59</v>
      </c>
      <c r="AE7" s="197">
        <v>39349</v>
      </c>
      <c r="AF7" s="197"/>
      <c r="AG7" s="197"/>
      <c r="AH7" s="199"/>
      <c r="AI7" s="196"/>
      <c r="AJ7" s="196"/>
      <c r="AK7" s="196" t="s">
        <v>2062</v>
      </c>
    </row>
    <row r="8" spans="1:37" s="201" customFormat="1" ht="14.25" customHeight="1">
      <c r="A8" s="195" t="s">
        <v>508</v>
      </c>
      <c r="B8" s="196" t="s">
        <v>3083</v>
      </c>
      <c r="C8" s="196" t="s">
        <v>2063</v>
      </c>
      <c r="D8" s="196"/>
      <c r="E8" s="197"/>
      <c r="F8" s="196" t="s">
        <v>58</v>
      </c>
      <c r="G8" s="196" t="s">
        <v>2064</v>
      </c>
      <c r="H8" s="196"/>
      <c r="I8" s="196"/>
      <c r="J8" s="196" t="s">
        <v>2065</v>
      </c>
      <c r="K8" s="196" t="s">
        <v>40</v>
      </c>
      <c r="L8" s="196" t="s">
        <v>1151</v>
      </c>
      <c r="M8" s="198" t="s">
        <v>2066</v>
      </c>
      <c r="N8" s="196" t="s">
        <v>2067</v>
      </c>
      <c r="O8" s="199">
        <v>6245.44</v>
      </c>
      <c r="P8" s="196" t="s">
        <v>1172</v>
      </c>
      <c r="Q8" s="199"/>
      <c r="R8" s="199"/>
      <c r="S8" s="199"/>
      <c r="T8" s="199"/>
      <c r="U8" s="199"/>
      <c r="V8" s="199"/>
      <c r="W8" s="199">
        <f t="shared" si="0"/>
        <v>0</v>
      </c>
      <c r="X8" s="196" t="s">
        <v>1155</v>
      </c>
      <c r="Y8" s="199"/>
      <c r="Z8" s="200">
        <v>8070</v>
      </c>
      <c r="AA8" s="200"/>
      <c r="AB8" s="200">
        <f t="shared" si="1"/>
        <v>8070</v>
      </c>
      <c r="AC8" s="196"/>
      <c r="AD8" s="196" t="s">
        <v>59</v>
      </c>
      <c r="AE8" s="197">
        <v>38330</v>
      </c>
      <c r="AF8" s="197"/>
      <c r="AG8" s="197"/>
      <c r="AH8" s="199"/>
      <c r="AI8" s="196"/>
      <c r="AJ8" s="196" t="s">
        <v>2068</v>
      </c>
      <c r="AK8" s="196" t="s">
        <v>2062</v>
      </c>
    </row>
    <row r="9" spans="1:37" s="201" customFormat="1">
      <c r="A9" s="195" t="s">
        <v>518</v>
      </c>
      <c r="B9" s="196" t="s">
        <v>3083</v>
      </c>
      <c r="C9" s="196"/>
      <c r="D9" s="196" t="s">
        <v>2069</v>
      </c>
      <c r="E9" s="197">
        <v>38093</v>
      </c>
      <c r="F9" s="196" t="s">
        <v>58</v>
      </c>
      <c r="G9" s="196" t="s">
        <v>2070</v>
      </c>
      <c r="H9" s="196" t="s">
        <v>2071</v>
      </c>
      <c r="I9" s="196"/>
      <c r="J9" s="196" t="s">
        <v>2072</v>
      </c>
      <c r="K9" s="196" t="s">
        <v>2</v>
      </c>
      <c r="L9" s="196" t="s">
        <v>1151</v>
      </c>
      <c r="M9" s="198" t="s">
        <v>2073</v>
      </c>
      <c r="N9" s="196" t="s">
        <v>2074</v>
      </c>
      <c r="O9" s="199">
        <v>684.7</v>
      </c>
      <c r="P9" s="196" t="s">
        <v>1161</v>
      </c>
      <c r="Q9" s="199"/>
      <c r="R9" s="199"/>
      <c r="S9" s="199"/>
      <c r="T9" s="199">
        <v>2033</v>
      </c>
      <c r="U9" s="199"/>
      <c r="V9" s="199"/>
      <c r="W9" s="199">
        <f t="shared" si="0"/>
        <v>2033</v>
      </c>
      <c r="X9" s="196" t="s">
        <v>2075</v>
      </c>
      <c r="Y9" s="199">
        <v>2365682</v>
      </c>
      <c r="Z9" s="200"/>
      <c r="AA9" s="200"/>
      <c r="AB9" s="200">
        <f t="shared" si="1"/>
        <v>0</v>
      </c>
      <c r="AC9" s="196"/>
      <c r="AD9" s="196" t="s">
        <v>59</v>
      </c>
      <c r="AE9" s="197">
        <v>38260</v>
      </c>
      <c r="AF9" s="197"/>
      <c r="AG9" s="197"/>
      <c r="AH9" s="199"/>
      <c r="AI9" s="196"/>
      <c r="AJ9" s="196" t="s">
        <v>2076</v>
      </c>
      <c r="AK9" s="196" t="s">
        <v>2062</v>
      </c>
    </row>
    <row r="10" spans="1:37" s="201" customFormat="1">
      <c r="A10" s="195" t="s">
        <v>524</v>
      </c>
      <c r="B10" s="196" t="s">
        <v>3083</v>
      </c>
      <c r="C10" s="196"/>
      <c r="D10" s="196" t="s">
        <v>2077</v>
      </c>
      <c r="E10" s="197">
        <v>38336</v>
      </c>
      <c r="F10" s="196" t="s">
        <v>58</v>
      </c>
      <c r="G10" s="196" t="s">
        <v>2078</v>
      </c>
      <c r="H10" s="196" t="s">
        <v>2079</v>
      </c>
      <c r="I10" s="196"/>
      <c r="J10" s="196" t="s">
        <v>2080</v>
      </c>
      <c r="K10" s="196" t="s">
        <v>3</v>
      </c>
      <c r="L10" s="196" t="s">
        <v>1151</v>
      </c>
      <c r="M10" s="198" t="s">
        <v>2081</v>
      </c>
      <c r="N10" s="196" t="s">
        <v>2082</v>
      </c>
      <c r="O10" s="199">
        <v>2862.48</v>
      </c>
      <c r="P10" s="196" t="s">
        <v>1161</v>
      </c>
      <c r="Q10" s="199"/>
      <c r="R10" s="199"/>
      <c r="S10" s="199"/>
      <c r="T10" s="199"/>
      <c r="U10" s="199"/>
      <c r="V10" s="199"/>
      <c r="W10" s="199">
        <f t="shared" si="0"/>
        <v>0</v>
      </c>
      <c r="X10" s="196" t="s">
        <v>1155</v>
      </c>
      <c r="Y10" s="199"/>
      <c r="Z10" s="200"/>
      <c r="AA10" s="200">
        <v>254</v>
      </c>
      <c r="AB10" s="200">
        <f t="shared" si="1"/>
        <v>254</v>
      </c>
      <c r="AC10" s="196" t="s">
        <v>525</v>
      </c>
      <c r="AD10" s="196" t="s">
        <v>59</v>
      </c>
      <c r="AE10" s="197">
        <v>39888</v>
      </c>
      <c r="AF10" s="197"/>
      <c r="AG10" s="197"/>
      <c r="AH10" s="199"/>
      <c r="AI10" s="196"/>
      <c r="AJ10" s="196"/>
      <c r="AK10" s="196" t="s">
        <v>2062</v>
      </c>
    </row>
    <row r="11" spans="1:37" s="201" customFormat="1">
      <c r="A11" s="195" t="s">
        <v>526</v>
      </c>
      <c r="B11" s="196" t="s">
        <v>3083</v>
      </c>
      <c r="C11" s="196"/>
      <c r="D11" s="196" t="s">
        <v>2083</v>
      </c>
      <c r="E11" s="197">
        <v>38385</v>
      </c>
      <c r="F11" s="196" t="s">
        <v>58</v>
      </c>
      <c r="G11" s="196" t="s">
        <v>2084</v>
      </c>
      <c r="H11" s="196" t="s">
        <v>2085</v>
      </c>
      <c r="I11" s="196"/>
      <c r="J11" s="196" t="s">
        <v>2086</v>
      </c>
      <c r="K11" s="196" t="s">
        <v>40</v>
      </c>
      <c r="L11" s="196" t="s">
        <v>1151</v>
      </c>
      <c r="M11" s="198" t="s">
        <v>2087</v>
      </c>
      <c r="N11" s="196" t="s">
        <v>2088</v>
      </c>
      <c r="O11" s="199">
        <v>1767</v>
      </c>
      <c r="P11" s="196" t="s">
        <v>1172</v>
      </c>
      <c r="Q11" s="199">
        <v>1185</v>
      </c>
      <c r="R11" s="199"/>
      <c r="S11" s="199"/>
      <c r="T11" s="199"/>
      <c r="U11" s="199"/>
      <c r="V11" s="199"/>
      <c r="W11" s="199">
        <f t="shared" si="0"/>
        <v>1185</v>
      </c>
      <c r="X11" s="196" t="s">
        <v>1155</v>
      </c>
      <c r="Y11" s="199"/>
      <c r="Z11" s="200">
        <v>790</v>
      </c>
      <c r="AA11" s="200"/>
      <c r="AB11" s="200">
        <f t="shared" si="1"/>
        <v>790</v>
      </c>
      <c r="AC11" s="196" t="s">
        <v>527</v>
      </c>
      <c r="AD11" s="196" t="s">
        <v>59</v>
      </c>
      <c r="AE11" s="197">
        <v>39874</v>
      </c>
      <c r="AF11" s="197"/>
      <c r="AG11" s="197"/>
      <c r="AH11" s="199"/>
      <c r="AI11" s="196"/>
      <c r="AJ11" s="196"/>
      <c r="AK11" s="196" t="s">
        <v>2062</v>
      </c>
    </row>
    <row r="12" spans="1:37" s="201" customFormat="1">
      <c r="A12" s="195" t="s">
        <v>528</v>
      </c>
      <c r="B12" s="196" t="s">
        <v>3083</v>
      </c>
      <c r="C12" s="196"/>
      <c r="D12" s="196" t="s">
        <v>2089</v>
      </c>
      <c r="E12" s="197">
        <v>38344</v>
      </c>
      <c r="F12" s="196" t="s">
        <v>58</v>
      </c>
      <c r="G12" s="196" t="s">
        <v>2090</v>
      </c>
      <c r="H12" s="196" t="s">
        <v>2091</v>
      </c>
      <c r="I12" s="196"/>
      <c r="J12" s="196" t="s">
        <v>2092</v>
      </c>
      <c r="K12" s="196" t="s">
        <v>40</v>
      </c>
      <c r="L12" s="196" t="s">
        <v>1151</v>
      </c>
      <c r="M12" s="198" t="s">
        <v>2093</v>
      </c>
      <c r="N12" s="196" t="s">
        <v>2094</v>
      </c>
      <c r="O12" s="199">
        <v>2443.3000000000002</v>
      </c>
      <c r="P12" s="196" t="s">
        <v>1172</v>
      </c>
      <c r="Q12" s="199">
        <v>4886.6000000000004</v>
      </c>
      <c r="R12" s="199"/>
      <c r="S12" s="199"/>
      <c r="T12" s="199"/>
      <c r="U12" s="199"/>
      <c r="V12" s="199"/>
      <c r="W12" s="199">
        <f t="shared" si="0"/>
        <v>4886.6000000000004</v>
      </c>
      <c r="X12" s="196" t="s">
        <v>1155</v>
      </c>
      <c r="Y12" s="199"/>
      <c r="Z12" s="200">
        <v>1955</v>
      </c>
      <c r="AA12" s="200"/>
      <c r="AB12" s="200">
        <f t="shared" si="1"/>
        <v>1955</v>
      </c>
      <c r="AC12" s="196" t="s">
        <v>529</v>
      </c>
      <c r="AD12" s="196" t="s">
        <v>59</v>
      </c>
      <c r="AE12" s="197">
        <v>39764</v>
      </c>
      <c r="AF12" s="197"/>
      <c r="AG12" s="197"/>
      <c r="AH12" s="199"/>
      <c r="AI12" s="196"/>
      <c r="AJ12" s="196"/>
      <c r="AK12" s="196" t="s">
        <v>2062</v>
      </c>
    </row>
    <row r="13" spans="1:37" s="201" customFormat="1">
      <c r="A13" s="195" t="s">
        <v>530</v>
      </c>
      <c r="B13" s="196" t="s">
        <v>3083</v>
      </c>
      <c r="C13" s="196"/>
      <c r="D13" s="196" t="s">
        <v>2095</v>
      </c>
      <c r="E13" s="197">
        <v>38163</v>
      </c>
      <c r="F13" s="196" t="s">
        <v>58</v>
      </c>
      <c r="G13" s="196" t="s">
        <v>2096</v>
      </c>
      <c r="H13" s="196" t="s">
        <v>2097</v>
      </c>
      <c r="I13" s="196"/>
      <c r="J13" s="196" t="s">
        <v>2098</v>
      </c>
      <c r="K13" s="196" t="s">
        <v>2</v>
      </c>
      <c r="L13" s="196" t="s">
        <v>1151</v>
      </c>
      <c r="M13" s="198" t="s">
        <v>2099</v>
      </c>
      <c r="N13" s="196" t="s">
        <v>2100</v>
      </c>
      <c r="O13" s="199">
        <v>5796.4</v>
      </c>
      <c r="P13" s="196" t="s">
        <v>1161</v>
      </c>
      <c r="Q13" s="199"/>
      <c r="R13" s="199"/>
      <c r="S13" s="199"/>
      <c r="T13" s="199">
        <v>17389.2</v>
      </c>
      <c r="U13" s="199"/>
      <c r="V13" s="199"/>
      <c r="W13" s="199">
        <f t="shared" si="0"/>
        <v>17389.2</v>
      </c>
      <c r="X13" s="196" t="s">
        <v>1155</v>
      </c>
      <c r="Y13" s="199"/>
      <c r="Z13" s="200">
        <v>19322</v>
      </c>
      <c r="AA13" s="200">
        <v>773</v>
      </c>
      <c r="AB13" s="200">
        <f t="shared" si="1"/>
        <v>20095</v>
      </c>
      <c r="AC13" s="196" t="s">
        <v>531</v>
      </c>
      <c r="AD13" s="196" t="s">
        <v>59</v>
      </c>
      <c r="AE13" s="197">
        <v>39525</v>
      </c>
      <c r="AF13" s="197"/>
      <c r="AG13" s="197"/>
      <c r="AH13" s="199"/>
      <c r="AI13" s="196"/>
      <c r="AJ13" s="196"/>
      <c r="AK13" s="196" t="s">
        <v>2062</v>
      </c>
    </row>
    <row r="14" spans="1:37" s="201" customFormat="1">
      <c r="A14" s="195" t="s">
        <v>535</v>
      </c>
      <c r="B14" s="196" t="s">
        <v>3083</v>
      </c>
      <c r="C14" s="196"/>
      <c r="D14" s="196" t="s">
        <v>2101</v>
      </c>
      <c r="E14" s="197">
        <v>39245</v>
      </c>
      <c r="F14" s="196" t="s">
        <v>58</v>
      </c>
      <c r="G14" s="196" t="s">
        <v>2102</v>
      </c>
      <c r="H14" s="196" t="s">
        <v>2103</v>
      </c>
      <c r="I14" s="196"/>
      <c r="J14" s="196" t="s">
        <v>2104</v>
      </c>
      <c r="K14" s="196" t="s">
        <v>3</v>
      </c>
      <c r="L14" s="196" t="s">
        <v>1151</v>
      </c>
      <c r="M14" s="198" t="s">
        <v>2105</v>
      </c>
      <c r="N14" s="196" t="s">
        <v>2106</v>
      </c>
      <c r="O14" s="199">
        <v>8457.39</v>
      </c>
      <c r="P14" s="196" t="s">
        <v>1161</v>
      </c>
      <c r="Q14" s="199"/>
      <c r="R14" s="199"/>
      <c r="S14" s="199"/>
      <c r="T14" s="199">
        <v>14386.38</v>
      </c>
      <c r="U14" s="199"/>
      <c r="V14" s="199"/>
      <c r="W14" s="199">
        <f t="shared" si="0"/>
        <v>14386.38</v>
      </c>
      <c r="X14" s="196" t="s">
        <v>1155</v>
      </c>
      <c r="Y14" s="199"/>
      <c r="Z14" s="200">
        <v>8463</v>
      </c>
      <c r="AA14" s="200"/>
      <c r="AB14" s="200">
        <f t="shared" si="1"/>
        <v>8463</v>
      </c>
      <c r="AC14" s="195" t="s">
        <v>536</v>
      </c>
      <c r="AD14" s="196" t="s">
        <v>59</v>
      </c>
      <c r="AE14" s="197">
        <v>39433</v>
      </c>
      <c r="AF14" s="197"/>
      <c r="AG14" s="197"/>
      <c r="AH14" s="199"/>
      <c r="AI14" s="196"/>
      <c r="AJ14" s="196"/>
      <c r="AK14" s="196" t="s">
        <v>2107</v>
      </c>
    </row>
    <row r="15" spans="1:37" s="201" customFormat="1">
      <c r="A15" s="195" t="s">
        <v>539</v>
      </c>
      <c r="B15" s="196" t="s">
        <v>3083</v>
      </c>
      <c r="C15" s="196"/>
      <c r="D15" s="196" t="s">
        <v>2108</v>
      </c>
      <c r="E15" s="197">
        <v>39384</v>
      </c>
      <c r="F15" s="196" t="s">
        <v>58</v>
      </c>
      <c r="G15" s="196" t="s">
        <v>2109</v>
      </c>
      <c r="H15" s="196" t="s">
        <v>2110</v>
      </c>
      <c r="I15" s="196"/>
      <c r="J15" s="196" t="s">
        <v>2111</v>
      </c>
      <c r="K15" s="196" t="s">
        <v>3</v>
      </c>
      <c r="L15" s="196" t="s">
        <v>1151</v>
      </c>
      <c r="M15" s="198" t="s">
        <v>2112</v>
      </c>
      <c r="N15" s="196" t="s">
        <v>2113</v>
      </c>
      <c r="O15" s="199">
        <v>5266.57</v>
      </c>
      <c r="P15" s="196" t="s">
        <v>1161</v>
      </c>
      <c r="Q15" s="199"/>
      <c r="R15" s="199"/>
      <c r="S15" s="199"/>
      <c r="T15" s="199"/>
      <c r="U15" s="199"/>
      <c r="V15" s="199"/>
      <c r="W15" s="199">
        <f t="shared" si="0"/>
        <v>0</v>
      </c>
      <c r="X15" s="196" t="s">
        <v>1155</v>
      </c>
      <c r="Y15" s="199"/>
      <c r="Z15" s="200"/>
      <c r="AA15" s="200">
        <v>453</v>
      </c>
      <c r="AB15" s="200">
        <f t="shared" si="1"/>
        <v>453</v>
      </c>
      <c r="AC15" s="196" t="s">
        <v>540</v>
      </c>
      <c r="AD15" s="196" t="s">
        <v>59</v>
      </c>
      <c r="AE15" s="197">
        <v>40185</v>
      </c>
      <c r="AF15" s="197"/>
      <c r="AG15" s="197"/>
      <c r="AH15" s="199"/>
      <c r="AI15" s="196"/>
      <c r="AJ15" s="202" t="s">
        <v>2114</v>
      </c>
      <c r="AK15" s="196" t="s">
        <v>2107</v>
      </c>
    </row>
    <row r="16" spans="1:37" s="201" customFormat="1">
      <c r="A16" s="195" t="s">
        <v>542</v>
      </c>
      <c r="B16" s="196" t="s">
        <v>3083</v>
      </c>
      <c r="C16" s="196"/>
      <c r="D16" s="196" t="s">
        <v>2115</v>
      </c>
      <c r="E16" s="197">
        <v>39531</v>
      </c>
      <c r="F16" s="196" t="s">
        <v>58</v>
      </c>
      <c r="G16" s="196" t="s">
        <v>2116</v>
      </c>
      <c r="H16" s="196"/>
      <c r="I16" s="196" t="s">
        <v>2117</v>
      </c>
      <c r="J16" s="196" t="s">
        <v>2118</v>
      </c>
      <c r="K16" s="196" t="s">
        <v>3</v>
      </c>
      <c r="L16" s="196" t="s">
        <v>1151</v>
      </c>
      <c r="M16" s="198" t="s">
        <v>2119</v>
      </c>
      <c r="N16" s="196" t="s">
        <v>2120</v>
      </c>
      <c r="O16" s="199">
        <v>621.11</v>
      </c>
      <c r="P16" s="196" t="s">
        <v>1161</v>
      </c>
      <c r="Q16" s="199"/>
      <c r="R16" s="199"/>
      <c r="S16" s="199"/>
      <c r="T16" s="199">
        <v>1863.33</v>
      </c>
      <c r="U16" s="199"/>
      <c r="V16" s="199"/>
      <c r="W16" s="199">
        <f t="shared" si="0"/>
        <v>1863.33</v>
      </c>
      <c r="X16" s="196" t="s">
        <v>1155</v>
      </c>
      <c r="Y16" s="199"/>
      <c r="Z16" s="200">
        <v>1036</v>
      </c>
      <c r="AA16" s="200"/>
      <c r="AB16" s="200">
        <f t="shared" si="1"/>
        <v>1036</v>
      </c>
      <c r="AC16" s="196" t="s">
        <v>543</v>
      </c>
      <c r="AD16" s="196" t="s">
        <v>59</v>
      </c>
      <c r="AE16" s="197">
        <v>39871</v>
      </c>
      <c r="AF16" s="197"/>
      <c r="AG16" s="197"/>
      <c r="AH16" s="199"/>
      <c r="AI16" s="196"/>
      <c r="AJ16" s="196"/>
      <c r="AK16" s="196" t="s">
        <v>2107</v>
      </c>
    </row>
    <row r="17" spans="1:37" s="201" customFormat="1">
      <c r="A17" s="195" t="s">
        <v>544</v>
      </c>
      <c r="B17" s="196" t="s">
        <v>3083</v>
      </c>
      <c r="C17" s="196"/>
      <c r="D17" s="196" t="s">
        <v>2121</v>
      </c>
      <c r="E17" s="197">
        <v>38376</v>
      </c>
      <c r="F17" s="196" t="s">
        <v>58</v>
      </c>
      <c r="G17" s="196" t="s">
        <v>2122</v>
      </c>
      <c r="H17" s="196" t="s">
        <v>2123</v>
      </c>
      <c r="I17" s="196"/>
      <c r="J17" s="196" t="s">
        <v>2124</v>
      </c>
      <c r="K17" s="196" t="s">
        <v>40</v>
      </c>
      <c r="L17" s="196" t="s">
        <v>1151</v>
      </c>
      <c r="M17" s="198" t="s">
        <v>2125</v>
      </c>
      <c r="N17" s="196" t="s">
        <v>2126</v>
      </c>
      <c r="O17" s="199">
        <v>800</v>
      </c>
      <c r="P17" s="196" t="s">
        <v>1172</v>
      </c>
      <c r="Q17" s="199">
        <v>2400</v>
      </c>
      <c r="R17" s="199"/>
      <c r="S17" s="199"/>
      <c r="T17" s="199"/>
      <c r="U17" s="199"/>
      <c r="V17" s="199"/>
      <c r="W17" s="199">
        <f t="shared" si="0"/>
        <v>2400</v>
      </c>
      <c r="X17" s="196" t="s">
        <v>1155</v>
      </c>
      <c r="Y17" s="199"/>
      <c r="Z17" s="200">
        <v>960</v>
      </c>
      <c r="AA17" s="200">
        <v>70</v>
      </c>
      <c r="AB17" s="200">
        <f t="shared" si="1"/>
        <v>1030</v>
      </c>
      <c r="AC17" s="196" t="s">
        <v>545</v>
      </c>
      <c r="AD17" s="196" t="s">
        <v>59</v>
      </c>
      <c r="AE17" s="197">
        <v>40008</v>
      </c>
      <c r="AF17" s="197"/>
      <c r="AG17" s="197"/>
      <c r="AH17" s="199"/>
      <c r="AI17" s="196"/>
      <c r="AJ17" s="196" t="s">
        <v>2127</v>
      </c>
      <c r="AK17" s="196" t="s">
        <v>2107</v>
      </c>
    </row>
    <row r="18" spans="1:37" s="201" customFormat="1" ht="30">
      <c r="A18" s="195" t="s">
        <v>551</v>
      </c>
      <c r="B18" s="196" t="s">
        <v>3083</v>
      </c>
      <c r="C18" s="196" t="s">
        <v>3100</v>
      </c>
      <c r="D18" s="196"/>
      <c r="E18" s="197"/>
      <c r="F18" s="196" t="s">
        <v>58</v>
      </c>
      <c r="G18" s="196" t="s">
        <v>3101</v>
      </c>
      <c r="H18" s="196" t="s">
        <v>3102</v>
      </c>
      <c r="I18" s="196"/>
      <c r="J18" s="138" t="s">
        <v>3103</v>
      </c>
      <c r="K18" s="196" t="s">
        <v>4</v>
      </c>
      <c r="L18" s="196" t="s">
        <v>1151</v>
      </c>
      <c r="M18" s="198" t="s">
        <v>3104</v>
      </c>
      <c r="N18" s="196" t="s">
        <v>3105</v>
      </c>
      <c r="O18" s="199">
        <v>38803.440000000002</v>
      </c>
      <c r="P18" s="196" t="s">
        <v>1172</v>
      </c>
      <c r="Q18" s="199">
        <v>1074.8599999999999</v>
      </c>
      <c r="R18" s="199"/>
      <c r="S18" s="199"/>
      <c r="T18" s="199"/>
      <c r="U18" s="199"/>
      <c r="V18" s="199"/>
      <c r="W18" s="199">
        <f t="shared" si="0"/>
        <v>1074.8599999999999</v>
      </c>
      <c r="X18" s="196" t="s">
        <v>1155</v>
      </c>
      <c r="Y18" s="199"/>
      <c r="Z18" s="200">
        <v>0</v>
      </c>
      <c r="AA18" s="200">
        <v>0</v>
      </c>
      <c r="AB18" s="200">
        <f t="shared" si="1"/>
        <v>0</v>
      </c>
      <c r="AC18" s="196" t="s">
        <v>552</v>
      </c>
      <c r="AD18" s="196" t="s">
        <v>59</v>
      </c>
      <c r="AE18" s="197">
        <v>45517</v>
      </c>
      <c r="AF18" s="197"/>
      <c r="AG18" s="197"/>
      <c r="AH18" s="199"/>
      <c r="AI18" s="196"/>
      <c r="AJ18" s="196"/>
      <c r="AK18" s="196" t="s">
        <v>3097</v>
      </c>
    </row>
    <row r="19" spans="1:37" s="201" customFormat="1">
      <c r="A19" s="195" t="s">
        <v>601</v>
      </c>
      <c r="B19" s="196" t="s">
        <v>3083</v>
      </c>
      <c r="C19" s="196"/>
      <c r="D19" s="196" t="s">
        <v>2128</v>
      </c>
      <c r="E19" s="197">
        <v>38384</v>
      </c>
      <c r="F19" s="196" t="s">
        <v>58</v>
      </c>
      <c r="G19" s="196" t="s">
        <v>2129</v>
      </c>
      <c r="H19" s="196" t="s">
        <v>2130</v>
      </c>
      <c r="I19" s="196"/>
      <c r="J19" s="196" t="s">
        <v>2131</v>
      </c>
      <c r="K19" s="196" t="s">
        <v>3</v>
      </c>
      <c r="L19" s="196" t="s">
        <v>1151</v>
      </c>
      <c r="M19" s="198" t="s">
        <v>2132</v>
      </c>
      <c r="N19" s="196" t="s">
        <v>2133</v>
      </c>
      <c r="O19" s="199">
        <v>7589.9</v>
      </c>
      <c r="P19" s="196" t="s">
        <v>1172</v>
      </c>
      <c r="Q19" s="199">
        <v>22769.7</v>
      </c>
      <c r="R19" s="199"/>
      <c r="S19" s="199"/>
      <c r="T19" s="199"/>
      <c r="U19" s="199"/>
      <c r="V19" s="199"/>
      <c r="W19" s="199">
        <f t="shared" si="0"/>
        <v>22769.7</v>
      </c>
      <c r="X19" s="196" t="s">
        <v>1155</v>
      </c>
      <c r="Y19" s="199"/>
      <c r="Z19" s="203">
        <v>8133</v>
      </c>
      <c r="AA19" s="203"/>
      <c r="AB19" s="200">
        <f t="shared" si="1"/>
        <v>8133</v>
      </c>
      <c r="AC19" s="196" t="s">
        <v>602</v>
      </c>
      <c r="AD19" s="196" t="s">
        <v>59</v>
      </c>
      <c r="AE19" s="197">
        <v>38786</v>
      </c>
      <c r="AF19" s="197"/>
      <c r="AG19" s="197"/>
      <c r="AH19" s="199"/>
      <c r="AI19" s="196"/>
      <c r="AJ19" s="204"/>
      <c r="AK19" s="196" t="s">
        <v>2107</v>
      </c>
    </row>
    <row r="20" spans="1:37" s="201" customFormat="1" ht="30">
      <c r="A20" s="195" t="s">
        <v>603</v>
      </c>
      <c r="B20" s="196" t="s">
        <v>3083</v>
      </c>
      <c r="C20" s="196"/>
      <c r="D20" s="196" t="s">
        <v>2134</v>
      </c>
      <c r="E20" s="197">
        <v>38354</v>
      </c>
      <c r="F20" s="196" t="s">
        <v>58</v>
      </c>
      <c r="G20" s="196" t="s">
        <v>2135</v>
      </c>
      <c r="H20" s="196" t="s">
        <v>2136</v>
      </c>
      <c r="I20" s="196"/>
      <c r="J20" s="196" t="s">
        <v>2137</v>
      </c>
      <c r="K20" s="196" t="s">
        <v>40</v>
      </c>
      <c r="L20" s="196" t="s">
        <v>1151</v>
      </c>
      <c r="M20" s="198" t="s">
        <v>2138</v>
      </c>
      <c r="N20" s="138" t="s">
        <v>2139</v>
      </c>
      <c r="O20" s="199">
        <v>1404.76</v>
      </c>
      <c r="P20" s="196" t="s">
        <v>1172</v>
      </c>
      <c r="Q20" s="199">
        <v>4212.33</v>
      </c>
      <c r="R20" s="199"/>
      <c r="S20" s="199"/>
      <c r="T20" s="199"/>
      <c r="U20" s="199"/>
      <c r="V20" s="199"/>
      <c r="W20" s="199">
        <f t="shared" si="0"/>
        <v>4212.33</v>
      </c>
      <c r="X20" s="196" t="s">
        <v>1155</v>
      </c>
      <c r="Y20" s="199"/>
      <c r="Z20" s="200">
        <v>1685</v>
      </c>
      <c r="AA20" s="200"/>
      <c r="AB20" s="200">
        <f t="shared" si="1"/>
        <v>1685</v>
      </c>
      <c r="AC20" s="196" t="s">
        <v>604</v>
      </c>
      <c r="AD20" s="196" t="s">
        <v>59</v>
      </c>
      <c r="AE20" s="197">
        <v>39050</v>
      </c>
      <c r="AF20" s="197"/>
      <c r="AG20" s="197"/>
      <c r="AH20" s="199"/>
      <c r="AI20" s="196"/>
      <c r="AJ20" s="196"/>
      <c r="AK20" s="196" t="s">
        <v>2140</v>
      </c>
    </row>
    <row r="21" spans="1:37" s="201" customFormat="1">
      <c r="A21" s="195" t="s">
        <v>605</v>
      </c>
      <c r="B21" s="196" t="s">
        <v>3083</v>
      </c>
      <c r="C21" s="196"/>
      <c r="D21" s="196" t="s">
        <v>2141</v>
      </c>
      <c r="E21" s="197">
        <v>38385</v>
      </c>
      <c r="F21" s="196" t="s">
        <v>58</v>
      </c>
      <c r="G21" s="196" t="s">
        <v>2142</v>
      </c>
      <c r="H21" s="196" t="s">
        <v>2143</v>
      </c>
      <c r="I21" s="196"/>
      <c r="J21" s="196" t="s">
        <v>2144</v>
      </c>
      <c r="K21" s="196" t="s">
        <v>40</v>
      </c>
      <c r="L21" s="196" t="s">
        <v>1151</v>
      </c>
      <c r="M21" s="198" t="s">
        <v>2145</v>
      </c>
      <c r="N21" s="138" t="s">
        <v>2146</v>
      </c>
      <c r="O21" s="199">
        <v>2375</v>
      </c>
      <c r="P21" s="196" t="s">
        <v>1172</v>
      </c>
      <c r="Q21" s="199">
        <v>7125</v>
      </c>
      <c r="R21" s="199"/>
      <c r="S21" s="199"/>
      <c r="T21" s="199"/>
      <c r="U21" s="199"/>
      <c r="V21" s="199"/>
      <c r="W21" s="199">
        <f t="shared" si="0"/>
        <v>7125</v>
      </c>
      <c r="X21" s="196" t="s">
        <v>1155</v>
      </c>
      <c r="Y21" s="199"/>
      <c r="Z21" s="200">
        <v>2850</v>
      </c>
      <c r="AA21" s="200"/>
      <c r="AB21" s="200">
        <f t="shared" si="1"/>
        <v>2850</v>
      </c>
      <c r="AC21" s="196" t="s">
        <v>606</v>
      </c>
      <c r="AD21" s="196" t="s">
        <v>59</v>
      </c>
      <c r="AE21" s="197">
        <v>38897</v>
      </c>
      <c r="AF21" s="197"/>
      <c r="AG21" s="197"/>
      <c r="AH21" s="199"/>
      <c r="AI21" s="196"/>
      <c r="AJ21" s="196"/>
      <c r="AK21" s="196" t="s">
        <v>2140</v>
      </c>
    </row>
    <row r="22" spans="1:37" s="201" customFormat="1" ht="13.5" customHeight="1">
      <c r="A22" s="195" t="s">
        <v>607</v>
      </c>
      <c r="B22" s="196" t="s">
        <v>3083</v>
      </c>
      <c r="C22" s="196"/>
      <c r="D22" s="196" t="s">
        <v>2147</v>
      </c>
      <c r="E22" s="197">
        <v>38643</v>
      </c>
      <c r="F22" s="196" t="s">
        <v>58</v>
      </c>
      <c r="G22" s="196" t="s">
        <v>2148</v>
      </c>
      <c r="H22" s="196" t="s">
        <v>2149</v>
      </c>
      <c r="I22" s="196"/>
      <c r="J22" s="196" t="s">
        <v>2150</v>
      </c>
      <c r="K22" s="196" t="s">
        <v>4</v>
      </c>
      <c r="L22" s="196" t="s">
        <v>1151</v>
      </c>
      <c r="M22" s="198" t="s">
        <v>2151</v>
      </c>
      <c r="N22" s="196" t="s">
        <v>2152</v>
      </c>
      <c r="O22" s="199">
        <v>1040</v>
      </c>
      <c r="P22" s="196" t="s">
        <v>1161</v>
      </c>
      <c r="Q22" s="199"/>
      <c r="R22" s="199"/>
      <c r="S22" s="199"/>
      <c r="T22" s="199">
        <v>2079.1</v>
      </c>
      <c r="U22" s="199"/>
      <c r="V22" s="199"/>
      <c r="W22" s="199">
        <f t="shared" si="0"/>
        <v>2079.1</v>
      </c>
      <c r="X22" s="196" t="s">
        <v>1155</v>
      </c>
      <c r="Y22" s="199"/>
      <c r="Z22" s="200">
        <v>2311</v>
      </c>
      <c r="AA22" s="200"/>
      <c r="AB22" s="200">
        <f t="shared" si="1"/>
        <v>2311</v>
      </c>
      <c r="AC22" s="196" t="s">
        <v>608</v>
      </c>
      <c r="AD22" s="196" t="s">
        <v>59</v>
      </c>
      <c r="AE22" s="197">
        <v>39016</v>
      </c>
      <c r="AF22" s="197"/>
      <c r="AG22" s="197"/>
      <c r="AH22" s="199"/>
      <c r="AI22" s="196"/>
      <c r="AJ22" s="196"/>
      <c r="AK22" s="196" t="s">
        <v>2140</v>
      </c>
    </row>
    <row r="23" spans="1:37" s="201" customFormat="1">
      <c r="A23" s="195" t="s">
        <v>609</v>
      </c>
      <c r="B23" s="196" t="s">
        <v>3083</v>
      </c>
      <c r="C23" s="196"/>
      <c r="D23" s="196" t="s">
        <v>2153</v>
      </c>
      <c r="E23" s="197">
        <v>38707</v>
      </c>
      <c r="F23" s="196" t="s">
        <v>58</v>
      </c>
      <c r="G23" s="196" t="s">
        <v>2154</v>
      </c>
      <c r="H23" s="196" t="s">
        <v>2155</v>
      </c>
      <c r="I23" s="196"/>
      <c r="J23" s="196" t="s">
        <v>2156</v>
      </c>
      <c r="K23" s="196" t="s">
        <v>2</v>
      </c>
      <c r="L23" s="196" t="s">
        <v>1151</v>
      </c>
      <c r="M23" s="198" t="s">
        <v>2157</v>
      </c>
      <c r="N23" s="196" t="s">
        <v>2158</v>
      </c>
      <c r="O23" s="199">
        <v>1500</v>
      </c>
      <c r="P23" s="196" t="s">
        <v>1172</v>
      </c>
      <c r="Q23" s="199">
        <v>4500</v>
      </c>
      <c r="R23" s="199"/>
      <c r="S23" s="199"/>
      <c r="T23" s="199"/>
      <c r="U23" s="199"/>
      <c r="V23" s="199"/>
      <c r="W23" s="199">
        <f t="shared" si="0"/>
        <v>4500</v>
      </c>
      <c r="X23" s="196" t="s">
        <v>1155</v>
      </c>
      <c r="Y23" s="199"/>
      <c r="Z23" s="200">
        <v>3462</v>
      </c>
      <c r="AA23" s="200"/>
      <c r="AB23" s="200">
        <f t="shared" si="1"/>
        <v>3462</v>
      </c>
      <c r="AC23" s="196" t="s">
        <v>610</v>
      </c>
      <c r="AD23" s="196" t="s">
        <v>59</v>
      </c>
      <c r="AE23" s="197">
        <v>39254</v>
      </c>
      <c r="AF23" s="197"/>
      <c r="AG23" s="197"/>
      <c r="AH23" s="199"/>
      <c r="AI23" s="196"/>
      <c r="AJ23" s="196"/>
      <c r="AK23" s="196" t="s">
        <v>2140</v>
      </c>
    </row>
    <row r="24" spans="1:37" s="201" customFormat="1">
      <c r="A24" s="195" t="s">
        <v>612</v>
      </c>
      <c r="B24" s="196" t="s">
        <v>3083</v>
      </c>
      <c r="C24" s="196"/>
      <c r="D24" s="196" t="s">
        <v>2159</v>
      </c>
      <c r="E24" s="197">
        <v>38798</v>
      </c>
      <c r="F24" s="196" t="s">
        <v>58</v>
      </c>
      <c r="G24" s="196" t="s">
        <v>2160</v>
      </c>
      <c r="H24" s="196" t="s">
        <v>2161</v>
      </c>
      <c r="I24" s="196"/>
      <c r="J24" s="196" t="s">
        <v>2162</v>
      </c>
      <c r="K24" s="196" t="s">
        <v>4</v>
      </c>
      <c r="L24" s="196" t="s">
        <v>1160</v>
      </c>
      <c r="M24" s="198" t="s">
        <v>2163</v>
      </c>
      <c r="N24" s="196" t="s">
        <v>2164</v>
      </c>
      <c r="O24" s="199">
        <v>4475</v>
      </c>
      <c r="P24" s="196" t="s">
        <v>1161</v>
      </c>
      <c r="Q24" s="199"/>
      <c r="R24" s="199"/>
      <c r="S24" s="199"/>
      <c r="T24" s="199">
        <v>13425</v>
      </c>
      <c r="U24" s="199"/>
      <c r="V24" s="199"/>
      <c r="W24" s="199">
        <f t="shared" si="0"/>
        <v>13425</v>
      </c>
      <c r="X24" s="196" t="s">
        <v>1155</v>
      </c>
      <c r="Y24" s="199"/>
      <c r="Z24" s="200">
        <v>14917</v>
      </c>
      <c r="AA24" s="200"/>
      <c r="AB24" s="200">
        <f t="shared" si="1"/>
        <v>14917</v>
      </c>
      <c r="AC24" s="196" t="s">
        <v>614</v>
      </c>
      <c r="AD24" s="196" t="s">
        <v>59</v>
      </c>
      <c r="AE24" s="197">
        <v>39399</v>
      </c>
      <c r="AF24" s="197"/>
      <c r="AG24" s="197"/>
      <c r="AH24" s="199"/>
      <c r="AI24" s="196"/>
      <c r="AJ24" s="196" t="s">
        <v>2165</v>
      </c>
      <c r="AK24" s="196" t="s">
        <v>2140</v>
      </c>
    </row>
    <row r="25" spans="1:37" s="201" customFormat="1">
      <c r="A25" s="195" t="s">
        <v>612</v>
      </c>
      <c r="B25" s="196" t="s">
        <v>3083</v>
      </c>
      <c r="C25" s="196"/>
      <c r="D25" s="196" t="s">
        <v>2159</v>
      </c>
      <c r="E25" s="197">
        <v>38798</v>
      </c>
      <c r="F25" s="196" t="s">
        <v>58</v>
      </c>
      <c r="G25" s="196" t="s">
        <v>2160</v>
      </c>
      <c r="H25" s="196" t="s">
        <v>2161</v>
      </c>
      <c r="I25" s="196"/>
      <c r="J25" s="196" t="s">
        <v>2162</v>
      </c>
      <c r="K25" s="196" t="s">
        <v>4</v>
      </c>
      <c r="L25" s="196" t="s">
        <v>1151</v>
      </c>
      <c r="M25" s="198" t="s">
        <v>2163</v>
      </c>
      <c r="N25" s="196" t="s">
        <v>2164</v>
      </c>
      <c r="O25" s="199">
        <v>4475</v>
      </c>
      <c r="P25" s="196" t="s">
        <v>1161</v>
      </c>
      <c r="Q25" s="199"/>
      <c r="R25" s="199"/>
      <c r="S25" s="199"/>
      <c r="T25" s="199">
        <v>13425</v>
      </c>
      <c r="U25" s="199"/>
      <c r="V25" s="199"/>
      <c r="W25" s="199">
        <f t="shared" si="0"/>
        <v>13425</v>
      </c>
      <c r="X25" s="196" t="s">
        <v>1155</v>
      </c>
      <c r="Y25" s="199"/>
      <c r="Z25" s="200">
        <v>11127</v>
      </c>
      <c r="AA25" s="200"/>
      <c r="AB25" s="200">
        <f t="shared" si="1"/>
        <v>11127</v>
      </c>
      <c r="AC25" s="196" t="s">
        <v>613</v>
      </c>
      <c r="AD25" s="196" t="s">
        <v>61</v>
      </c>
      <c r="AE25" s="197">
        <v>39310</v>
      </c>
      <c r="AF25" s="197"/>
      <c r="AG25" s="197"/>
      <c r="AH25" s="199"/>
      <c r="AI25" s="196"/>
      <c r="AJ25" s="196" t="s">
        <v>2166</v>
      </c>
      <c r="AK25" s="196" t="s">
        <v>2140</v>
      </c>
    </row>
    <row r="26" spans="1:37" s="201" customFormat="1">
      <c r="A26" s="195" t="s">
        <v>628</v>
      </c>
      <c r="B26" s="196" t="s">
        <v>3083</v>
      </c>
      <c r="C26" s="196"/>
      <c r="D26" s="196" t="s">
        <v>2167</v>
      </c>
      <c r="E26" s="197">
        <v>39198</v>
      </c>
      <c r="F26" s="196" t="s">
        <v>58</v>
      </c>
      <c r="G26" s="196" t="s">
        <v>2168</v>
      </c>
      <c r="H26" s="196" t="s">
        <v>2169</v>
      </c>
      <c r="I26" s="196"/>
      <c r="J26" s="196" t="s">
        <v>2170</v>
      </c>
      <c r="K26" s="196" t="s">
        <v>40</v>
      </c>
      <c r="L26" s="196" t="s">
        <v>1151</v>
      </c>
      <c r="M26" s="198" t="s">
        <v>2171</v>
      </c>
      <c r="N26" s="196" t="s">
        <v>2172</v>
      </c>
      <c r="O26" s="199">
        <v>6865</v>
      </c>
      <c r="P26" s="196" t="s">
        <v>1172</v>
      </c>
      <c r="Q26" s="199">
        <v>20584.62</v>
      </c>
      <c r="R26" s="199"/>
      <c r="S26" s="199"/>
      <c r="T26" s="199"/>
      <c r="U26" s="199"/>
      <c r="V26" s="199"/>
      <c r="W26" s="199">
        <f t="shared" si="0"/>
        <v>20584.62</v>
      </c>
      <c r="X26" s="196" t="s">
        <v>1155</v>
      </c>
      <c r="Y26" s="199"/>
      <c r="Z26" s="200">
        <v>13530</v>
      </c>
      <c r="AA26" s="200"/>
      <c r="AB26" s="200">
        <f t="shared" si="1"/>
        <v>13530</v>
      </c>
      <c r="AC26" s="196" t="s">
        <v>630</v>
      </c>
      <c r="AD26" s="196" t="s">
        <v>59</v>
      </c>
      <c r="AE26" s="197">
        <v>40261</v>
      </c>
      <c r="AF26" s="197"/>
      <c r="AG26" s="197"/>
      <c r="AH26" s="199"/>
      <c r="AI26" s="196"/>
      <c r="AJ26" s="196"/>
      <c r="AK26" s="196" t="s">
        <v>2173</v>
      </c>
    </row>
    <row r="27" spans="1:37" s="201" customFormat="1">
      <c r="A27" s="195" t="s">
        <v>628</v>
      </c>
      <c r="B27" s="196" t="s">
        <v>3083</v>
      </c>
      <c r="C27" s="196"/>
      <c r="D27" s="196" t="s">
        <v>2167</v>
      </c>
      <c r="E27" s="197">
        <v>39198</v>
      </c>
      <c r="F27" s="196" t="s">
        <v>58</v>
      </c>
      <c r="G27" s="196" t="s">
        <v>2168</v>
      </c>
      <c r="H27" s="196" t="s">
        <v>2169</v>
      </c>
      <c r="I27" s="196"/>
      <c r="J27" s="196" t="s">
        <v>2170</v>
      </c>
      <c r="K27" s="196" t="s">
        <v>40</v>
      </c>
      <c r="L27" s="196" t="s">
        <v>1151</v>
      </c>
      <c r="M27" s="198" t="s">
        <v>2171</v>
      </c>
      <c r="N27" s="196" t="s">
        <v>2172</v>
      </c>
      <c r="O27" s="199">
        <v>6865</v>
      </c>
      <c r="P27" s="196" t="s">
        <v>1172</v>
      </c>
      <c r="Q27" s="199"/>
      <c r="R27" s="199"/>
      <c r="S27" s="199"/>
      <c r="T27" s="199"/>
      <c r="U27" s="199"/>
      <c r="V27" s="199"/>
      <c r="W27" s="199">
        <f t="shared" si="0"/>
        <v>0</v>
      </c>
      <c r="X27" s="196" t="s">
        <v>1155</v>
      </c>
      <c r="Y27" s="199"/>
      <c r="Z27" s="200"/>
      <c r="AA27" s="200">
        <v>4554</v>
      </c>
      <c r="AB27" s="200">
        <f t="shared" si="1"/>
        <v>4554</v>
      </c>
      <c r="AC27" s="196" t="s">
        <v>629</v>
      </c>
      <c r="AD27" s="196" t="s">
        <v>59</v>
      </c>
      <c r="AE27" s="197">
        <v>39609</v>
      </c>
      <c r="AF27" s="197"/>
      <c r="AG27" s="197"/>
      <c r="AH27" s="199"/>
      <c r="AI27" s="196"/>
      <c r="AJ27" s="196"/>
      <c r="AK27" s="196" t="s">
        <v>2173</v>
      </c>
    </row>
    <row r="28" spans="1:37" s="201" customFormat="1">
      <c r="A28" s="195" t="s">
        <v>631</v>
      </c>
      <c r="B28" s="196" t="s">
        <v>3083</v>
      </c>
      <c r="C28" s="196"/>
      <c r="D28" s="196" t="s">
        <v>2174</v>
      </c>
      <c r="E28" s="197">
        <v>39237</v>
      </c>
      <c r="F28" s="196" t="s">
        <v>58</v>
      </c>
      <c r="G28" s="196" t="s">
        <v>2175</v>
      </c>
      <c r="H28" s="196" t="s">
        <v>2176</v>
      </c>
      <c r="I28" s="196"/>
      <c r="J28" s="196" t="s">
        <v>2177</v>
      </c>
      <c r="K28" s="196" t="s">
        <v>40</v>
      </c>
      <c r="L28" s="196" t="s">
        <v>1151</v>
      </c>
      <c r="M28" s="198" t="s">
        <v>2178</v>
      </c>
      <c r="N28" s="196" t="s">
        <v>2179</v>
      </c>
      <c r="O28" s="199">
        <v>5800</v>
      </c>
      <c r="P28" s="196" t="s">
        <v>1172</v>
      </c>
      <c r="Q28" s="199">
        <v>15501.12</v>
      </c>
      <c r="R28" s="199"/>
      <c r="S28" s="199"/>
      <c r="T28" s="199"/>
      <c r="U28" s="199"/>
      <c r="V28" s="199"/>
      <c r="W28" s="199">
        <f t="shared" si="0"/>
        <v>15501.12</v>
      </c>
      <c r="X28" s="196" t="s">
        <v>1155</v>
      </c>
      <c r="Y28" s="199"/>
      <c r="Z28" s="200">
        <v>5737</v>
      </c>
      <c r="AA28" s="200"/>
      <c r="AB28" s="200">
        <f t="shared" si="1"/>
        <v>5737</v>
      </c>
      <c r="AC28" s="196" t="s">
        <v>632</v>
      </c>
      <c r="AD28" s="196" t="s">
        <v>59</v>
      </c>
      <c r="AE28" s="197">
        <v>39696</v>
      </c>
      <c r="AF28" s="197"/>
      <c r="AG28" s="197"/>
      <c r="AH28" s="199"/>
      <c r="AI28" s="196"/>
      <c r="AJ28" s="196"/>
      <c r="AK28" s="196" t="s">
        <v>2173</v>
      </c>
    </row>
    <row r="29" spans="1:37" s="201" customFormat="1">
      <c r="A29" s="195" t="s">
        <v>633</v>
      </c>
      <c r="B29" s="196" t="s">
        <v>3083</v>
      </c>
      <c r="C29" s="196"/>
      <c r="D29" s="196" t="s">
        <v>2180</v>
      </c>
      <c r="E29" s="197">
        <v>39288</v>
      </c>
      <c r="F29" s="196" t="s">
        <v>58</v>
      </c>
      <c r="G29" s="196" t="s">
        <v>2181</v>
      </c>
      <c r="H29" s="196" t="s">
        <v>2182</v>
      </c>
      <c r="I29" s="196"/>
      <c r="J29" s="196" t="s">
        <v>2183</v>
      </c>
      <c r="K29" s="196" t="s">
        <v>40</v>
      </c>
      <c r="L29" s="196" t="s">
        <v>1151</v>
      </c>
      <c r="M29" s="198" t="s">
        <v>2184</v>
      </c>
      <c r="N29" s="196" t="s">
        <v>2185</v>
      </c>
      <c r="O29" s="199">
        <v>1641.4</v>
      </c>
      <c r="P29" s="196" t="s">
        <v>1172</v>
      </c>
      <c r="Q29" s="199">
        <v>4915.3999999999996</v>
      </c>
      <c r="R29" s="199"/>
      <c r="S29" s="199"/>
      <c r="T29" s="199"/>
      <c r="U29" s="199"/>
      <c r="V29" s="199"/>
      <c r="W29" s="199">
        <f t="shared" si="0"/>
        <v>4915.3999999999996</v>
      </c>
      <c r="X29" s="196" t="s">
        <v>1155</v>
      </c>
      <c r="Y29" s="199"/>
      <c r="Z29" s="200">
        <v>4372</v>
      </c>
      <c r="AA29" s="200"/>
      <c r="AB29" s="200">
        <f t="shared" si="1"/>
        <v>4372</v>
      </c>
      <c r="AC29" s="196" t="s">
        <v>634</v>
      </c>
      <c r="AD29" s="196" t="s">
        <v>59</v>
      </c>
      <c r="AE29" s="197">
        <v>39423</v>
      </c>
      <c r="AF29" s="197"/>
      <c r="AG29" s="197"/>
      <c r="AH29" s="199"/>
      <c r="AI29" s="196"/>
      <c r="AJ29" s="196"/>
      <c r="AK29" s="196" t="s">
        <v>2173</v>
      </c>
    </row>
    <row r="30" spans="1:37" s="201" customFormat="1">
      <c r="A30" s="195" t="s">
        <v>635</v>
      </c>
      <c r="B30" s="196" t="s">
        <v>3083</v>
      </c>
      <c r="C30" s="196"/>
      <c r="D30" s="196" t="s">
        <v>2186</v>
      </c>
      <c r="E30" s="197">
        <v>39519</v>
      </c>
      <c r="F30" s="196" t="s">
        <v>58</v>
      </c>
      <c r="G30" s="196" t="s">
        <v>2187</v>
      </c>
      <c r="H30" s="196" t="s">
        <v>2149</v>
      </c>
      <c r="I30" s="196"/>
      <c r="J30" s="196" t="s">
        <v>2188</v>
      </c>
      <c r="K30" s="196" t="s">
        <v>4</v>
      </c>
      <c r="L30" s="196" t="s">
        <v>1151</v>
      </c>
      <c r="M30" s="198" t="s">
        <v>2189</v>
      </c>
      <c r="N30" s="196" t="s">
        <v>2190</v>
      </c>
      <c r="O30" s="199">
        <v>1000</v>
      </c>
      <c r="P30" s="196" t="s">
        <v>1161</v>
      </c>
      <c r="Q30" s="199"/>
      <c r="R30" s="199"/>
      <c r="S30" s="199"/>
      <c r="T30" s="199">
        <v>2000</v>
      </c>
      <c r="U30" s="199"/>
      <c r="V30" s="199"/>
      <c r="W30" s="199">
        <f t="shared" si="0"/>
        <v>2000</v>
      </c>
      <c r="X30" s="196" t="s">
        <v>1155</v>
      </c>
      <c r="Y30" s="199"/>
      <c r="Z30" s="200">
        <v>2167</v>
      </c>
      <c r="AA30" s="200"/>
      <c r="AB30" s="200">
        <f t="shared" si="1"/>
        <v>2167</v>
      </c>
      <c r="AC30" s="196" t="s">
        <v>636</v>
      </c>
      <c r="AD30" s="196" t="s">
        <v>59</v>
      </c>
      <c r="AE30" s="197">
        <v>39624</v>
      </c>
      <c r="AF30" s="197"/>
      <c r="AG30" s="197"/>
      <c r="AH30" s="199"/>
      <c r="AI30" s="196"/>
      <c r="AJ30" s="196"/>
      <c r="AK30" s="196" t="s">
        <v>2173</v>
      </c>
    </row>
    <row r="31" spans="1:37" s="201" customFormat="1">
      <c r="A31" s="196" t="s">
        <v>637</v>
      </c>
      <c r="B31" s="196" t="s">
        <v>3083</v>
      </c>
      <c r="C31" s="196" t="s">
        <v>2191</v>
      </c>
      <c r="D31" s="196"/>
      <c r="E31" s="197">
        <v>43714</v>
      </c>
      <c r="F31" s="196" t="s">
        <v>58</v>
      </c>
      <c r="G31" s="196" t="s">
        <v>2192</v>
      </c>
      <c r="H31" s="196" t="s">
        <v>2193</v>
      </c>
      <c r="I31" s="196"/>
      <c r="J31" s="205" t="s">
        <v>2194</v>
      </c>
      <c r="K31" s="196" t="s">
        <v>2</v>
      </c>
      <c r="L31" s="196" t="s">
        <v>1151</v>
      </c>
      <c r="M31" s="198" t="s">
        <v>2157</v>
      </c>
      <c r="N31" s="196" t="s">
        <v>2195</v>
      </c>
      <c r="O31" s="199">
        <v>13458.64</v>
      </c>
      <c r="P31" s="196" t="s">
        <v>1161</v>
      </c>
      <c r="Q31" s="199"/>
      <c r="R31" s="199"/>
      <c r="S31" s="199"/>
      <c r="T31" s="199">
        <v>33109.949999999997</v>
      </c>
      <c r="U31" s="199"/>
      <c r="V31" s="199"/>
      <c r="W31" s="199">
        <f t="shared" si="0"/>
        <v>33109.949999999997</v>
      </c>
      <c r="X31" s="196" t="s">
        <v>1155</v>
      </c>
      <c r="Y31" s="199"/>
      <c r="Z31" s="200">
        <v>47291</v>
      </c>
      <c r="AA31" s="200">
        <v>2775</v>
      </c>
      <c r="AB31" s="200">
        <f t="shared" si="1"/>
        <v>50066</v>
      </c>
      <c r="AC31" s="196" t="s">
        <v>644</v>
      </c>
      <c r="AD31" s="196" t="s">
        <v>59</v>
      </c>
      <c r="AE31" s="197">
        <v>44772</v>
      </c>
      <c r="AF31" s="197"/>
      <c r="AG31" s="197"/>
      <c r="AH31" s="199"/>
      <c r="AI31" s="196"/>
      <c r="AJ31" s="196"/>
      <c r="AK31" s="196" t="s">
        <v>2196</v>
      </c>
    </row>
    <row r="32" spans="1:37" s="201" customFormat="1" ht="45">
      <c r="A32" s="196" t="s">
        <v>637</v>
      </c>
      <c r="B32" s="196" t="s">
        <v>3083</v>
      </c>
      <c r="C32" s="196" t="s">
        <v>1603</v>
      </c>
      <c r="D32" s="196"/>
      <c r="E32" s="197">
        <v>43714</v>
      </c>
      <c r="F32" s="196" t="s">
        <v>58</v>
      </c>
      <c r="G32" s="196" t="s">
        <v>2192</v>
      </c>
      <c r="H32" s="196" t="s">
        <v>2193</v>
      </c>
      <c r="I32" s="196"/>
      <c r="J32" s="206" t="s">
        <v>2197</v>
      </c>
      <c r="K32" s="196" t="s">
        <v>2</v>
      </c>
      <c r="L32" s="196" t="s">
        <v>1151</v>
      </c>
      <c r="M32" s="198" t="s">
        <v>2157</v>
      </c>
      <c r="N32" s="138" t="s">
        <v>2198</v>
      </c>
      <c r="O32" s="199">
        <v>13034.02</v>
      </c>
      <c r="P32" s="196" t="s">
        <v>1161</v>
      </c>
      <c r="Q32" s="199"/>
      <c r="R32" s="199"/>
      <c r="S32" s="199"/>
      <c r="T32" s="199">
        <v>33109.96</v>
      </c>
      <c r="U32" s="199"/>
      <c r="V32" s="199"/>
      <c r="W32" s="199">
        <f t="shared" si="0"/>
        <v>33109.96</v>
      </c>
      <c r="X32" s="196" t="s">
        <v>1155</v>
      </c>
      <c r="Y32" s="199"/>
      <c r="Z32" s="200">
        <v>47291</v>
      </c>
      <c r="AA32" s="200">
        <v>2775</v>
      </c>
      <c r="AB32" s="200">
        <f t="shared" si="1"/>
        <v>50066</v>
      </c>
      <c r="AC32" s="196" t="s">
        <v>643</v>
      </c>
      <c r="AD32" s="196" t="s">
        <v>61</v>
      </c>
      <c r="AE32" s="197">
        <v>44476</v>
      </c>
      <c r="AF32" s="197"/>
      <c r="AG32" s="197"/>
      <c r="AH32" s="199"/>
      <c r="AI32" s="196"/>
      <c r="AJ32" s="196"/>
      <c r="AK32" s="196" t="s">
        <v>2196</v>
      </c>
    </row>
    <row r="33" spans="1:37" s="201" customFormat="1" ht="45">
      <c r="A33" s="196" t="s">
        <v>637</v>
      </c>
      <c r="B33" s="196" t="s">
        <v>3083</v>
      </c>
      <c r="C33" s="196"/>
      <c r="D33" s="196" t="s">
        <v>2199</v>
      </c>
      <c r="E33" s="197">
        <v>39444</v>
      </c>
      <c r="F33" s="196" t="s">
        <v>58</v>
      </c>
      <c r="G33" s="196" t="s">
        <v>2192</v>
      </c>
      <c r="H33" s="196" t="s">
        <v>2193</v>
      </c>
      <c r="I33" s="196"/>
      <c r="J33" s="206" t="s">
        <v>2197</v>
      </c>
      <c r="K33" s="196" t="s">
        <v>2</v>
      </c>
      <c r="L33" s="196" t="s">
        <v>1151</v>
      </c>
      <c r="M33" s="198" t="s">
        <v>2157</v>
      </c>
      <c r="N33" s="138" t="s">
        <v>2198</v>
      </c>
      <c r="O33" s="199">
        <v>13034.02</v>
      </c>
      <c r="P33" s="196" t="s">
        <v>1161</v>
      </c>
      <c r="Q33" s="199"/>
      <c r="R33" s="199"/>
      <c r="S33" s="199"/>
      <c r="T33" s="199">
        <v>33109.96</v>
      </c>
      <c r="U33" s="199"/>
      <c r="V33" s="199"/>
      <c r="W33" s="199">
        <f t="shared" si="0"/>
        <v>33109.96</v>
      </c>
      <c r="X33" s="196" t="s">
        <v>1155</v>
      </c>
      <c r="Y33" s="199"/>
      <c r="Z33" s="200">
        <v>47291</v>
      </c>
      <c r="AA33" s="200">
        <v>5014</v>
      </c>
      <c r="AB33" s="200">
        <f t="shared" si="1"/>
        <v>52305</v>
      </c>
      <c r="AC33" s="196" t="s">
        <v>642</v>
      </c>
      <c r="AD33" s="196" t="s">
        <v>61</v>
      </c>
      <c r="AE33" s="197">
        <v>43325</v>
      </c>
      <c r="AF33" s="197"/>
      <c r="AG33" s="199"/>
      <c r="AH33" s="199"/>
      <c r="AI33" s="196"/>
      <c r="AJ33" s="196" t="s">
        <v>2200</v>
      </c>
      <c r="AK33" s="196" t="s">
        <v>2196</v>
      </c>
    </row>
    <row r="34" spans="1:37" s="201" customFormat="1" ht="45">
      <c r="A34" s="138" t="s">
        <v>637</v>
      </c>
      <c r="B34" s="196" t="s">
        <v>3083</v>
      </c>
      <c r="C34" s="138"/>
      <c r="D34" s="138" t="s">
        <v>2199</v>
      </c>
      <c r="E34" s="197">
        <v>39444</v>
      </c>
      <c r="F34" s="138" t="s">
        <v>58</v>
      </c>
      <c r="G34" s="138" t="s">
        <v>2192</v>
      </c>
      <c r="H34" s="138" t="s">
        <v>2193</v>
      </c>
      <c r="I34" s="138"/>
      <c r="J34" s="206" t="s">
        <v>2197</v>
      </c>
      <c r="K34" s="138" t="s">
        <v>2</v>
      </c>
      <c r="L34" s="138" t="s">
        <v>1151</v>
      </c>
      <c r="M34" s="207" t="s">
        <v>2157</v>
      </c>
      <c r="N34" s="138" t="s">
        <v>2201</v>
      </c>
      <c r="O34" s="208">
        <v>12121.78</v>
      </c>
      <c r="P34" s="138" t="s">
        <v>1161</v>
      </c>
      <c r="Q34" s="208"/>
      <c r="R34" s="208"/>
      <c r="S34" s="208"/>
      <c r="T34" s="199">
        <v>33109.96</v>
      </c>
      <c r="U34" s="199"/>
      <c r="V34" s="199"/>
      <c r="W34" s="208">
        <f t="shared" si="0"/>
        <v>33109.96</v>
      </c>
      <c r="X34" s="196" t="s">
        <v>1155</v>
      </c>
      <c r="Y34" s="208"/>
      <c r="Z34" s="209">
        <v>47899</v>
      </c>
      <c r="AA34" s="209">
        <v>2382</v>
      </c>
      <c r="AB34" s="209">
        <f t="shared" si="1"/>
        <v>50281</v>
      </c>
      <c r="AC34" s="196" t="s">
        <v>641</v>
      </c>
      <c r="AD34" s="138" t="s">
        <v>61</v>
      </c>
      <c r="AE34" s="210">
        <v>41894</v>
      </c>
      <c r="AF34" s="210"/>
      <c r="AG34" s="208"/>
      <c r="AH34" s="208"/>
      <c r="AI34" s="138"/>
      <c r="AJ34" s="138"/>
      <c r="AK34" s="196" t="s">
        <v>2196</v>
      </c>
    </row>
    <row r="35" spans="1:37" s="201" customFormat="1" ht="90">
      <c r="A35" s="138" t="s">
        <v>637</v>
      </c>
      <c r="B35" s="196" t="s">
        <v>3083</v>
      </c>
      <c r="C35" s="196"/>
      <c r="D35" s="138" t="s">
        <v>2199</v>
      </c>
      <c r="E35" s="197">
        <v>39444</v>
      </c>
      <c r="F35" s="196" t="s">
        <v>58</v>
      </c>
      <c r="G35" s="206" t="s">
        <v>2202</v>
      </c>
      <c r="H35" s="138" t="s">
        <v>2203</v>
      </c>
      <c r="I35" s="196"/>
      <c r="J35" s="206" t="s">
        <v>2197</v>
      </c>
      <c r="K35" s="196" t="s">
        <v>2</v>
      </c>
      <c r="L35" s="196" t="s">
        <v>1151</v>
      </c>
      <c r="M35" s="207" t="s">
        <v>2157</v>
      </c>
      <c r="N35" s="138" t="s">
        <v>2204</v>
      </c>
      <c r="O35" s="199">
        <v>11748.75</v>
      </c>
      <c r="P35" s="196" t="s">
        <v>1161</v>
      </c>
      <c r="Q35" s="199"/>
      <c r="R35" s="199"/>
      <c r="S35" s="199"/>
      <c r="T35" s="199">
        <v>33109.96</v>
      </c>
      <c r="U35" s="199"/>
      <c r="V35" s="199"/>
      <c r="W35" s="199">
        <f t="shared" si="0"/>
        <v>33109.96</v>
      </c>
      <c r="X35" s="196" t="s">
        <v>1155</v>
      </c>
      <c r="Y35" s="199"/>
      <c r="Z35" s="200">
        <v>2737</v>
      </c>
      <c r="AA35" s="200"/>
      <c r="AB35" s="200">
        <f t="shared" si="1"/>
        <v>2737</v>
      </c>
      <c r="AC35" s="196" t="s">
        <v>640</v>
      </c>
      <c r="AD35" s="196" t="s">
        <v>61</v>
      </c>
      <c r="AE35" s="197">
        <v>40319</v>
      </c>
      <c r="AF35" s="197"/>
      <c r="AG35" s="199"/>
      <c r="AH35" s="199"/>
      <c r="AI35" s="196"/>
      <c r="AJ35" s="196" t="s">
        <v>2205</v>
      </c>
      <c r="AK35" s="196" t="s">
        <v>2196</v>
      </c>
    </row>
    <row r="36" spans="1:37" s="201" customFormat="1" ht="90">
      <c r="A36" s="138" t="s">
        <v>637</v>
      </c>
      <c r="B36" s="196" t="s">
        <v>3083</v>
      </c>
      <c r="C36" s="196"/>
      <c r="D36" s="138" t="s">
        <v>2199</v>
      </c>
      <c r="E36" s="197">
        <v>39444</v>
      </c>
      <c r="F36" s="196" t="s">
        <v>58</v>
      </c>
      <c r="G36" s="196" t="s">
        <v>2206</v>
      </c>
      <c r="H36" s="138" t="s">
        <v>2193</v>
      </c>
      <c r="I36" s="196"/>
      <c r="J36" s="206" t="s">
        <v>2197</v>
      </c>
      <c r="K36" s="196" t="s">
        <v>2</v>
      </c>
      <c r="L36" s="196" t="s">
        <v>1151</v>
      </c>
      <c r="M36" s="207" t="s">
        <v>2157</v>
      </c>
      <c r="N36" s="138" t="s">
        <v>2207</v>
      </c>
      <c r="O36" s="199">
        <v>9352.25</v>
      </c>
      <c r="P36" s="196" t="s">
        <v>1161</v>
      </c>
      <c r="Q36" s="199"/>
      <c r="R36" s="199"/>
      <c r="S36" s="199"/>
      <c r="T36" s="199">
        <v>28056.75</v>
      </c>
      <c r="U36" s="199"/>
      <c r="V36" s="199"/>
      <c r="W36" s="199">
        <f t="shared" si="0"/>
        <v>28056.75</v>
      </c>
      <c r="X36" s="196" t="s">
        <v>1155</v>
      </c>
      <c r="Y36" s="199"/>
      <c r="Z36" s="200">
        <v>45886</v>
      </c>
      <c r="AA36" s="200"/>
      <c r="AB36" s="200">
        <f t="shared" si="1"/>
        <v>45886</v>
      </c>
      <c r="AC36" s="196" t="s">
        <v>639</v>
      </c>
      <c r="AD36" s="196" t="s">
        <v>61</v>
      </c>
      <c r="AE36" s="197">
        <v>39862</v>
      </c>
      <c r="AF36" s="197"/>
      <c r="AG36" s="197"/>
      <c r="AH36" s="199"/>
      <c r="AI36" s="196"/>
      <c r="AJ36" s="196"/>
      <c r="AK36" s="196" t="s">
        <v>2196</v>
      </c>
    </row>
    <row r="37" spans="1:37" s="201" customFormat="1" ht="90">
      <c r="A37" s="138" t="s">
        <v>637</v>
      </c>
      <c r="B37" s="196" t="s">
        <v>3083</v>
      </c>
      <c r="C37" s="196"/>
      <c r="D37" s="138" t="s">
        <v>2199</v>
      </c>
      <c r="E37" s="197">
        <v>39444</v>
      </c>
      <c r="F37" s="196" t="s">
        <v>58</v>
      </c>
      <c r="G37" s="196" t="s">
        <v>2208</v>
      </c>
      <c r="H37" s="138" t="s">
        <v>2193</v>
      </c>
      <c r="I37" s="196"/>
      <c r="J37" s="206" t="s">
        <v>2197</v>
      </c>
      <c r="K37" s="196" t="s">
        <v>2</v>
      </c>
      <c r="L37" s="196" t="s">
        <v>1151</v>
      </c>
      <c r="M37" s="207" t="s">
        <v>2157</v>
      </c>
      <c r="N37" s="138" t="s">
        <v>2209</v>
      </c>
      <c r="O37" s="199">
        <v>9177.25</v>
      </c>
      <c r="P37" s="196" t="s">
        <v>1161</v>
      </c>
      <c r="Q37" s="199"/>
      <c r="R37" s="199"/>
      <c r="S37" s="199"/>
      <c r="T37" s="199">
        <v>27531.55</v>
      </c>
      <c r="U37" s="199"/>
      <c r="V37" s="199"/>
      <c r="W37" s="199">
        <f t="shared" si="0"/>
        <v>27531.55</v>
      </c>
      <c r="X37" s="196" t="s">
        <v>1155</v>
      </c>
      <c r="Y37" s="199"/>
      <c r="Z37" s="200">
        <v>45886</v>
      </c>
      <c r="AA37" s="200"/>
      <c r="AB37" s="200">
        <f t="shared" si="1"/>
        <v>45886</v>
      </c>
      <c r="AC37" s="196" t="s">
        <v>638</v>
      </c>
      <c r="AD37" s="196" t="s">
        <v>61</v>
      </c>
      <c r="AE37" s="197">
        <v>39493</v>
      </c>
      <c r="AF37" s="197"/>
      <c r="AG37" s="197"/>
      <c r="AH37" s="199"/>
      <c r="AI37" s="196"/>
      <c r="AJ37" s="196"/>
      <c r="AK37" s="196" t="s">
        <v>2196</v>
      </c>
    </row>
    <row r="38" spans="1:37" s="201" customFormat="1" ht="60">
      <c r="A38" s="138" t="s">
        <v>645</v>
      </c>
      <c r="B38" s="196" t="s">
        <v>3083</v>
      </c>
      <c r="C38" s="196"/>
      <c r="D38" s="196" t="s">
        <v>2210</v>
      </c>
      <c r="E38" s="197">
        <v>40267</v>
      </c>
      <c r="F38" s="196" t="s">
        <v>58</v>
      </c>
      <c r="G38" s="196" t="s">
        <v>2211</v>
      </c>
      <c r="H38" s="196" t="s">
        <v>2212</v>
      </c>
      <c r="I38" s="196"/>
      <c r="J38" s="206" t="s">
        <v>2213</v>
      </c>
      <c r="K38" s="196" t="s">
        <v>40</v>
      </c>
      <c r="L38" s="196" t="s">
        <v>1160</v>
      </c>
      <c r="M38" s="198" t="s">
        <v>2214</v>
      </c>
      <c r="N38" s="138" t="s">
        <v>2215</v>
      </c>
      <c r="O38" s="199">
        <v>3669.12</v>
      </c>
      <c r="P38" s="196" t="s">
        <v>1161</v>
      </c>
      <c r="Q38" s="199"/>
      <c r="R38" s="199"/>
      <c r="S38" s="199"/>
      <c r="T38" s="199">
        <v>11007.36</v>
      </c>
      <c r="U38" s="199"/>
      <c r="V38" s="199"/>
      <c r="W38" s="199">
        <f t="shared" si="0"/>
        <v>11007.36</v>
      </c>
      <c r="X38" s="196" t="s">
        <v>1155</v>
      </c>
      <c r="Y38" s="199"/>
      <c r="Z38" s="200">
        <v>9540</v>
      </c>
      <c r="AA38" s="200"/>
      <c r="AB38" s="200">
        <f t="shared" si="1"/>
        <v>9540</v>
      </c>
      <c r="AC38" s="196" t="s">
        <v>648</v>
      </c>
      <c r="AD38" s="196" t="s">
        <v>59</v>
      </c>
      <c r="AE38" s="197">
        <v>40381</v>
      </c>
      <c r="AF38" s="197"/>
      <c r="AG38" s="197"/>
      <c r="AH38" s="199"/>
      <c r="AI38" s="196"/>
      <c r="AJ38" s="138" t="s">
        <v>2216</v>
      </c>
      <c r="AK38" s="196" t="s">
        <v>2196</v>
      </c>
    </row>
    <row r="39" spans="1:37" s="201" customFormat="1" ht="45">
      <c r="A39" s="138" t="s">
        <v>645</v>
      </c>
      <c r="B39" s="196" t="s">
        <v>3083</v>
      </c>
      <c r="C39" s="196"/>
      <c r="D39" s="196" t="s">
        <v>2210</v>
      </c>
      <c r="E39" s="197">
        <v>40267</v>
      </c>
      <c r="F39" s="196" t="s">
        <v>58</v>
      </c>
      <c r="G39" s="196" t="s">
        <v>2217</v>
      </c>
      <c r="H39" s="196" t="s">
        <v>2212</v>
      </c>
      <c r="I39" s="196"/>
      <c r="J39" s="206" t="s">
        <v>2218</v>
      </c>
      <c r="K39" s="196" t="s">
        <v>40</v>
      </c>
      <c r="L39" s="196" t="s">
        <v>1160</v>
      </c>
      <c r="M39" s="198" t="s">
        <v>2214</v>
      </c>
      <c r="N39" s="138" t="s">
        <v>2219</v>
      </c>
      <c r="O39" s="199">
        <v>3096.86</v>
      </c>
      <c r="P39" s="196" t="s">
        <v>1161</v>
      </c>
      <c r="Q39" s="199"/>
      <c r="R39" s="199"/>
      <c r="S39" s="199"/>
      <c r="T39" s="199">
        <v>9290.58</v>
      </c>
      <c r="U39" s="199"/>
      <c r="V39" s="199"/>
      <c r="W39" s="199">
        <f t="shared" si="0"/>
        <v>9290.58</v>
      </c>
      <c r="X39" s="196" t="s">
        <v>1155</v>
      </c>
      <c r="Y39" s="199"/>
      <c r="Z39" s="200">
        <v>8672</v>
      </c>
      <c r="AA39" s="200"/>
      <c r="AB39" s="200">
        <f t="shared" si="1"/>
        <v>8672</v>
      </c>
      <c r="AC39" s="196" t="s">
        <v>647</v>
      </c>
      <c r="AD39" s="196" t="s">
        <v>61</v>
      </c>
      <c r="AE39" s="197">
        <v>39955</v>
      </c>
      <c r="AF39" s="197"/>
      <c r="AG39" s="197"/>
      <c r="AH39" s="199"/>
      <c r="AI39" s="196"/>
      <c r="AJ39" s="196" t="s">
        <v>2220</v>
      </c>
      <c r="AK39" s="196" t="s">
        <v>2196</v>
      </c>
    </row>
    <row r="40" spans="1:37" s="201" customFormat="1">
      <c r="A40" s="138" t="s">
        <v>645</v>
      </c>
      <c r="B40" s="196" t="s">
        <v>3083</v>
      </c>
      <c r="C40" s="196"/>
      <c r="D40" s="196" t="s">
        <v>2210</v>
      </c>
      <c r="E40" s="197">
        <v>40267</v>
      </c>
      <c r="F40" s="196" t="s">
        <v>58</v>
      </c>
      <c r="G40" s="196" t="s">
        <v>2217</v>
      </c>
      <c r="H40" s="196" t="s">
        <v>2212</v>
      </c>
      <c r="I40" s="196"/>
      <c r="J40" s="202" t="s">
        <v>2221</v>
      </c>
      <c r="K40" s="196" t="s">
        <v>40</v>
      </c>
      <c r="L40" s="196" t="s">
        <v>1151</v>
      </c>
      <c r="M40" s="198" t="s">
        <v>2214</v>
      </c>
      <c r="N40" s="138" t="s">
        <v>2222</v>
      </c>
      <c r="O40" s="199">
        <v>2198.69</v>
      </c>
      <c r="P40" s="196" t="s">
        <v>1161</v>
      </c>
      <c r="Q40" s="199"/>
      <c r="R40" s="199"/>
      <c r="S40" s="199"/>
      <c r="T40" s="199">
        <v>6596.07</v>
      </c>
      <c r="U40" s="199"/>
      <c r="V40" s="199"/>
      <c r="W40" s="199">
        <f t="shared" si="0"/>
        <v>6596.07</v>
      </c>
      <c r="X40" s="196" t="s">
        <v>1155</v>
      </c>
      <c r="Y40" s="199"/>
      <c r="Z40" s="200">
        <v>6597</v>
      </c>
      <c r="AA40" s="200"/>
      <c r="AB40" s="200">
        <f t="shared" si="1"/>
        <v>6597</v>
      </c>
      <c r="AC40" s="196" t="s">
        <v>646</v>
      </c>
      <c r="AD40" s="196" t="s">
        <v>61</v>
      </c>
      <c r="AE40" s="197">
        <v>39770</v>
      </c>
      <c r="AF40" s="197"/>
      <c r="AG40" s="197"/>
      <c r="AH40" s="199"/>
      <c r="AI40" s="196"/>
      <c r="AJ40" s="196" t="s">
        <v>2223</v>
      </c>
      <c r="AK40" s="196" t="s">
        <v>2196</v>
      </c>
    </row>
    <row r="41" spans="1:37" s="201" customFormat="1">
      <c r="A41" s="195" t="s">
        <v>649</v>
      </c>
      <c r="B41" s="196" t="s">
        <v>3083</v>
      </c>
      <c r="C41" s="196"/>
      <c r="D41" s="196" t="s">
        <v>2224</v>
      </c>
      <c r="E41" s="197">
        <v>39462</v>
      </c>
      <c r="F41" s="196" t="s">
        <v>58</v>
      </c>
      <c r="G41" s="205" t="s">
        <v>2228</v>
      </c>
      <c r="H41" s="196" t="s">
        <v>2225</v>
      </c>
      <c r="I41" s="196"/>
      <c r="J41" s="205" t="s">
        <v>2229</v>
      </c>
      <c r="K41" s="196" t="s">
        <v>2</v>
      </c>
      <c r="L41" s="196" t="s">
        <v>1151</v>
      </c>
      <c r="M41" s="198" t="s">
        <v>2226</v>
      </c>
      <c r="N41" s="196" t="s">
        <v>2227</v>
      </c>
      <c r="O41" s="199">
        <v>1602</v>
      </c>
      <c r="P41" s="196" t="s">
        <v>1161</v>
      </c>
      <c r="Q41" s="199"/>
      <c r="R41" s="199"/>
      <c r="S41" s="199"/>
      <c r="T41" s="199">
        <v>52.38</v>
      </c>
      <c r="U41" s="199"/>
      <c r="V41" s="199"/>
      <c r="W41" s="199">
        <f t="shared" si="0"/>
        <v>52.38</v>
      </c>
      <c r="X41" s="196" t="s">
        <v>1155</v>
      </c>
      <c r="Y41" s="199"/>
      <c r="Z41" s="200">
        <v>88</v>
      </c>
      <c r="AA41" s="200"/>
      <c r="AB41" s="200">
        <f t="shared" si="1"/>
        <v>88</v>
      </c>
      <c r="AC41" s="196" t="s">
        <v>650</v>
      </c>
      <c r="AD41" s="196" t="s">
        <v>59</v>
      </c>
      <c r="AE41" s="197">
        <v>39541</v>
      </c>
      <c r="AF41" s="197"/>
      <c r="AG41" s="199"/>
      <c r="AH41" s="199"/>
      <c r="AI41" s="196"/>
      <c r="AJ41" s="196"/>
      <c r="AK41" s="196" t="s">
        <v>2230</v>
      </c>
    </row>
    <row r="42" spans="1:37" s="201" customFormat="1" ht="60">
      <c r="A42" s="195" t="s">
        <v>651</v>
      </c>
      <c r="B42" s="196" t="s">
        <v>3083</v>
      </c>
      <c r="C42" s="196"/>
      <c r="D42" s="196" t="s">
        <v>2231</v>
      </c>
      <c r="E42" s="197">
        <v>39518</v>
      </c>
      <c r="F42" s="196" t="s">
        <v>58</v>
      </c>
      <c r="G42" s="196" t="s">
        <v>2232</v>
      </c>
      <c r="H42" s="196" t="s">
        <v>2233</v>
      </c>
      <c r="I42" s="196"/>
      <c r="J42" s="205" t="s">
        <v>2234</v>
      </c>
      <c r="K42" s="196" t="s">
        <v>2</v>
      </c>
      <c r="L42" s="196" t="s">
        <v>1160</v>
      </c>
      <c r="M42" s="198" t="s">
        <v>2235</v>
      </c>
      <c r="N42" s="206" t="s">
        <v>2236</v>
      </c>
      <c r="O42" s="199">
        <v>4920</v>
      </c>
      <c r="P42" s="196" t="s">
        <v>1172</v>
      </c>
      <c r="Q42" s="199">
        <v>14760</v>
      </c>
      <c r="R42" s="199"/>
      <c r="S42" s="199"/>
      <c r="T42" s="199"/>
      <c r="U42" s="199"/>
      <c r="V42" s="199"/>
      <c r="W42" s="199">
        <f t="shared" si="0"/>
        <v>14760</v>
      </c>
      <c r="X42" s="196" t="s">
        <v>1155</v>
      </c>
      <c r="Y42" s="199"/>
      <c r="Z42" s="200">
        <v>11767</v>
      </c>
      <c r="AA42" s="200"/>
      <c r="AB42" s="200">
        <f t="shared" si="1"/>
        <v>11767</v>
      </c>
      <c r="AC42" s="196" t="s">
        <v>653</v>
      </c>
      <c r="AD42" s="196" t="s">
        <v>59</v>
      </c>
      <c r="AE42" s="197">
        <v>40500</v>
      </c>
      <c r="AF42" s="197"/>
      <c r="AG42" s="199"/>
      <c r="AH42" s="199"/>
      <c r="AI42" s="196"/>
      <c r="AJ42" s="138" t="s">
        <v>2237</v>
      </c>
      <c r="AK42" s="196" t="s">
        <v>2230</v>
      </c>
    </row>
    <row r="43" spans="1:37" s="201" customFormat="1" ht="60">
      <c r="A43" s="195" t="s">
        <v>651</v>
      </c>
      <c r="B43" s="196" t="s">
        <v>3083</v>
      </c>
      <c r="C43" s="196"/>
      <c r="D43" s="196" t="s">
        <v>2231</v>
      </c>
      <c r="E43" s="197">
        <v>39518</v>
      </c>
      <c r="F43" s="196" t="s">
        <v>58</v>
      </c>
      <c r="G43" s="196" t="s">
        <v>2232</v>
      </c>
      <c r="H43" s="196" t="s">
        <v>2233</v>
      </c>
      <c r="I43" s="196"/>
      <c r="J43" s="205" t="s">
        <v>2238</v>
      </c>
      <c r="K43" s="196" t="s">
        <v>2</v>
      </c>
      <c r="L43" s="196" t="s">
        <v>1151</v>
      </c>
      <c r="M43" s="198" t="s">
        <v>2235</v>
      </c>
      <c r="N43" s="206" t="s">
        <v>2236</v>
      </c>
      <c r="O43" s="199">
        <v>4920</v>
      </c>
      <c r="P43" s="196" t="s">
        <v>1172</v>
      </c>
      <c r="Q43" s="199">
        <v>14760</v>
      </c>
      <c r="R43" s="199"/>
      <c r="S43" s="199"/>
      <c r="T43" s="199"/>
      <c r="U43" s="199"/>
      <c r="V43" s="199"/>
      <c r="W43" s="199">
        <f t="shared" si="0"/>
        <v>14760</v>
      </c>
      <c r="X43" s="196" t="s">
        <v>1155</v>
      </c>
      <c r="Y43" s="199"/>
      <c r="Z43" s="200">
        <v>10597</v>
      </c>
      <c r="AA43" s="200">
        <v>935</v>
      </c>
      <c r="AB43" s="200">
        <f t="shared" si="1"/>
        <v>11532</v>
      </c>
      <c r="AC43" s="196" t="s">
        <v>652</v>
      </c>
      <c r="AD43" s="196" t="s">
        <v>61</v>
      </c>
      <c r="AE43" s="197">
        <v>40038</v>
      </c>
      <c r="AF43" s="197"/>
      <c r="AG43" s="197"/>
      <c r="AH43" s="199"/>
      <c r="AI43" s="196"/>
      <c r="AJ43" s="138" t="s">
        <v>2239</v>
      </c>
      <c r="AK43" s="196" t="s">
        <v>2230</v>
      </c>
    </row>
    <row r="44" spans="1:37" s="201" customFormat="1">
      <c r="A44" s="195" t="s">
        <v>654</v>
      </c>
      <c r="B44" s="196" t="s">
        <v>3083</v>
      </c>
      <c r="C44" s="196"/>
      <c r="D44" s="196" t="s">
        <v>2240</v>
      </c>
      <c r="E44" s="197">
        <v>39612</v>
      </c>
      <c r="F44" s="196" t="s">
        <v>58</v>
      </c>
      <c r="G44" s="196" t="s">
        <v>2241</v>
      </c>
      <c r="H44" s="196" t="s">
        <v>2242</v>
      </c>
      <c r="I44" s="196"/>
      <c r="J44" s="205" t="s">
        <v>2243</v>
      </c>
      <c r="K44" s="196" t="s">
        <v>2</v>
      </c>
      <c r="L44" s="196" t="s">
        <v>1151</v>
      </c>
      <c r="M44" s="198" t="s">
        <v>2244</v>
      </c>
      <c r="N44" s="138" t="s">
        <v>2245</v>
      </c>
      <c r="O44" s="199">
        <v>3396.06</v>
      </c>
      <c r="P44" s="196" t="s">
        <v>1161</v>
      </c>
      <c r="Q44" s="199"/>
      <c r="R44" s="199"/>
      <c r="S44" s="199"/>
      <c r="T44" s="199"/>
      <c r="U44" s="199"/>
      <c r="V44" s="199"/>
      <c r="W44" s="199"/>
      <c r="X44" s="196" t="s">
        <v>1155</v>
      </c>
      <c r="Y44" s="199"/>
      <c r="Z44" s="200">
        <v>118</v>
      </c>
      <c r="AA44" s="200"/>
      <c r="AB44" s="200">
        <f t="shared" si="1"/>
        <v>118</v>
      </c>
      <c r="AC44" s="196" t="s">
        <v>657</v>
      </c>
      <c r="AD44" s="196" t="s">
        <v>59</v>
      </c>
      <c r="AE44" s="197">
        <v>39836</v>
      </c>
      <c r="AF44" s="197"/>
      <c r="AG44" s="197"/>
      <c r="AH44" s="199"/>
      <c r="AI44" s="196"/>
      <c r="AJ44" s="202" t="s">
        <v>2246</v>
      </c>
      <c r="AK44" s="196" t="s">
        <v>2230</v>
      </c>
    </row>
    <row r="45" spans="1:37" s="201" customFormat="1">
      <c r="A45" s="195" t="s">
        <v>654</v>
      </c>
      <c r="B45" s="196" t="s">
        <v>3083</v>
      </c>
      <c r="C45" s="196"/>
      <c r="D45" s="196" t="s">
        <v>2240</v>
      </c>
      <c r="E45" s="197">
        <v>39612</v>
      </c>
      <c r="F45" s="196" t="s">
        <v>58</v>
      </c>
      <c r="G45" s="196" t="s">
        <v>2241</v>
      </c>
      <c r="H45" s="196" t="s">
        <v>2242</v>
      </c>
      <c r="I45" s="196"/>
      <c r="J45" s="205" t="s">
        <v>2243</v>
      </c>
      <c r="K45" s="196" t="s">
        <v>2</v>
      </c>
      <c r="L45" s="196" t="s">
        <v>1151</v>
      </c>
      <c r="M45" s="198" t="s">
        <v>2244</v>
      </c>
      <c r="N45" s="196" t="s">
        <v>2247</v>
      </c>
      <c r="O45" s="199">
        <v>3396.06</v>
      </c>
      <c r="P45" s="196" t="s">
        <v>1161</v>
      </c>
      <c r="Q45" s="199"/>
      <c r="R45" s="199"/>
      <c r="S45" s="199"/>
      <c r="T45" s="196">
        <v>1756.05</v>
      </c>
      <c r="U45" s="196"/>
      <c r="V45" s="196"/>
      <c r="W45" s="199">
        <f t="shared" ref="W45:W70" si="2">T45+Q45</f>
        <v>1756.05</v>
      </c>
      <c r="X45" s="196" t="s">
        <v>1155</v>
      </c>
      <c r="Y45" s="199"/>
      <c r="Z45" s="200">
        <v>2049</v>
      </c>
      <c r="AA45" s="200"/>
      <c r="AB45" s="200">
        <f t="shared" si="1"/>
        <v>2049</v>
      </c>
      <c r="AC45" s="196" t="s">
        <v>656</v>
      </c>
      <c r="AD45" s="196" t="s">
        <v>59</v>
      </c>
      <c r="AE45" s="197">
        <v>39701</v>
      </c>
      <c r="AF45" s="197"/>
      <c r="AG45" s="197"/>
      <c r="AH45" s="199"/>
      <c r="AI45" s="196"/>
      <c r="AJ45" s="196" t="s">
        <v>2248</v>
      </c>
      <c r="AK45" s="196" t="s">
        <v>2230</v>
      </c>
    </row>
    <row r="46" spans="1:37" s="201" customFormat="1">
      <c r="A46" s="195" t="s">
        <v>654</v>
      </c>
      <c r="B46" s="196" t="s">
        <v>3083</v>
      </c>
      <c r="C46" s="196"/>
      <c r="D46" s="196" t="s">
        <v>2249</v>
      </c>
      <c r="E46" s="197">
        <v>39519</v>
      </c>
      <c r="F46" s="196" t="s">
        <v>58</v>
      </c>
      <c r="G46" s="196" t="s">
        <v>2250</v>
      </c>
      <c r="H46" s="196" t="s">
        <v>2242</v>
      </c>
      <c r="I46" s="196"/>
      <c r="J46" s="205" t="s">
        <v>2243</v>
      </c>
      <c r="K46" s="196" t="s">
        <v>2</v>
      </c>
      <c r="L46" s="196" t="s">
        <v>1151</v>
      </c>
      <c r="M46" s="198" t="s">
        <v>2244</v>
      </c>
      <c r="N46" s="138" t="s">
        <v>2251</v>
      </c>
      <c r="O46" s="199">
        <v>2810.71</v>
      </c>
      <c r="P46" s="196" t="s">
        <v>1161</v>
      </c>
      <c r="Q46" s="199"/>
      <c r="R46" s="199"/>
      <c r="S46" s="199"/>
      <c r="T46" s="199">
        <v>8432.1299999999992</v>
      </c>
      <c r="U46" s="199"/>
      <c r="V46" s="199"/>
      <c r="W46" s="199">
        <f t="shared" si="2"/>
        <v>8432.1299999999992</v>
      </c>
      <c r="X46" s="196" t="s">
        <v>1155</v>
      </c>
      <c r="Y46" s="199"/>
      <c r="Z46" s="200">
        <v>9838</v>
      </c>
      <c r="AA46" s="200"/>
      <c r="AB46" s="200">
        <f t="shared" si="1"/>
        <v>9838</v>
      </c>
      <c r="AC46" s="196" t="s">
        <v>655</v>
      </c>
      <c r="AD46" s="196" t="s">
        <v>59</v>
      </c>
      <c r="AE46" s="197">
        <v>39553</v>
      </c>
      <c r="AF46" s="197"/>
      <c r="AG46" s="199"/>
      <c r="AH46" s="199"/>
      <c r="AI46" s="196"/>
      <c r="AJ46" s="196"/>
      <c r="AK46" s="196" t="s">
        <v>2230</v>
      </c>
    </row>
    <row r="47" spans="1:37" s="201" customFormat="1">
      <c r="A47" s="196" t="s">
        <v>658</v>
      </c>
      <c r="B47" s="196" t="s">
        <v>3083</v>
      </c>
      <c r="C47" s="196"/>
      <c r="D47" s="196" t="s">
        <v>2186</v>
      </c>
      <c r="E47" s="197">
        <v>39519</v>
      </c>
      <c r="F47" s="196" t="s">
        <v>58</v>
      </c>
      <c r="G47" s="196" t="s">
        <v>2252</v>
      </c>
      <c r="H47" s="196" t="s">
        <v>2253</v>
      </c>
      <c r="I47" s="196"/>
      <c r="J47" s="196" t="s">
        <v>2254</v>
      </c>
      <c r="K47" s="196" t="s">
        <v>2</v>
      </c>
      <c r="L47" s="196" t="s">
        <v>1151</v>
      </c>
      <c r="M47" s="198" t="s">
        <v>2255</v>
      </c>
      <c r="N47" s="196" t="s">
        <v>2256</v>
      </c>
      <c r="O47" s="199">
        <v>2879.74</v>
      </c>
      <c r="P47" s="196" t="s">
        <v>1161</v>
      </c>
      <c r="Q47" s="199"/>
      <c r="R47" s="199"/>
      <c r="S47" s="199"/>
      <c r="T47" s="199">
        <v>8639.2199999999993</v>
      </c>
      <c r="U47" s="199"/>
      <c r="V47" s="199"/>
      <c r="W47" s="199">
        <f t="shared" si="2"/>
        <v>8639.2199999999993</v>
      </c>
      <c r="X47" s="196" t="s">
        <v>1155</v>
      </c>
      <c r="Y47" s="199"/>
      <c r="Z47" s="200">
        <v>14975</v>
      </c>
      <c r="AA47" s="200">
        <v>1920</v>
      </c>
      <c r="AB47" s="200">
        <f t="shared" si="1"/>
        <v>16895</v>
      </c>
      <c r="AC47" s="196" t="s">
        <v>659</v>
      </c>
      <c r="AD47" s="196" t="s">
        <v>59</v>
      </c>
      <c r="AE47" s="197">
        <v>39884</v>
      </c>
      <c r="AF47" s="197"/>
      <c r="AG47" s="197"/>
      <c r="AH47" s="199"/>
      <c r="AI47" s="196"/>
      <c r="AJ47" s="196" t="s">
        <v>2257</v>
      </c>
      <c r="AK47" s="196" t="s">
        <v>2258</v>
      </c>
    </row>
    <row r="48" spans="1:37" s="201" customFormat="1">
      <c r="A48" s="196" t="s">
        <v>660</v>
      </c>
      <c r="B48" s="196" t="s">
        <v>3083</v>
      </c>
      <c r="C48" s="196"/>
      <c r="D48" s="196" t="s">
        <v>2259</v>
      </c>
      <c r="E48" s="197">
        <v>39555</v>
      </c>
      <c r="F48" s="196" t="s">
        <v>58</v>
      </c>
      <c r="G48" s="196" t="s">
        <v>2260</v>
      </c>
      <c r="H48" s="196"/>
      <c r="I48" s="196" t="s">
        <v>2261</v>
      </c>
      <c r="J48" s="196" t="s">
        <v>2262</v>
      </c>
      <c r="K48" s="196" t="s">
        <v>4</v>
      </c>
      <c r="L48" s="196" t="s">
        <v>1160</v>
      </c>
      <c r="M48" s="198" t="s">
        <v>2189</v>
      </c>
      <c r="N48" s="196" t="s">
        <v>2263</v>
      </c>
      <c r="O48" s="199">
        <v>2000</v>
      </c>
      <c r="P48" s="196" t="s">
        <v>1161</v>
      </c>
      <c r="Q48" s="199"/>
      <c r="R48" s="199"/>
      <c r="S48" s="199"/>
      <c r="T48" s="199">
        <v>4000</v>
      </c>
      <c r="U48" s="199"/>
      <c r="V48" s="199"/>
      <c r="W48" s="199">
        <f t="shared" si="2"/>
        <v>4000</v>
      </c>
      <c r="X48" s="196" t="s">
        <v>1155</v>
      </c>
      <c r="Y48" s="199"/>
      <c r="Z48" s="200">
        <v>3334</v>
      </c>
      <c r="AA48" s="200"/>
      <c r="AB48" s="200">
        <f t="shared" si="1"/>
        <v>3334</v>
      </c>
      <c r="AC48" s="196" t="s">
        <v>661</v>
      </c>
      <c r="AD48" s="196" t="s">
        <v>59</v>
      </c>
      <c r="AE48" s="197">
        <v>39696</v>
      </c>
      <c r="AF48" s="197"/>
      <c r="AG48" s="197"/>
      <c r="AH48" s="199"/>
      <c r="AI48" s="196"/>
      <c r="AJ48" s="196"/>
      <c r="AK48" s="196"/>
    </row>
    <row r="49" spans="1:37" s="201" customFormat="1">
      <c r="A49" s="195" t="s">
        <v>662</v>
      </c>
      <c r="B49" s="196" t="s">
        <v>3083</v>
      </c>
      <c r="C49" s="195"/>
      <c r="D49" s="195" t="s">
        <v>2264</v>
      </c>
      <c r="E49" s="211">
        <v>39555</v>
      </c>
      <c r="F49" s="195" t="s">
        <v>58</v>
      </c>
      <c r="G49" s="195" t="s">
        <v>2265</v>
      </c>
      <c r="H49" s="195" t="s">
        <v>2266</v>
      </c>
      <c r="I49" s="195"/>
      <c r="J49" s="195" t="s">
        <v>2267</v>
      </c>
      <c r="K49" s="195" t="s">
        <v>4</v>
      </c>
      <c r="L49" s="195" t="s">
        <v>1160</v>
      </c>
      <c r="M49" s="212" t="s">
        <v>2268</v>
      </c>
      <c r="N49" s="195" t="s">
        <v>2269</v>
      </c>
      <c r="O49" s="213">
        <v>2829.97</v>
      </c>
      <c r="P49" s="195" t="s">
        <v>1161</v>
      </c>
      <c r="Q49" s="213"/>
      <c r="R49" s="213"/>
      <c r="S49" s="213"/>
      <c r="T49" s="213">
        <v>5636.64</v>
      </c>
      <c r="U49" s="213"/>
      <c r="V49" s="213"/>
      <c r="W49" s="199">
        <f t="shared" si="2"/>
        <v>5636.64</v>
      </c>
      <c r="X49" s="195" t="s">
        <v>1155</v>
      </c>
      <c r="Y49" s="213"/>
      <c r="Z49" s="203">
        <v>3754</v>
      </c>
      <c r="AA49" s="203"/>
      <c r="AB49" s="200">
        <f t="shared" si="1"/>
        <v>3754</v>
      </c>
      <c r="AC49" s="195" t="s">
        <v>663</v>
      </c>
      <c r="AD49" s="195" t="s">
        <v>61</v>
      </c>
      <c r="AE49" s="211">
        <v>39696</v>
      </c>
      <c r="AF49" s="211"/>
      <c r="AG49" s="211"/>
      <c r="AH49" s="199"/>
      <c r="AI49" s="195"/>
      <c r="AJ49" s="195"/>
      <c r="AK49" s="195" t="s">
        <v>2258</v>
      </c>
    </row>
    <row r="50" spans="1:37" s="201" customFormat="1">
      <c r="A50" s="195" t="s">
        <v>662</v>
      </c>
      <c r="B50" s="196" t="s">
        <v>3083</v>
      </c>
      <c r="C50" s="195"/>
      <c r="D50" s="195" t="s">
        <v>2264</v>
      </c>
      <c r="E50" s="211">
        <v>39555</v>
      </c>
      <c r="F50" s="195" t="s">
        <v>58</v>
      </c>
      <c r="G50" s="195" t="s">
        <v>2265</v>
      </c>
      <c r="H50" s="195" t="s">
        <v>2266</v>
      </c>
      <c r="I50" s="195"/>
      <c r="J50" s="195" t="s">
        <v>2267</v>
      </c>
      <c r="K50" s="195" t="s">
        <v>4</v>
      </c>
      <c r="L50" s="195" t="s">
        <v>1151</v>
      </c>
      <c r="M50" s="212" t="s">
        <v>2268</v>
      </c>
      <c r="N50" s="195" t="s">
        <v>2270</v>
      </c>
      <c r="O50" s="213">
        <v>2822.68</v>
      </c>
      <c r="P50" s="195" t="s">
        <v>1161</v>
      </c>
      <c r="Q50" s="213"/>
      <c r="R50" s="213"/>
      <c r="S50" s="213"/>
      <c r="T50" s="213">
        <v>5636.64</v>
      </c>
      <c r="U50" s="213"/>
      <c r="V50" s="213"/>
      <c r="W50" s="199">
        <f t="shared" si="2"/>
        <v>5636.64</v>
      </c>
      <c r="X50" s="195" t="s">
        <v>1155</v>
      </c>
      <c r="Y50" s="213"/>
      <c r="Z50" s="203">
        <v>3757</v>
      </c>
      <c r="AA50" s="203"/>
      <c r="AB50" s="200">
        <f t="shared" si="1"/>
        <v>3757</v>
      </c>
      <c r="AC50" s="195" t="s">
        <v>664</v>
      </c>
      <c r="AD50" s="195" t="s">
        <v>61</v>
      </c>
      <c r="AE50" s="211">
        <v>39821</v>
      </c>
      <c r="AF50" s="211"/>
      <c r="AG50" s="211"/>
      <c r="AH50" s="199"/>
      <c r="AI50" s="195"/>
      <c r="AJ50" s="196"/>
      <c r="AK50" s="195" t="s">
        <v>2258</v>
      </c>
    </row>
    <row r="51" spans="1:37" s="201" customFormat="1">
      <c r="A51" s="195" t="s">
        <v>662</v>
      </c>
      <c r="B51" s="196" t="s">
        <v>3083</v>
      </c>
      <c r="C51" s="195"/>
      <c r="D51" s="195" t="s">
        <v>2264</v>
      </c>
      <c r="E51" s="211">
        <v>39555</v>
      </c>
      <c r="F51" s="195" t="s">
        <v>58</v>
      </c>
      <c r="G51" s="195" t="s">
        <v>2265</v>
      </c>
      <c r="H51" s="195" t="s">
        <v>2266</v>
      </c>
      <c r="I51" s="195"/>
      <c r="J51" s="195" t="s">
        <v>2267</v>
      </c>
      <c r="K51" s="195" t="s">
        <v>4</v>
      </c>
      <c r="L51" s="195" t="s">
        <v>1151</v>
      </c>
      <c r="M51" s="212" t="s">
        <v>2268</v>
      </c>
      <c r="N51" s="195" t="s">
        <v>2271</v>
      </c>
      <c r="O51" s="213">
        <v>3513</v>
      </c>
      <c r="P51" s="195" t="s">
        <v>1161</v>
      </c>
      <c r="Q51" s="213"/>
      <c r="R51" s="213"/>
      <c r="S51" s="213"/>
      <c r="T51" s="213">
        <v>5636.64</v>
      </c>
      <c r="U51" s="213"/>
      <c r="V51" s="213"/>
      <c r="W51" s="199">
        <f t="shared" si="2"/>
        <v>5636.64</v>
      </c>
      <c r="X51" s="195" t="s">
        <v>1155</v>
      </c>
      <c r="Y51" s="213"/>
      <c r="Z51" s="203">
        <v>4112</v>
      </c>
      <c r="AA51" s="203"/>
      <c r="AB51" s="200">
        <f t="shared" si="1"/>
        <v>4112</v>
      </c>
      <c r="AC51" s="195" t="s">
        <v>665</v>
      </c>
      <c r="AD51" s="195" t="s">
        <v>59</v>
      </c>
      <c r="AE51" s="211">
        <v>40478</v>
      </c>
      <c r="AF51" s="211"/>
      <c r="AG51" s="211"/>
      <c r="AH51" s="199"/>
      <c r="AI51" s="196"/>
      <c r="AJ51" s="196"/>
      <c r="AK51" s="195" t="s">
        <v>2258</v>
      </c>
    </row>
    <row r="52" spans="1:37" s="201" customFormat="1">
      <c r="A52" s="196" t="s">
        <v>666</v>
      </c>
      <c r="B52" s="196" t="s">
        <v>3083</v>
      </c>
      <c r="C52" s="196"/>
      <c r="D52" s="196" t="s">
        <v>2272</v>
      </c>
      <c r="E52" s="197">
        <v>39609</v>
      </c>
      <c r="F52" s="196" t="s">
        <v>58</v>
      </c>
      <c r="G52" s="196" t="s">
        <v>2273</v>
      </c>
      <c r="H52" s="196" t="s">
        <v>2274</v>
      </c>
      <c r="I52" s="196"/>
      <c r="J52" s="196" t="s">
        <v>2275</v>
      </c>
      <c r="K52" s="196" t="s">
        <v>4</v>
      </c>
      <c r="L52" s="196" t="s">
        <v>1151</v>
      </c>
      <c r="M52" s="198" t="s">
        <v>2151</v>
      </c>
      <c r="N52" s="196" t="s">
        <v>2276</v>
      </c>
      <c r="O52" s="199">
        <v>1600</v>
      </c>
      <c r="P52" s="196" t="s">
        <v>1161</v>
      </c>
      <c r="Q52" s="199"/>
      <c r="R52" s="199"/>
      <c r="S52" s="199"/>
      <c r="T52" s="199">
        <v>2920</v>
      </c>
      <c r="U52" s="199"/>
      <c r="V52" s="199"/>
      <c r="W52" s="199">
        <f t="shared" si="2"/>
        <v>2920</v>
      </c>
      <c r="X52" s="196" t="s">
        <v>1155</v>
      </c>
      <c r="Y52" s="199"/>
      <c r="Z52" s="200">
        <v>3245</v>
      </c>
      <c r="AA52" s="200"/>
      <c r="AB52" s="200">
        <f t="shared" si="1"/>
        <v>3245</v>
      </c>
      <c r="AC52" s="196" t="s">
        <v>667</v>
      </c>
      <c r="AD52" s="196" t="s">
        <v>59</v>
      </c>
      <c r="AE52" s="197">
        <v>39696</v>
      </c>
      <c r="AF52" s="197"/>
      <c r="AG52" s="197"/>
      <c r="AH52" s="199"/>
      <c r="AI52" s="196"/>
      <c r="AJ52" s="196"/>
      <c r="AK52" s="196" t="s">
        <v>2258</v>
      </c>
    </row>
    <row r="53" spans="1:37" s="201" customFormat="1">
      <c r="A53" s="196" t="s">
        <v>669</v>
      </c>
      <c r="B53" s="196" t="s">
        <v>3083</v>
      </c>
      <c r="C53" s="196"/>
      <c r="D53" s="196" t="s">
        <v>2277</v>
      </c>
      <c r="E53" s="197">
        <v>39645</v>
      </c>
      <c r="F53" s="196" t="s">
        <v>58</v>
      </c>
      <c r="G53" s="196" t="s">
        <v>2278</v>
      </c>
      <c r="H53" s="196" t="s">
        <v>2279</v>
      </c>
      <c r="I53" s="196"/>
      <c r="J53" s="196" t="s">
        <v>2280</v>
      </c>
      <c r="K53" s="196" t="s">
        <v>40</v>
      </c>
      <c r="L53" s="196" t="s">
        <v>1151</v>
      </c>
      <c r="M53" s="198" t="s">
        <v>2281</v>
      </c>
      <c r="N53" s="196" t="s">
        <v>2282</v>
      </c>
      <c r="O53" s="199">
        <v>9076.94</v>
      </c>
      <c r="P53" s="196" t="s">
        <v>1161</v>
      </c>
      <c r="Q53" s="199"/>
      <c r="R53" s="199"/>
      <c r="S53" s="199"/>
      <c r="T53" s="199">
        <v>27230.82</v>
      </c>
      <c r="U53" s="199"/>
      <c r="V53" s="199"/>
      <c r="W53" s="199">
        <f t="shared" si="2"/>
        <v>27230.82</v>
      </c>
      <c r="X53" s="196" t="s">
        <v>1155</v>
      </c>
      <c r="Y53" s="199"/>
      <c r="Z53" s="200">
        <v>23601</v>
      </c>
      <c r="AA53" s="200"/>
      <c r="AB53" s="200">
        <f t="shared" si="1"/>
        <v>23601</v>
      </c>
      <c r="AC53" s="196" t="s">
        <v>670</v>
      </c>
      <c r="AD53" s="196" t="s">
        <v>59</v>
      </c>
      <c r="AE53" s="197">
        <v>39694</v>
      </c>
      <c r="AF53" s="197"/>
      <c r="AG53" s="197"/>
      <c r="AH53" s="199"/>
      <c r="AI53" s="196"/>
      <c r="AJ53" s="196"/>
      <c r="AK53" s="196" t="s">
        <v>2258</v>
      </c>
    </row>
    <row r="54" spans="1:37" s="201" customFormat="1">
      <c r="A54" s="196" t="s">
        <v>671</v>
      </c>
      <c r="B54" s="196" t="s">
        <v>3083</v>
      </c>
      <c r="C54" s="196"/>
      <c r="D54" s="196" t="s">
        <v>2283</v>
      </c>
      <c r="E54" s="197">
        <v>39580</v>
      </c>
      <c r="F54" s="196" t="s">
        <v>58</v>
      </c>
      <c r="G54" s="196" t="s">
        <v>2232</v>
      </c>
      <c r="H54" s="196" t="s">
        <v>2233</v>
      </c>
      <c r="I54" s="196"/>
      <c r="J54" s="196" t="s">
        <v>2284</v>
      </c>
      <c r="K54" s="196" t="s">
        <v>40</v>
      </c>
      <c r="L54" s="196" t="s">
        <v>1151</v>
      </c>
      <c r="M54" s="198" t="s">
        <v>2285</v>
      </c>
      <c r="N54" s="196" t="s">
        <v>2286</v>
      </c>
      <c r="O54" s="199">
        <v>1505.01</v>
      </c>
      <c r="P54" s="196" t="s">
        <v>1172</v>
      </c>
      <c r="Q54" s="199">
        <v>4515.03</v>
      </c>
      <c r="R54" s="199"/>
      <c r="S54" s="199"/>
      <c r="T54" s="199"/>
      <c r="U54" s="199"/>
      <c r="V54" s="199"/>
      <c r="W54" s="199">
        <f t="shared" si="2"/>
        <v>4515.03</v>
      </c>
      <c r="X54" s="196" t="s">
        <v>1155</v>
      </c>
      <c r="Y54" s="199"/>
      <c r="Z54" s="200">
        <v>3011</v>
      </c>
      <c r="AA54" s="200">
        <v>1051</v>
      </c>
      <c r="AB54" s="200">
        <f t="shared" si="1"/>
        <v>4062</v>
      </c>
      <c r="AC54" s="196" t="s">
        <v>672</v>
      </c>
      <c r="AD54" s="196" t="s">
        <v>59</v>
      </c>
      <c r="AE54" s="197">
        <v>39720</v>
      </c>
      <c r="AF54" s="197"/>
      <c r="AG54" s="197"/>
      <c r="AH54" s="199"/>
      <c r="AI54" s="196"/>
      <c r="AJ54" s="196" t="s">
        <v>2287</v>
      </c>
      <c r="AK54" s="196" t="s">
        <v>2288</v>
      </c>
    </row>
    <row r="55" spans="1:37" s="201" customFormat="1">
      <c r="A55" s="195" t="s">
        <v>674</v>
      </c>
      <c r="B55" s="196" t="s">
        <v>3083</v>
      </c>
      <c r="C55" s="196"/>
      <c r="D55" s="196" t="s">
        <v>2289</v>
      </c>
      <c r="E55" s="197">
        <v>38643</v>
      </c>
      <c r="F55" s="196" t="s">
        <v>58</v>
      </c>
      <c r="G55" s="196" t="s">
        <v>2290</v>
      </c>
      <c r="H55" s="196" t="s">
        <v>2291</v>
      </c>
      <c r="I55" s="196"/>
      <c r="J55" s="196" t="s">
        <v>2292</v>
      </c>
      <c r="K55" s="196" t="s">
        <v>40</v>
      </c>
      <c r="L55" s="196" t="s">
        <v>1151</v>
      </c>
      <c r="M55" s="198" t="s">
        <v>2293</v>
      </c>
      <c r="N55" s="196" t="s">
        <v>2294</v>
      </c>
      <c r="O55" s="199">
        <v>5293.34</v>
      </c>
      <c r="P55" s="196" t="s">
        <v>1161</v>
      </c>
      <c r="Q55" s="199"/>
      <c r="R55" s="199"/>
      <c r="S55" s="199"/>
      <c r="T55" s="199">
        <v>14658.78</v>
      </c>
      <c r="U55" s="199"/>
      <c r="V55" s="199"/>
      <c r="W55" s="199">
        <f t="shared" si="2"/>
        <v>14658.78</v>
      </c>
      <c r="X55" s="196" t="s">
        <v>1155</v>
      </c>
      <c r="Y55" s="199"/>
      <c r="Z55" s="200">
        <v>9773</v>
      </c>
      <c r="AA55" s="200">
        <v>3260</v>
      </c>
      <c r="AB55" s="200">
        <f t="shared" si="1"/>
        <v>13033</v>
      </c>
      <c r="AC55" s="196" t="s">
        <v>675</v>
      </c>
      <c r="AD55" s="196" t="s">
        <v>59</v>
      </c>
      <c r="AE55" s="197">
        <v>40044</v>
      </c>
      <c r="AF55" s="197"/>
      <c r="AG55" s="197"/>
      <c r="AH55" s="199"/>
      <c r="AI55" s="196"/>
      <c r="AJ55" s="196" t="s">
        <v>2295</v>
      </c>
      <c r="AK55" s="196" t="s">
        <v>2296</v>
      </c>
    </row>
    <row r="56" spans="1:37" s="201" customFormat="1">
      <c r="A56" s="195" t="s">
        <v>676</v>
      </c>
      <c r="B56" s="196" t="s">
        <v>3083</v>
      </c>
      <c r="C56" s="196"/>
      <c r="D56" s="196" t="s">
        <v>2297</v>
      </c>
      <c r="E56" s="197">
        <v>39234</v>
      </c>
      <c r="F56" s="196" t="s">
        <v>58</v>
      </c>
      <c r="G56" s="196" t="s">
        <v>2298</v>
      </c>
      <c r="H56" s="196" t="s">
        <v>2299</v>
      </c>
      <c r="I56" s="196"/>
      <c r="J56" s="196" t="s">
        <v>2300</v>
      </c>
      <c r="K56" s="196" t="s">
        <v>40</v>
      </c>
      <c r="L56" s="196" t="s">
        <v>1151</v>
      </c>
      <c r="M56" s="198" t="s">
        <v>2301</v>
      </c>
      <c r="N56" s="196" t="s">
        <v>2302</v>
      </c>
      <c r="O56" s="199">
        <v>1317.32</v>
      </c>
      <c r="P56" s="196" t="s">
        <v>1161</v>
      </c>
      <c r="Q56" s="199"/>
      <c r="R56" s="199"/>
      <c r="S56" s="199"/>
      <c r="T56" s="199">
        <v>781.91</v>
      </c>
      <c r="U56" s="199"/>
      <c r="V56" s="199"/>
      <c r="W56" s="199">
        <f t="shared" si="2"/>
        <v>781.91</v>
      </c>
      <c r="X56" s="196" t="s">
        <v>1155</v>
      </c>
      <c r="Y56" s="199"/>
      <c r="Z56" s="200">
        <v>782</v>
      </c>
      <c r="AA56" s="200"/>
      <c r="AB56" s="200">
        <f t="shared" si="1"/>
        <v>782</v>
      </c>
      <c r="AC56" s="196" t="s">
        <v>677</v>
      </c>
      <c r="AD56" s="196" t="s">
        <v>59</v>
      </c>
      <c r="AE56" s="197">
        <v>39874</v>
      </c>
      <c r="AF56" s="197"/>
      <c r="AG56" s="197"/>
      <c r="AH56" s="199"/>
      <c r="AI56" s="196"/>
      <c r="AJ56" s="196"/>
      <c r="AK56" s="196" t="s">
        <v>2296</v>
      </c>
    </row>
    <row r="57" spans="1:37" s="201" customFormat="1">
      <c r="A57" s="195" t="s">
        <v>676</v>
      </c>
      <c r="B57" s="196" t="s">
        <v>3083</v>
      </c>
      <c r="C57" s="196"/>
      <c r="D57" s="196" t="s">
        <v>2303</v>
      </c>
      <c r="E57" s="197">
        <v>42783</v>
      </c>
      <c r="F57" s="196" t="s">
        <v>58</v>
      </c>
      <c r="G57" s="196" t="s">
        <v>2304</v>
      </c>
      <c r="H57" s="196" t="s">
        <v>2305</v>
      </c>
      <c r="I57" s="196"/>
      <c r="J57" s="196" t="s">
        <v>2306</v>
      </c>
      <c r="K57" s="196" t="s">
        <v>40</v>
      </c>
      <c r="L57" s="196" t="s">
        <v>1160</v>
      </c>
      <c r="M57" s="198" t="s">
        <v>2301</v>
      </c>
      <c r="N57" s="196" t="s">
        <v>2307</v>
      </c>
      <c r="O57" s="199">
        <v>7424.21</v>
      </c>
      <c r="P57" s="196" t="s">
        <v>1161</v>
      </c>
      <c r="Q57" s="199"/>
      <c r="R57" s="199"/>
      <c r="S57" s="199"/>
      <c r="T57" s="199">
        <v>2034.23</v>
      </c>
      <c r="U57" s="199"/>
      <c r="V57" s="199"/>
      <c r="W57" s="199">
        <f t="shared" si="2"/>
        <v>2034.23</v>
      </c>
      <c r="X57" s="196" t="s">
        <v>1155</v>
      </c>
      <c r="Y57" s="199"/>
      <c r="Z57" s="200">
        <v>1143</v>
      </c>
      <c r="AA57" s="200"/>
      <c r="AB57" s="200">
        <f t="shared" si="1"/>
        <v>1143</v>
      </c>
      <c r="AC57" s="196" t="s">
        <v>678</v>
      </c>
      <c r="AD57" s="196" t="s">
        <v>61</v>
      </c>
      <c r="AE57" s="197">
        <v>42812</v>
      </c>
      <c r="AF57" s="197"/>
      <c r="AG57" s="197"/>
      <c r="AH57" s="199"/>
      <c r="AI57" s="196"/>
      <c r="AJ57" s="196" t="s">
        <v>2308</v>
      </c>
      <c r="AK57" s="196" t="s">
        <v>2309</v>
      </c>
    </row>
    <row r="58" spans="1:37" s="201" customFormat="1">
      <c r="A58" s="196" t="s">
        <v>676</v>
      </c>
      <c r="B58" s="196" t="s">
        <v>3083</v>
      </c>
      <c r="C58" s="196"/>
      <c r="D58" s="196" t="s">
        <v>2303</v>
      </c>
      <c r="E58" s="197">
        <v>42783</v>
      </c>
      <c r="F58" s="196" t="s">
        <v>58</v>
      </c>
      <c r="G58" s="196" t="s">
        <v>2310</v>
      </c>
      <c r="H58" s="196" t="s">
        <v>2305</v>
      </c>
      <c r="I58" s="196"/>
      <c r="J58" s="196" t="s">
        <v>2311</v>
      </c>
      <c r="K58" s="196" t="s">
        <v>40</v>
      </c>
      <c r="L58" s="196" t="s">
        <v>1160</v>
      </c>
      <c r="M58" s="196" t="s">
        <v>2301</v>
      </c>
      <c r="N58" s="196" t="s">
        <v>2307</v>
      </c>
      <c r="O58" s="199">
        <v>7424.21</v>
      </c>
      <c r="P58" s="196" t="s">
        <v>1161</v>
      </c>
      <c r="Q58" s="199"/>
      <c r="R58" s="199"/>
      <c r="S58" s="199"/>
      <c r="T58" s="199">
        <v>2034.23</v>
      </c>
      <c r="U58" s="199"/>
      <c r="V58" s="199"/>
      <c r="W58" s="199">
        <f t="shared" si="2"/>
        <v>2034.23</v>
      </c>
      <c r="X58" s="196" t="s">
        <v>1155</v>
      </c>
      <c r="Y58" s="196"/>
      <c r="Z58" s="200">
        <v>1143</v>
      </c>
      <c r="AA58" s="196"/>
      <c r="AB58" s="200">
        <f t="shared" si="1"/>
        <v>1143</v>
      </c>
      <c r="AC58" s="196" t="s">
        <v>679</v>
      </c>
      <c r="AD58" s="196" t="s">
        <v>59</v>
      </c>
      <c r="AE58" s="197">
        <v>42910</v>
      </c>
      <c r="AF58" s="197"/>
      <c r="AG58" s="197"/>
      <c r="AH58" s="199"/>
      <c r="AI58" s="196"/>
      <c r="AJ58" s="196" t="s">
        <v>2312</v>
      </c>
      <c r="AK58" s="196" t="s">
        <v>2309</v>
      </c>
    </row>
    <row r="59" spans="1:37" s="201" customFormat="1">
      <c r="A59" s="196" t="s">
        <v>682</v>
      </c>
      <c r="B59" s="196" t="s">
        <v>3083</v>
      </c>
      <c r="C59" s="196"/>
      <c r="D59" s="196" t="s">
        <v>2313</v>
      </c>
      <c r="E59" s="197">
        <v>39521</v>
      </c>
      <c r="F59" s="196" t="s">
        <v>58</v>
      </c>
      <c r="G59" s="196" t="s">
        <v>2314</v>
      </c>
      <c r="H59" s="196" t="s">
        <v>2315</v>
      </c>
      <c r="I59" s="196"/>
      <c r="J59" s="196" t="s">
        <v>2316</v>
      </c>
      <c r="K59" s="196" t="s">
        <v>40</v>
      </c>
      <c r="L59" s="196" t="s">
        <v>1151</v>
      </c>
      <c r="M59" s="198" t="s">
        <v>2317</v>
      </c>
      <c r="N59" s="196" t="s">
        <v>2318</v>
      </c>
      <c r="O59" s="199">
        <v>4429.0200000000004</v>
      </c>
      <c r="P59" s="196" t="s">
        <v>1172</v>
      </c>
      <c r="Q59" s="199"/>
      <c r="R59" s="199"/>
      <c r="S59" s="199"/>
      <c r="T59" s="199"/>
      <c r="U59" s="199"/>
      <c r="V59" s="199"/>
      <c r="W59" s="199">
        <f t="shared" si="2"/>
        <v>0</v>
      </c>
      <c r="X59" s="196" t="s">
        <v>1155</v>
      </c>
      <c r="Y59" s="199"/>
      <c r="Z59" s="200"/>
      <c r="AA59" s="200">
        <v>2953</v>
      </c>
      <c r="AB59" s="200">
        <f t="shared" si="1"/>
        <v>2953</v>
      </c>
      <c r="AC59" s="196" t="s">
        <v>683</v>
      </c>
      <c r="AD59" s="196" t="s">
        <v>59</v>
      </c>
      <c r="AE59" s="197">
        <v>39784</v>
      </c>
      <c r="AF59" s="197"/>
      <c r="AG59" s="197"/>
      <c r="AH59" s="199"/>
      <c r="AI59" s="196"/>
      <c r="AJ59" s="196" t="s">
        <v>2319</v>
      </c>
      <c r="AK59" s="196" t="s">
        <v>2309</v>
      </c>
    </row>
    <row r="60" spans="1:37" s="201" customFormat="1">
      <c r="A60" s="196" t="s">
        <v>682</v>
      </c>
      <c r="B60" s="196" t="s">
        <v>3083</v>
      </c>
      <c r="C60" s="196"/>
      <c r="D60" s="196" t="s">
        <v>2313</v>
      </c>
      <c r="E60" s="197">
        <v>39521</v>
      </c>
      <c r="F60" s="196" t="s">
        <v>58</v>
      </c>
      <c r="G60" s="196" t="s">
        <v>2314</v>
      </c>
      <c r="H60" s="196" t="s">
        <v>2315</v>
      </c>
      <c r="I60" s="196"/>
      <c r="J60" s="196" t="s">
        <v>2316</v>
      </c>
      <c r="K60" s="196" t="s">
        <v>40</v>
      </c>
      <c r="L60" s="196" t="s">
        <v>1151</v>
      </c>
      <c r="M60" s="198" t="s">
        <v>2317</v>
      </c>
      <c r="N60" s="196" t="s">
        <v>2318</v>
      </c>
      <c r="O60" s="199">
        <v>4429.0200000000004</v>
      </c>
      <c r="P60" s="196" t="s">
        <v>1172</v>
      </c>
      <c r="Q60" s="199">
        <v>13287.05</v>
      </c>
      <c r="R60" s="199"/>
      <c r="S60" s="199"/>
      <c r="T60" s="199"/>
      <c r="U60" s="199"/>
      <c r="V60" s="199"/>
      <c r="W60" s="199">
        <f t="shared" si="2"/>
        <v>13287.05</v>
      </c>
      <c r="X60" s="196" t="s">
        <v>1155</v>
      </c>
      <c r="Y60" s="199"/>
      <c r="Z60" s="200">
        <v>8268</v>
      </c>
      <c r="AA60" s="200"/>
      <c r="AB60" s="200">
        <f t="shared" si="1"/>
        <v>8268</v>
      </c>
      <c r="AC60" s="196" t="s">
        <v>684</v>
      </c>
      <c r="AD60" s="196" t="s">
        <v>59</v>
      </c>
      <c r="AE60" s="197">
        <v>40064</v>
      </c>
      <c r="AF60" s="197"/>
      <c r="AG60" s="197"/>
      <c r="AH60" s="199"/>
      <c r="AI60" s="196"/>
      <c r="AJ60" s="196" t="s">
        <v>2320</v>
      </c>
      <c r="AK60" s="196" t="s">
        <v>2309</v>
      </c>
    </row>
    <row r="61" spans="1:37" s="201" customFormat="1">
      <c r="A61" s="196" t="s">
        <v>685</v>
      </c>
      <c r="B61" s="196" t="s">
        <v>3083</v>
      </c>
      <c r="C61" s="196"/>
      <c r="D61" s="196" t="s">
        <v>2321</v>
      </c>
      <c r="E61" s="197">
        <v>39444</v>
      </c>
      <c r="F61" s="196" t="s">
        <v>58</v>
      </c>
      <c r="G61" s="196" t="s">
        <v>2322</v>
      </c>
      <c r="H61" s="196" t="s">
        <v>2323</v>
      </c>
      <c r="I61" s="196"/>
      <c r="J61" s="196" t="s">
        <v>2324</v>
      </c>
      <c r="K61" s="196" t="s">
        <v>40</v>
      </c>
      <c r="L61" s="196" t="s">
        <v>1151</v>
      </c>
      <c r="M61" s="198" t="s">
        <v>2325</v>
      </c>
      <c r="N61" s="196" t="s">
        <v>2326</v>
      </c>
      <c r="O61" s="199">
        <v>4619.3</v>
      </c>
      <c r="P61" s="196" t="s">
        <v>1172</v>
      </c>
      <c r="Q61" s="199">
        <v>13857.9</v>
      </c>
      <c r="R61" s="199"/>
      <c r="S61" s="199"/>
      <c r="T61" s="199"/>
      <c r="U61" s="199"/>
      <c r="V61" s="199"/>
      <c r="W61" s="199">
        <f t="shared" si="2"/>
        <v>13857.9</v>
      </c>
      <c r="X61" s="196" t="s">
        <v>1155</v>
      </c>
      <c r="Y61" s="199"/>
      <c r="Z61" s="200">
        <v>8623</v>
      </c>
      <c r="AA61" s="200">
        <v>3080</v>
      </c>
      <c r="AB61" s="200">
        <f t="shared" si="1"/>
        <v>11703</v>
      </c>
      <c r="AC61" s="196" t="s">
        <v>686</v>
      </c>
      <c r="AD61" s="196" t="s">
        <v>59</v>
      </c>
      <c r="AE61" s="197">
        <v>39794</v>
      </c>
      <c r="AF61" s="197"/>
      <c r="AG61" s="197"/>
      <c r="AH61" s="199"/>
      <c r="AI61" s="196"/>
      <c r="AJ61" s="196" t="s">
        <v>2327</v>
      </c>
      <c r="AK61" s="196" t="s">
        <v>2309</v>
      </c>
    </row>
    <row r="62" spans="1:37" s="201" customFormat="1">
      <c r="A62" s="196" t="s">
        <v>687</v>
      </c>
      <c r="B62" s="196" t="s">
        <v>3083</v>
      </c>
      <c r="C62" s="196"/>
      <c r="D62" s="196" t="s">
        <v>2328</v>
      </c>
      <c r="E62" s="197">
        <v>40393</v>
      </c>
      <c r="F62" s="196" t="s">
        <v>58</v>
      </c>
      <c r="G62" s="196" t="s">
        <v>2329</v>
      </c>
      <c r="H62" s="196" t="s">
        <v>2330</v>
      </c>
      <c r="I62" s="196"/>
      <c r="J62" s="196" t="s">
        <v>2331</v>
      </c>
      <c r="K62" s="196" t="s">
        <v>3</v>
      </c>
      <c r="L62" s="196" t="s">
        <v>1151</v>
      </c>
      <c r="M62" s="198" t="s">
        <v>2112</v>
      </c>
      <c r="N62" s="196" t="s">
        <v>2332</v>
      </c>
      <c r="O62" s="199">
        <v>1485</v>
      </c>
      <c r="P62" s="196" t="s">
        <v>1161</v>
      </c>
      <c r="Q62" s="199"/>
      <c r="R62" s="199"/>
      <c r="S62" s="199"/>
      <c r="T62" s="199">
        <v>1881.9</v>
      </c>
      <c r="U62" s="199"/>
      <c r="V62" s="199"/>
      <c r="W62" s="199">
        <f t="shared" si="2"/>
        <v>1881.9</v>
      </c>
      <c r="X62" s="196" t="s">
        <v>1155</v>
      </c>
      <c r="Y62" s="199"/>
      <c r="Z62" s="200">
        <v>1107</v>
      </c>
      <c r="AA62" s="200"/>
      <c r="AB62" s="200">
        <f t="shared" si="1"/>
        <v>1107</v>
      </c>
      <c r="AC62" s="196" t="s">
        <v>688</v>
      </c>
      <c r="AD62" s="196" t="s">
        <v>59</v>
      </c>
      <c r="AE62" s="197">
        <v>40547</v>
      </c>
      <c r="AF62" s="197"/>
      <c r="AG62" s="197"/>
      <c r="AH62" s="199"/>
      <c r="AI62" s="196"/>
      <c r="AJ62" s="196"/>
      <c r="AK62" s="196" t="s">
        <v>2309</v>
      </c>
    </row>
    <row r="63" spans="1:37" s="201" customFormat="1">
      <c r="A63" s="196" t="s">
        <v>689</v>
      </c>
      <c r="B63" s="196" t="s">
        <v>3083</v>
      </c>
      <c r="C63" s="196"/>
      <c r="D63" s="196" t="s">
        <v>2333</v>
      </c>
      <c r="E63" s="197">
        <v>39672</v>
      </c>
      <c r="F63" s="196" t="s">
        <v>58</v>
      </c>
      <c r="G63" s="196" t="s">
        <v>2334</v>
      </c>
      <c r="H63" s="196" t="s">
        <v>2335</v>
      </c>
      <c r="I63" s="196" t="s">
        <v>2336</v>
      </c>
      <c r="J63" s="196" t="s">
        <v>2337</v>
      </c>
      <c r="K63" s="196" t="s">
        <v>40</v>
      </c>
      <c r="L63" s="196" t="s">
        <v>1151</v>
      </c>
      <c r="M63" s="198" t="s">
        <v>2066</v>
      </c>
      <c r="N63" s="196" t="s">
        <v>2338</v>
      </c>
      <c r="O63" s="199">
        <v>1080</v>
      </c>
      <c r="P63" s="196" t="s">
        <v>1172</v>
      </c>
      <c r="Q63" s="199">
        <v>3420</v>
      </c>
      <c r="R63" s="199"/>
      <c r="S63" s="199"/>
      <c r="T63" s="199"/>
      <c r="U63" s="199"/>
      <c r="V63" s="199"/>
      <c r="W63" s="199">
        <f t="shared" si="2"/>
        <v>3420</v>
      </c>
      <c r="X63" s="196" t="s">
        <v>1155</v>
      </c>
      <c r="Y63" s="199"/>
      <c r="Z63" s="200">
        <v>2160</v>
      </c>
      <c r="AA63" s="200">
        <v>720</v>
      </c>
      <c r="AB63" s="200">
        <f t="shared" si="1"/>
        <v>2880</v>
      </c>
      <c r="AC63" s="196" t="s">
        <v>690</v>
      </c>
      <c r="AD63" s="196" t="s">
        <v>59</v>
      </c>
      <c r="AE63" s="197">
        <v>39856</v>
      </c>
      <c r="AF63" s="197"/>
      <c r="AG63" s="197"/>
      <c r="AH63" s="199"/>
      <c r="AI63" s="196"/>
      <c r="AJ63" s="196" t="s">
        <v>2339</v>
      </c>
      <c r="AK63" s="196" t="s">
        <v>2309</v>
      </c>
    </row>
    <row r="64" spans="1:37" s="201" customFormat="1">
      <c r="A64" s="196" t="s">
        <v>699</v>
      </c>
      <c r="B64" s="196" t="s">
        <v>3083</v>
      </c>
      <c r="C64" s="196"/>
      <c r="D64" s="196" t="s">
        <v>2340</v>
      </c>
      <c r="E64" s="197">
        <v>39905</v>
      </c>
      <c r="F64" s="196" t="s">
        <v>58</v>
      </c>
      <c r="G64" s="196" t="s">
        <v>2341</v>
      </c>
      <c r="H64" s="196" t="s">
        <v>2342</v>
      </c>
      <c r="I64" s="196"/>
      <c r="J64" s="196" t="s">
        <v>2343</v>
      </c>
      <c r="K64" s="196" t="s">
        <v>40</v>
      </c>
      <c r="L64" s="196" t="s">
        <v>1151</v>
      </c>
      <c r="M64" s="198" t="s">
        <v>2344</v>
      </c>
      <c r="N64" s="196" t="s">
        <v>2345</v>
      </c>
      <c r="O64" s="199">
        <v>1955.04</v>
      </c>
      <c r="P64" s="196" t="s">
        <v>1172</v>
      </c>
      <c r="Q64" s="199">
        <v>5865.12</v>
      </c>
      <c r="R64" s="199"/>
      <c r="S64" s="199"/>
      <c r="T64" s="199"/>
      <c r="U64" s="199"/>
      <c r="V64" s="199"/>
      <c r="W64" s="199">
        <f t="shared" si="2"/>
        <v>5865.12</v>
      </c>
      <c r="X64" s="196" t="s">
        <v>1155</v>
      </c>
      <c r="Y64" s="199"/>
      <c r="Z64" s="200">
        <v>2347</v>
      </c>
      <c r="AA64" s="200"/>
      <c r="AB64" s="200">
        <f t="shared" si="1"/>
        <v>2347</v>
      </c>
      <c r="AC64" s="196" t="s">
        <v>700</v>
      </c>
      <c r="AD64" s="196" t="s">
        <v>59</v>
      </c>
      <c r="AE64" s="197">
        <v>39919</v>
      </c>
      <c r="AF64" s="197"/>
      <c r="AG64" s="197"/>
      <c r="AH64" s="199"/>
      <c r="AI64" s="196"/>
      <c r="AJ64" s="196"/>
      <c r="AK64" s="196" t="s">
        <v>2309</v>
      </c>
    </row>
    <row r="65" spans="1:37" s="201" customFormat="1">
      <c r="A65" s="196" t="s">
        <v>701</v>
      </c>
      <c r="B65" s="196" t="s">
        <v>3083</v>
      </c>
      <c r="C65" s="196"/>
      <c r="D65" s="196" t="s">
        <v>2346</v>
      </c>
      <c r="E65" s="197">
        <v>39685</v>
      </c>
      <c r="F65" s="196" t="s">
        <v>58</v>
      </c>
      <c r="G65" s="196" t="s">
        <v>2347</v>
      </c>
      <c r="H65" s="196" t="s">
        <v>2348</v>
      </c>
      <c r="I65" s="196"/>
      <c r="J65" s="196" t="s">
        <v>2349</v>
      </c>
      <c r="K65" s="196" t="s">
        <v>3</v>
      </c>
      <c r="L65" s="196" t="s">
        <v>1151</v>
      </c>
      <c r="M65" s="198" t="s">
        <v>2350</v>
      </c>
      <c r="N65" s="196" t="s">
        <v>2351</v>
      </c>
      <c r="O65" s="199">
        <v>3002.51</v>
      </c>
      <c r="P65" s="196" t="s">
        <v>1172</v>
      </c>
      <c r="Q65" s="199">
        <v>9005.2099999999991</v>
      </c>
      <c r="R65" s="199"/>
      <c r="S65" s="199"/>
      <c r="T65" s="199"/>
      <c r="U65" s="199"/>
      <c r="V65" s="199"/>
      <c r="W65" s="199">
        <f t="shared" si="2"/>
        <v>9005.2099999999991</v>
      </c>
      <c r="X65" s="196" t="s">
        <v>1155</v>
      </c>
      <c r="Y65" s="199"/>
      <c r="Z65" s="200">
        <v>3002</v>
      </c>
      <c r="AA65" s="200">
        <v>100</v>
      </c>
      <c r="AB65" s="200">
        <f t="shared" ref="AB65:AB121" si="3">AA65+Z65</f>
        <v>3102</v>
      </c>
      <c r="AC65" s="196" t="s">
        <v>702</v>
      </c>
      <c r="AD65" s="196" t="s">
        <v>59</v>
      </c>
      <c r="AE65" s="197">
        <v>39983</v>
      </c>
      <c r="AF65" s="197"/>
      <c r="AG65" s="197"/>
      <c r="AH65" s="199"/>
      <c r="AI65" s="196"/>
      <c r="AJ65" s="196" t="s">
        <v>2339</v>
      </c>
      <c r="AK65" s="196" t="s">
        <v>2309</v>
      </c>
    </row>
    <row r="66" spans="1:37" s="201" customFormat="1">
      <c r="A66" s="196" t="s">
        <v>703</v>
      </c>
      <c r="B66" s="196" t="s">
        <v>3083</v>
      </c>
      <c r="C66" s="196"/>
      <c r="D66" s="196" t="s">
        <v>2352</v>
      </c>
      <c r="E66" s="197">
        <v>39630</v>
      </c>
      <c r="F66" s="196" t="s">
        <v>58</v>
      </c>
      <c r="G66" s="196" t="s">
        <v>2353</v>
      </c>
      <c r="H66" s="196" t="s">
        <v>2354</v>
      </c>
      <c r="I66" s="196"/>
      <c r="J66" s="196" t="s">
        <v>2355</v>
      </c>
      <c r="K66" s="196" t="s">
        <v>40</v>
      </c>
      <c r="L66" s="196" t="s">
        <v>1151</v>
      </c>
      <c r="M66" s="198" t="s">
        <v>2356</v>
      </c>
      <c r="N66" s="196" t="s">
        <v>2357</v>
      </c>
      <c r="O66" s="199">
        <v>2675</v>
      </c>
      <c r="P66" s="196" t="s">
        <v>1172</v>
      </c>
      <c r="Q66" s="199">
        <v>8024.6</v>
      </c>
      <c r="R66" s="199"/>
      <c r="S66" s="199"/>
      <c r="T66" s="199"/>
      <c r="U66" s="199"/>
      <c r="V66" s="199"/>
      <c r="W66" s="199">
        <f t="shared" si="2"/>
        <v>8024.6</v>
      </c>
      <c r="X66" s="196" t="s">
        <v>1155</v>
      </c>
      <c r="Y66" s="199"/>
      <c r="Z66" s="200">
        <v>2996</v>
      </c>
      <c r="AA66" s="200"/>
      <c r="AB66" s="200">
        <f t="shared" si="3"/>
        <v>2996</v>
      </c>
      <c r="AC66" s="196" t="s">
        <v>704</v>
      </c>
      <c r="AD66" s="196" t="s">
        <v>59</v>
      </c>
      <c r="AE66" s="197">
        <v>40044</v>
      </c>
      <c r="AF66" s="197"/>
      <c r="AG66" s="197"/>
      <c r="AH66" s="199"/>
      <c r="AI66" s="196"/>
      <c r="AJ66" s="196"/>
      <c r="AK66" s="196" t="s">
        <v>2309</v>
      </c>
    </row>
    <row r="67" spans="1:37" s="201" customFormat="1">
      <c r="A67" s="195" t="s">
        <v>705</v>
      </c>
      <c r="B67" s="196" t="s">
        <v>3083</v>
      </c>
      <c r="C67" s="196"/>
      <c r="D67" s="196" t="s">
        <v>2358</v>
      </c>
      <c r="E67" s="197">
        <v>40046</v>
      </c>
      <c r="F67" s="196" t="s">
        <v>58</v>
      </c>
      <c r="G67" s="196" t="s">
        <v>2359</v>
      </c>
      <c r="H67" s="196" t="s">
        <v>2360</v>
      </c>
      <c r="I67" s="196"/>
      <c r="J67" s="196" t="s">
        <v>2361</v>
      </c>
      <c r="K67" s="196" t="s">
        <v>2</v>
      </c>
      <c r="L67" s="196" t="s">
        <v>1151</v>
      </c>
      <c r="M67" s="198" t="s">
        <v>2362</v>
      </c>
      <c r="N67" s="196" t="s">
        <v>2363</v>
      </c>
      <c r="O67" s="199">
        <v>1602.36</v>
      </c>
      <c r="P67" s="196" t="s">
        <v>1172</v>
      </c>
      <c r="Q67" s="199">
        <v>4807.08</v>
      </c>
      <c r="R67" s="199"/>
      <c r="S67" s="199"/>
      <c r="T67" s="199"/>
      <c r="U67" s="199"/>
      <c r="V67" s="199"/>
      <c r="W67" s="199">
        <f t="shared" si="2"/>
        <v>4807.08</v>
      </c>
      <c r="X67" s="196" t="s">
        <v>1155</v>
      </c>
      <c r="Y67" s="199"/>
      <c r="Z67" s="200">
        <v>6009</v>
      </c>
      <c r="AA67" s="200">
        <v>1470</v>
      </c>
      <c r="AB67" s="200">
        <f t="shared" si="3"/>
        <v>7479</v>
      </c>
      <c r="AC67" s="196" t="s">
        <v>707</v>
      </c>
      <c r="AD67" s="196" t="s">
        <v>59</v>
      </c>
      <c r="AE67" s="197">
        <v>40773</v>
      </c>
      <c r="AF67" s="197"/>
      <c r="AG67" s="197"/>
      <c r="AH67" s="199"/>
      <c r="AI67" s="196"/>
      <c r="AJ67" s="196" t="s">
        <v>2364</v>
      </c>
      <c r="AK67" s="196" t="s">
        <v>2365</v>
      </c>
    </row>
    <row r="68" spans="1:37" s="201" customFormat="1" ht="75">
      <c r="A68" s="195" t="s">
        <v>708</v>
      </c>
      <c r="B68" s="196" t="s">
        <v>3083</v>
      </c>
      <c r="C68" s="196"/>
      <c r="D68" s="196" t="s">
        <v>2366</v>
      </c>
      <c r="E68" s="197">
        <v>39667</v>
      </c>
      <c r="F68" s="196" t="s">
        <v>58</v>
      </c>
      <c r="G68" s="138" t="s">
        <v>2367</v>
      </c>
      <c r="H68" s="196" t="s">
        <v>2368</v>
      </c>
      <c r="I68" s="138" t="s">
        <v>2369</v>
      </c>
      <c r="J68" s="214" t="s">
        <v>2370</v>
      </c>
      <c r="K68" s="196" t="s">
        <v>3</v>
      </c>
      <c r="L68" s="196" t="s">
        <v>1151</v>
      </c>
      <c r="M68" s="198" t="s">
        <v>2371</v>
      </c>
      <c r="N68" s="215" t="s">
        <v>2372</v>
      </c>
      <c r="O68" s="199">
        <v>7387.67</v>
      </c>
      <c r="P68" s="196" t="s">
        <v>1161</v>
      </c>
      <c r="Q68" s="199"/>
      <c r="R68" s="199"/>
      <c r="S68" s="199"/>
      <c r="T68" s="199">
        <v>22163.01</v>
      </c>
      <c r="U68" s="199"/>
      <c r="V68" s="199"/>
      <c r="W68" s="199">
        <f t="shared" si="2"/>
        <v>22163.01</v>
      </c>
      <c r="X68" s="196" t="s">
        <v>1155</v>
      </c>
      <c r="Y68" s="199"/>
      <c r="Z68" s="200">
        <v>11492</v>
      </c>
      <c r="AA68" s="200">
        <v>4680</v>
      </c>
      <c r="AB68" s="200">
        <f t="shared" si="3"/>
        <v>16172</v>
      </c>
      <c r="AC68" s="196" t="s">
        <v>712</v>
      </c>
      <c r="AD68" s="196" t="s">
        <v>59</v>
      </c>
      <c r="AE68" s="197">
        <v>40834</v>
      </c>
      <c r="AF68" s="197"/>
      <c r="AG68" s="197"/>
      <c r="AH68" s="199"/>
      <c r="AI68" s="196"/>
      <c r="AJ68" s="196"/>
      <c r="AK68" s="196" t="s">
        <v>2365</v>
      </c>
    </row>
    <row r="69" spans="1:37" s="201" customFormat="1" ht="75">
      <c r="A69" s="216" t="s">
        <v>708</v>
      </c>
      <c r="B69" s="196" t="s">
        <v>3083</v>
      </c>
      <c r="C69" s="196"/>
      <c r="D69" s="196" t="s">
        <v>2366</v>
      </c>
      <c r="E69" s="197">
        <v>39667</v>
      </c>
      <c r="F69" s="196" t="s">
        <v>58</v>
      </c>
      <c r="G69" s="138" t="s">
        <v>2367</v>
      </c>
      <c r="H69" s="196" t="s">
        <v>2368</v>
      </c>
      <c r="I69" s="138" t="s">
        <v>2369</v>
      </c>
      <c r="J69" s="214" t="s">
        <v>2370</v>
      </c>
      <c r="K69" s="196" t="s">
        <v>3</v>
      </c>
      <c r="L69" s="196" t="s">
        <v>1151</v>
      </c>
      <c r="M69" s="198" t="s">
        <v>2371</v>
      </c>
      <c r="N69" s="215" t="s">
        <v>2372</v>
      </c>
      <c r="O69" s="199">
        <v>7387.67</v>
      </c>
      <c r="P69" s="196" t="s">
        <v>1161</v>
      </c>
      <c r="Q69" s="199"/>
      <c r="R69" s="199"/>
      <c r="S69" s="199"/>
      <c r="T69" s="199">
        <v>22163.01</v>
      </c>
      <c r="U69" s="199"/>
      <c r="V69" s="199"/>
      <c r="W69" s="199">
        <f t="shared" si="2"/>
        <v>22163.01</v>
      </c>
      <c r="X69" s="196" t="s">
        <v>1155</v>
      </c>
      <c r="Y69" s="199"/>
      <c r="Z69" s="200">
        <v>11492</v>
      </c>
      <c r="AA69" s="200">
        <v>4680</v>
      </c>
      <c r="AB69" s="200">
        <f t="shared" si="3"/>
        <v>16172</v>
      </c>
      <c r="AC69" s="196" t="s">
        <v>711</v>
      </c>
      <c r="AD69" s="196" t="s">
        <v>61</v>
      </c>
      <c r="AE69" s="197">
        <v>40786</v>
      </c>
      <c r="AF69" s="197"/>
      <c r="AG69" s="197"/>
      <c r="AH69" s="199"/>
      <c r="AI69" s="196"/>
      <c r="AJ69" s="196" t="s">
        <v>2373</v>
      </c>
      <c r="AK69" s="196" t="s">
        <v>2365</v>
      </c>
    </row>
    <row r="70" spans="1:37" s="201" customFormat="1" ht="60">
      <c r="A70" s="216" t="s">
        <v>708</v>
      </c>
      <c r="B70" s="196" t="s">
        <v>3083</v>
      </c>
      <c r="C70" s="196"/>
      <c r="D70" s="196" t="s">
        <v>2366</v>
      </c>
      <c r="E70" s="197">
        <v>39667</v>
      </c>
      <c r="F70" s="196" t="s">
        <v>58</v>
      </c>
      <c r="G70" s="138" t="s">
        <v>2374</v>
      </c>
      <c r="H70" s="196" t="s">
        <v>2375</v>
      </c>
      <c r="I70" s="138"/>
      <c r="J70" s="217" t="s">
        <v>2376</v>
      </c>
      <c r="K70" s="196" t="s">
        <v>3</v>
      </c>
      <c r="L70" s="196" t="s">
        <v>1151</v>
      </c>
      <c r="M70" s="198" t="s">
        <v>2371</v>
      </c>
      <c r="N70" s="218" t="s">
        <v>2377</v>
      </c>
      <c r="O70" s="199">
        <v>6449.25</v>
      </c>
      <c r="P70" s="196" t="s">
        <v>1161</v>
      </c>
      <c r="Q70" s="199"/>
      <c r="R70" s="199"/>
      <c r="S70" s="199"/>
      <c r="T70" s="199">
        <v>19347.75</v>
      </c>
      <c r="U70" s="199"/>
      <c r="V70" s="199"/>
      <c r="W70" s="199">
        <f t="shared" si="2"/>
        <v>19347.75</v>
      </c>
      <c r="X70" s="196" t="s">
        <v>1155</v>
      </c>
      <c r="Y70" s="199"/>
      <c r="Z70" s="200">
        <v>13258</v>
      </c>
      <c r="AA70" s="200"/>
      <c r="AB70" s="200">
        <f t="shared" si="3"/>
        <v>13258</v>
      </c>
      <c r="AC70" s="196" t="s">
        <v>710</v>
      </c>
      <c r="AD70" s="196" t="s">
        <v>61</v>
      </c>
      <c r="AE70" s="197">
        <v>40779</v>
      </c>
      <c r="AF70" s="197"/>
      <c r="AG70" s="197"/>
      <c r="AH70" s="199"/>
      <c r="AI70" s="196"/>
      <c r="AJ70" s="196"/>
      <c r="AK70" s="196" t="s">
        <v>2365</v>
      </c>
    </row>
    <row r="71" spans="1:37" s="201" customFormat="1" ht="60">
      <c r="A71" s="216" t="s">
        <v>708</v>
      </c>
      <c r="B71" s="196" t="s">
        <v>3083</v>
      </c>
      <c r="C71" s="196"/>
      <c r="D71" s="196" t="s">
        <v>2366</v>
      </c>
      <c r="E71" s="197">
        <v>39667</v>
      </c>
      <c r="F71" s="196" t="s">
        <v>58</v>
      </c>
      <c r="G71" s="138" t="s">
        <v>2374</v>
      </c>
      <c r="H71" s="196" t="s">
        <v>2375</v>
      </c>
      <c r="I71" s="138"/>
      <c r="J71" s="217" t="s">
        <v>2378</v>
      </c>
      <c r="K71" s="196" t="s">
        <v>3</v>
      </c>
      <c r="L71" s="196" t="s">
        <v>1151</v>
      </c>
      <c r="M71" s="198" t="s">
        <v>2371</v>
      </c>
      <c r="N71" s="218" t="s">
        <v>2377</v>
      </c>
      <c r="O71" s="199">
        <v>3421.76</v>
      </c>
      <c r="P71" s="196" t="s">
        <v>1161</v>
      </c>
      <c r="Q71" s="199"/>
      <c r="R71" s="199"/>
      <c r="S71" s="199"/>
      <c r="T71" s="199">
        <v>19347.75</v>
      </c>
      <c r="U71" s="199"/>
      <c r="V71" s="199"/>
      <c r="W71" s="199">
        <v>2372.04</v>
      </c>
      <c r="X71" s="196" t="s">
        <v>1155</v>
      </c>
      <c r="Y71" s="199"/>
      <c r="Z71" s="200">
        <v>2649</v>
      </c>
      <c r="AA71" s="200"/>
      <c r="AB71" s="200">
        <f t="shared" si="3"/>
        <v>2649</v>
      </c>
      <c r="AC71" s="196" t="s">
        <v>709</v>
      </c>
      <c r="AD71" s="196" t="s">
        <v>61</v>
      </c>
      <c r="AE71" s="197">
        <v>40779</v>
      </c>
      <c r="AF71" s="197"/>
      <c r="AG71" s="197"/>
      <c r="AH71" s="199"/>
      <c r="AI71" s="196"/>
      <c r="AJ71" s="196"/>
      <c r="AK71" s="196" t="s">
        <v>2365</v>
      </c>
    </row>
    <row r="72" spans="1:37" s="201" customFormat="1" ht="30">
      <c r="A72" s="216" t="s">
        <v>713</v>
      </c>
      <c r="B72" s="196" t="s">
        <v>3083</v>
      </c>
      <c r="C72" s="196"/>
      <c r="D72" s="196" t="s">
        <v>2379</v>
      </c>
      <c r="E72" s="197">
        <v>39678</v>
      </c>
      <c r="F72" s="196" t="s">
        <v>58</v>
      </c>
      <c r="G72" s="219" t="s">
        <v>2380</v>
      </c>
      <c r="H72" s="196" t="s">
        <v>2381</v>
      </c>
      <c r="I72" s="196"/>
      <c r="J72" s="220" t="s">
        <v>2382</v>
      </c>
      <c r="K72" s="196" t="s">
        <v>4</v>
      </c>
      <c r="L72" s="196" t="s">
        <v>1151</v>
      </c>
      <c r="M72" s="198"/>
      <c r="N72" s="196" t="s">
        <v>2383</v>
      </c>
      <c r="O72" s="199">
        <v>928</v>
      </c>
      <c r="P72" s="196" t="s">
        <v>1161</v>
      </c>
      <c r="Q72" s="199"/>
      <c r="R72" s="199"/>
      <c r="S72" s="199"/>
      <c r="T72" s="199"/>
      <c r="U72" s="199"/>
      <c r="V72" s="199"/>
      <c r="W72" s="199">
        <f>T72+Q72</f>
        <v>0</v>
      </c>
      <c r="X72" s="196" t="s">
        <v>1155</v>
      </c>
      <c r="Y72" s="199"/>
      <c r="Z72" s="200"/>
      <c r="AA72" s="200">
        <v>147</v>
      </c>
      <c r="AB72" s="200">
        <f t="shared" si="3"/>
        <v>147</v>
      </c>
      <c r="AC72" s="196" t="s">
        <v>714</v>
      </c>
      <c r="AD72" s="196" t="s">
        <v>59</v>
      </c>
      <c r="AE72" s="197">
        <v>40086</v>
      </c>
      <c r="AF72" s="197"/>
      <c r="AG72" s="197"/>
      <c r="AH72" s="199"/>
      <c r="AI72" s="196"/>
      <c r="AJ72" s="138" t="s">
        <v>2384</v>
      </c>
      <c r="AK72" s="196" t="s">
        <v>2365</v>
      </c>
    </row>
    <row r="73" spans="1:37" s="201" customFormat="1">
      <c r="A73" s="195" t="s">
        <v>715</v>
      </c>
      <c r="B73" s="196" t="s">
        <v>3083</v>
      </c>
      <c r="C73" s="196"/>
      <c r="D73" s="196" t="s">
        <v>2385</v>
      </c>
      <c r="E73" s="197">
        <v>39883</v>
      </c>
      <c r="F73" s="196" t="s">
        <v>58</v>
      </c>
      <c r="G73" s="201" t="s">
        <v>2386</v>
      </c>
      <c r="H73" s="196" t="s">
        <v>2387</v>
      </c>
      <c r="I73" s="196"/>
      <c r="J73" s="201" t="s">
        <v>2388</v>
      </c>
      <c r="K73" s="196" t="s">
        <v>40</v>
      </c>
      <c r="L73" s="196" t="s">
        <v>1151</v>
      </c>
      <c r="M73" s="198" t="s">
        <v>2389</v>
      </c>
      <c r="N73" s="196" t="s">
        <v>2390</v>
      </c>
      <c r="O73" s="199">
        <v>2499</v>
      </c>
      <c r="P73" s="196" t="s">
        <v>1154</v>
      </c>
      <c r="Q73" s="199">
        <v>4662</v>
      </c>
      <c r="R73" s="199"/>
      <c r="S73" s="199"/>
      <c r="T73" s="199">
        <v>2835</v>
      </c>
      <c r="U73" s="199"/>
      <c r="V73" s="199"/>
      <c r="W73" s="199">
        <f>T73+Q73</f>
        <v>7497</v>
      </c>
      <c r="X73" s="196" t="s">
        <v>1155</v>
      </c>
      <c r="Y73" s="199"/>
      <c r="Z73" s="200">
        <v>3755</v>
      </c>
      <c r="AA73" s="200"/>
      <c r="AB73" s="200">
        <f t="shared" si="3"/>
        <v>3755</v>
      </c>
      <c r="AC73" s="196" t="s">
        <v>717</v>
      </c>
      <c r="AD73" s="196" t="s">
        <v>59</v>
      </c>
      <c r="AE73" s="197">
        <v>40302</v>
      </c>
      <c r="AF73" s="197"/>
      <c r="AG73" s="197"/>
      <c r="AH73" s="199"/>
      <c r="AI73" s="196"/>
      <c r="AJ73" s="196" t="s">
        <v>2391</v>
      </c>
      <c r="AK73" s="196" t="s">
        <v>2365</v>
      </c>
    </row>
    <row r="74" spans="1:37" s="201" customFormat="1">
      <c r="A74" s="195" t="s">
        <v>715</v>
      </c>
      <c r="B74" s="196" t="s">
        <v>3083</v>
      </c>
      <c r="C74" s="196"/>
      <c r="D74" s="196" t="s">
        <v>2385</v>
      </c>
      <c r="E74" s="197">
        <v>39883</v>
      </c>
      <c r="F74" s="196" t="s">
        <v>58</v>
      </c>
      <c r="G74" s="196" t="s">
        <v>2386</v>
      </c>
      <c r="H74" s="196" t="s">
        <v>2387</v>
      </c>
      <c r="I74" s="196"/>
      <c r="J74" s="196" t="s">
        <v>2388</v>
      </c>
      <c r="K74" s="196" t="s">
        <v>40</v>
      </c>
      <c r="L74" s="196" t="s">
        <v>1151</v>
      </c>
      <c r="M74" s="198" t="s">
        <v>2389</v>
      </c>
      <c r="N74" s="196" t="s">
        <v>2390</v>
      </c>
      <c r="O74" s="199">
        <v>2499</v>
      </c>
      <c r="P74" s="196" t="s">
        <v>1154</v>
      </c>
      <c r="Q74" s="199"/>
      <c r="R74" s="199"/>
      <c r="S74" s="199"/>
      <c r="T74" s="199"/>
      <c r="U74" s="199"/>
      <c r="V74" s="199"/>
      <c r="W74" s="199"/>
      <c r="X74" s="196" t="s">
        <v>1155</v>
      </c>
      <c r="Y74" s="199"/>
      <c r="Z74" s="200"/>
      <c r="AA74" s="200">
        <v>254</v>
      </c>
      <c r="AB74" s="200">
        <f t="shared" si="3"/>
        <v>254</v>
      </c>
      <c r="AC74" s="196" t="s">
        <v>716</v>
      </c>
      <c r="AD74" s="196" t="s">
        <v>59</v>
      </c>
      <c r="AE74" s="197">
        <v>40114</v>
      </c>
      <c r="AF74" s="197"/>
      <c r="AG74" s="197"/>
      <c r="AH74" s="199"/>
      <c r="AI74" s="196"/>
      <c r="AJ74" s="196"/>
      <c r="AK74" s="196" t="s">
        <v>2365</v>
      </c>
    </row>
    <row r="75" spans="1:37" s="201" customFormat="1" ht="30">
      <c r="A75" s="195" t="s">
        <v>718</v>
      </c>
      <c r="B75" s="196" t="s">
        <v>3083</v>
      </c>
      <c r="C75" s="196"/>
      <c r="D75" s="196" t="s">
        <v>2392</v>
      </c>
      <c r="E75" s="197">
        <v>40115</v>
      </c>
      <c r="F75" s="196" t="s">
        <v>58</v>
      </c>
      <c r="G75" s="201" t="s">
        <v>2393</v>
      </c>
      <c r="H75" s="196" t="s">
        <v>2394</v>
      </c>
      <c r="I75" s="196"/>
      <c r="J75" s="221" t="s">
        <v>2395</v>
      </c>
      <c r="K75" s="196" t="s">
        <v>3</v>
      </c>
      <c r="L75" s="196" t="s">
        <v>1151</v>
      </c>
      <c r="M75" s="198" t="s">
        <v>2396</v>
      </c>
      <c r="N75" s="138" t="s">
        <v>2397</v>
      </c>
      <c r="O75" s="199">
        <v>3719.7</v>
      </c>
      <c r="P75" s="196" t="s">
        <v>1161</v>
      </c>
      <c r="Q75" s="199"/>
      <c r="R75" s="199"/>
      <c r="S75" s="199"/>
      <c r="T75" s="199">
        <v>11137.89</v>
      </c>
      <c r="U75" s="199"/>
      <c r="V75" s="199"/>
      <c r="W75" s="199">
        <f t="shared" ref="W75:W104" si="4">T75+Q75</f>
        <v>11137.89</v>
      </c>
      <c r="X75" s="196" t="s">
        <v>1155</v>
      </c>
      <c r="Y75" s="199"/>
      <c r="Z75" s="200">
        <v>5775</v>
      </c>
      <c r="AA75" s="200"/>
      <c r="AB75" s="200">
        <f t="shared" si="3"/>
        <v>5775</v>
      </c>
      <c r="AC75" s="196" t="s">
        <v>720</v>
      </c>
      <c r="AD75" s="196" t="s">
        <v>59</v>
      </c>
      <c r="AE75" s="197">
        <v>40461</v>
      </c>
      <c r="AF75" s="197"/>
      <c r="AG75" s="197"/>
      <c r="AH75" s="199"/>
      <c r="AI75" s="196"/>
      <c r="AJ75" s="196"/>
      <c r="AK75" s="196" t="s">
        <v>2365</v>
      </c>
    </row>
    <row r="76" spans="1:37" s="201" customFormat="1" ht="30">
      <c r="A76" s="195" t="s">
        <v>718</v>
      </c>
      <c r="B76" s="196" t="s">
        <v>3083</v>
      </c>
      <c r="C76" s="196"/>
      <c r="D76" s="196" t="s">
        <v>2392</v>
      </c>
      <c r="E76" s="197">
        <v>40115</v>
      </c>
      <c r="F76" s="196" t="s">
        <v>58</v>
      </c>
      <c r="G76" s="196" t="s">
        <v>2393</v>
      </c>
      <c r="H76" s="196" t="s">
        <v>2394</v>
      </c>
      <c r="I76" s="196"/>
      <c r="J76" s="221" t="s">
        <v>2395</v>
      </c>
      <c r="K76" s="196" t="s">
        <v>3</v>
      </c>
      <c r="L76" s="196" t="s">
        <v>1151</v>
      </c>
      <c r="M76" s="198" t="s">
        <v>2396</v>
      </c>
      <c r="N76" s="138" t="s">
        <v>2397</v>
      </c>
      <c r="O76" s="199">
        <v>3719.7</v>
      </c>
      <c r="P76" s="196" t="s">
        <v>1161</v>
      </c>
      <c r="Q76" s="199"/>
      <c r="R76" s="199"/>
      <c r="S76" s="199"/>
      <c r="T76" s="199">
        <v>11002.87</v>
      </c>
      <c r="U76" s="199"/>
      <c r="V76" s="199"/>
      <c r="W76" s="199">
        <f t="shared" si="4"/>
        <v>11002.87</v>
      </c>
      <c r="X76" s="196" t="s">
        <v>1155</v>
      </c>
      <c r="Y76" s="199"/>
      <c r="Z76" s="200">
        <v>5700</v>
      </c>
      <c r="AA76" s="200"/>
      <c r="AB76" s="200">
        <f t="shared" si="3"/>
        <v>5700</v>
      </c>
      <c r="AC76" s="196" t="s">
        <v>719</v>
      </c>
      <c r="AD76" s="196" t="s">
        <v>61</v>
      </c>
      <c r="AE76" s="197">
        <v>40182</v>
      </c>
      <c r="AF76" s="197"/>
      <c r="AG76" s="197"/>
      <c r="AH76" s="199"/>
      <c r="AI76" s="196"/>
      <c r="AJ76" s="196"/>
      <c r="AK76" s="196" t="s">
        <v>2365</v>
      </c>
    </row>
    <row r="77" spans="1:37" s="201" customFormat="1" ht="30">
      <c r="A77" s="195" t="s">
        <v>721</v>
      </c>
      <c r="B77" s="196" t="s">
        <v>3083</v>
      </c>
      <c r="C77" s="196"/>
      <c r="D77" s="196" t="s">
        <v>2398</v>
      </c>
      <c r="E77" s="197">
        <v>40021</v>
      </c>
      <c r="F77" s="196" t="s">
        <v>58</v>
      </c>
      <c r="G77" s="201" t="s">
        <v>2399</v>
      </c>
      <c r="H77" s="196" t="s">
        <v>2400</v>
      </c>
      <c r="I77" s="196"/>
      <c r="J77" s="222" t="s">
        <v>2401</v>
      </c>
      <c r="K77" s="196" t="s">
        <v>40</v>
      </c>
      <c r="L77" s="196" t="s">
        <v>1151</v>
      </c>
      <c r="M77" s="198" t="s">
        <v>2402</v>
      </c>
      <c r="N77" s="196" t="s">
        <v>2403</v>
      </c>
      <c r="O77" s="199">
        <v>2385.83</v>
      </c>
      <c r="P77" s="196" t="s">
        <v>1154</v>
      </c>
      <c r="Q77" s="199">
        <v>1706.31</v>
      </c>
      <c r="R77" s="199"/>
      <c r="S77" s="199"/>
      <c r="T77" s="199">
        <v>26.47</v>
      </c>
      <c r="U77" s="199"/>
      <c r="V77" s="199"/>
      <c r="W77" s="199">
        <f t="shared" si="4"/>
        <v>1732.78</v>
      </c>
      <c r="X77" s="196" t="s">
        <v>1155</v>
      </c>
      <c r="Y77" s="199"/>
      <c r="Z77" s="200">
        <v>710</v>
      </c>
      <c r="AA77" s="200"/>
      <c r="AB77" s="200">
        <f t="shared" si="3"/>
        <v>710</v>
      </c>
      <c r="AC77" s="196" t="s">
        <v>722</v>
      </c>
      <c r="AD77" s="196" t="s">
        <v>59</v>
      </c>
      <c r="AE77" s="197">
        <v>40626</v>
      </c>
      <c r="AF77" s="197"/>
      <c r="AG77" s="197"/>
      <c r="AH77" s="199"/>
      <c r="AI77" s="196"/>
      <c r="AJ77" s="196"/>
      <c r="AK77" s="196" t="s">
        <v>2365</v>
      </c>
    </row>
    <row r="78" spans="1:37" s="201" customFormat="1" ht="30">
      <c r="A78" s="202" t="s">
        <v>723</v>
      </c>
      <c r="B78" s="196" t="s">
        <v>3083</v>
      </c>
      <c r="C78" s="196"/>
      <c r="D78" s="196" t="s">
        <v>2404</v>
      </c>
      <c r="E78" s="197">
        <v>40094</v>
      </c>
      <c r="F78" s="196" t="s">
        <v>58</v>
      </c>
      <c r="G78" s="201" t="s">
        <v>2405</v>
      </c>
      <c r="H78" s="196" t="s">
        <v>2406</v>
      </c>
      <c r="I78" s="196"/>
      <c r="J78" s="223" t="s">
        <v>2407</v>
      </c>
      <c r="K78" s="196" t="s">
        <v>3</v>
      </c>
      <c r="L78" s="196" t="s">
        <v>1151</v>
      </c>
      <c r="M78" s="198" t="s">
        <v>2408</v>
      </c>
      <c r="N78" s="138" t="s">
        <v>2409</v>
      </c>
      <c r="O78" s="199">
        <v>1403.56</v>
      </c>
      <c r="P78" s="196" t="s">
        <v>1161</v>
      </c>
      <c r="Q78" s="199"/>
      <c r="R78" s="199"/>
      <c r="S78" s="199"/>
      <c r="T78" s="199">
        <v>4210.68</v>
      </c>
      <c r="U78" s="199"/>
      <c r="V78" s="199"/>
      <c r="W78" s="199">
        <f t="shared" si="4"/>
        <v>4210.68</v>
      </c>
      <c r="X78" s="196" t="s">
        <v>1155</v>
      </c>
      <c r="Y78" s="199"/>
      <c r="Z78" s="200">
        <v>2374</v>
      </c>
      <c r="AA78" s="200">
        <v>26</v>
      </c>
      <c r="AB78" s="200">
        <f t="shared" si="3"/>
        <v>2400</v>
      </c>
      <c r="AC78" s="196" t="s">
        <v>724</v>
      </c>
      <c r="AD78" s="196" t="s">
        <v>59</v>
      </c>
      <c r="AE78" s="197">
        <v>40788</v>
      </c>
      <c r="AF78" s="197"/>
      <c r="AG78" s="197"/>
      <c r="AH78" s="199"/>
      <c r="AI78" s="196"/>
      <c r="AJ78" s="138" t="s">
        <v>2410</v>
      </c>
      <c r="AK78" s="196" t="s">
        <v>2365</v>
      </c>
    </row>
    <row r="79" spans="1:37" s="201" customFormat="1" ht="30">
      <c r="A79" s="195" t="s">
        <v>725</v>
      </c>
      <c r="B79" s="196" t="s">
        <v>3083</v>
      </c>
      <c r="C79" s="196"/>
      <c r="D79" s="196" t="s">
        <v>2411</v>
      </c>
      <c r="E79" s="197">
        <v>40011</v>
      </c>
      <c r="F79" s="196" t="s">
        <v>58</v>
      </c>
      <c r="G79" s="201" t="s">
        <v>2412</v>
      </c>
      <c r="H79" s="196" t="s">
        <v>2413</v>
      </c>
      <c r="I79" s="196"/>
      <c r="J79" s="223" t="s">
        <v>2414</v>
      </c>
      <c r="K79" s="196" t="s">
        <v>40</v>
      </c>
      <c r="L79" s="196" t="s">
        <v>1151</v>
      </c>
      <c r="M79" s="198" t="s">
        <v>2138</v>
      </c>
      <c r="N79" s="138" t="s">
        <v>2415</v>
      </c>
      <c r="O79" s="199">
        <v>1274.78</v>
      </c>
      <c r="P79" s="196" t="s">
        <v>1172</v>
      </c>
      <c r="Q79" s="199">
        <v>3824.34</v>
      </c>
      <c r="R79" s="199"/>
      <c r="S79" s="199"/>
      <c r="T79" s="199"/>
      <c r="U79" s="199"/>
      <c r="V79" s="199"/>
      <c r="W79" s="199">
        <f t="shared" si="4"/>
        <v>3824.34</v>
      </c>
      <c r="X79" s="196" t="s">
        <v>1155</v>
      </c>
      <c r="Y79" s="199"/>
      <c r="Z79" s="200">
        <v>1530</v>
      </c>
      <c r="AA79" s="200"/>
      <c r="AB79" s="200">
        <f t="shared" si="3"/>
        <v>1530</v>
      </c>
      <c r="AC79" s="196" t="s">
        <v>726</v>
      </c>
      <c r="AD79" s="196" t="s">
        <v>59</v>
      </c>
      <c r="AE79" s="197">
        <v>40261</v>
      </c>
      <c r="AF79" s="197"/>
      <c r="AG79" s="197"/>
      <c r="AH79" s="199"/>
      <c r="AI79" s="196"/>
      <c r="AJ79" s="196"/>
      <c r="AK79" s="196" t="s">
        <v>2365</v>
      </c>
    </row>
    <row r="80" spans="1:37" s="201" customFormat="1" ht="30">
      <c r="A80" s="195" t="s">
        <v>727</v>
      </c>
      <c r="B80" s="196" t="s">
        <v>3083</v>
      </c>
      <c r="C80" s="196"/>
      <c r="D80" s="196" t="s">
        <v>2416</v>
      </c>
      <c r="E80" s="197">
        <v>40127</v>
      </c>
      <c r="F80" s="196" t="s">
        <v>58</v>
      </c>
      <c r="G80" s="201" t="s">
        <v>2148</v>
      </c>
      <c r="H80" s="196" t="s">
        <v>2149</v>
      </c>
      <c r="I80" s="196"/>
      <c r="J80" s="222" t="s">
        <v>2417</v>
      </c>
      <c r="K80" s="196" t="s">
        <v>40</v>
      </c>
      <c r="L80" s="196" t="s">
        <v>1151</v>
      </c>
      <c r="M80" s="198" t="s">
        <v>2418</v>
      </c>
      <c r="N80" s="196" t="s">
        <v>2419</v>
      </c>
      <c r="O80" s="199">
        <v>2091.54</v>
      </c>
      <c r="P80" s="196" t="s">
        <v>1161</v>
      </c>
      <c r="Q80" s="199"/>
      <c r="R80" s="199"/>
      <c r="S80" s="199"/>
      <c r="T80" s="199">
        <v>4183.08</v>
      </c>
      <c r="U80" s="199"/>
      <c r="V80" s="199"/>
      <c r="W80" s="199">
        <f t="shared" si="4"/>
        <v>4183.08</v>
      </c>
      <c r="X80" s="196" t="s">
        <v>1155</v>
      </c>
      <c r="Y80" s="199"/>
      <c r="Z80" s="200">
        <v>4184</v>
      </c>
      <c r="AA80" s="200"/>
      <c r="AB80" s="200">
        <f t="shared" si="3"/>
        <v>4184</v>
      </c>
      <c r="AC80" s="196" t="s">
        <v>728</v>
      </c>
      <c r="AD80" s="196" t="s">
        <v>59</v>
      </c>
      <c r="AE80" s="197">
        <v>40248</v>
      </c>
      <c r="AF80" s="197"/>
      <c r="AG80" s="197"/>
      <c r="AH80" s="199"/>
      <c r="AI80" s="196"/>
      <c r="AJ80" s="196"/>
      <c r="AK80" s="196" t="s">
        <v>2365</v>
      </c>
    </row>
    <row r="81" spans="1:37" s="201" customFormat="1">
      <c r="A81" s="195" t="s">
        <v>729</v>
      </c>
      <c r="B81" s="196" t="s">
        <v>3083</v>
      </c>
      <c r="C81" s="196"/>
      <c r="D81" s="196" t="s">
        <v>2420</v>
      </c>
      <c r="E81" s="197">
        <v>40150</v>
      </c>
      <c r="F81" s="196" t="s">
        <v>58</v>
      </c>
      <c r="G81" s="201" t="s">
        <v>2421</v>
      </c>
      <c r="H81" s="196" t="s">
        <v>2422</v>
      </c>
      <c r="I81" s="196"/>
      <c r="J81" s="196" t="s">
        <v>2423</v>
      </c>
      <c r="K81" s="196" t="s">
        <v>3</v>
      </c>
      <c r="L81" s="196" t="s">
        <v>1151</v>
      </c>
      <c r="M81" s="198" t="s">
        <v>2424</v>
      </c>
      <c r="N81" s="196" t="s">
        <v>2425</v>
      </c>
      <c r="O81" s="199">
        <v>1561.7</v>
      </c>
      <c r="P81" s="196" t="s">
        <v>1161</v>
      </c>
      <c r="Q81" s="199"/>
      <c r="R81" s="199"/>
      <c r="S81" s="199"/>
      <c r="T81" s="199">
        <v>3123.4</v>
      </c>
      <c r="U81" s="199"/>
      <c r="V81" s="199"/>
      <c r="W81" s="199">
        <f t="shared" si="4"/>
        <v>3123.4</v>
      </c>
      <c r="X81" s="196" t="s">
        <v>1155</v>
      </c>
      <c r="Y81" s="199"/>
      <c r="Z81" s="200">
        <v>1736</v>
      </c>
      <c r="AA81" s="200"/>
      <c r="AB81" s="200">
        <f t="shared" si="3"/>
        <v>1736</v>
      </c>
      <c r="AC81" s="196" t="s">
        <v>730</v>
      </c>
      <c r="AD81" s="196" t="s">
        <v>59</v>
      </c>
      <c r="AE81" s="197">
        <v>40185</v>
      </c>
      <c r="AF81" s="197"/>
      <c r="AG81" s="197"/>
      <c r="AH81" s="199"/>
      <c r="AI81" s="196"/>
      <c r="AJ81" s="196"/>
      <c r="AK81" s="196" t="s">
        <v>2365</v>
      </c>
    </row>
    <row r="82" spans="1:37" s="201" customFormat="1">
      <c r="A82" s="195" t="s">
        <v>731</v>
      </c>
      <c r="B82" s="196" t="s">
        <v>3083</v>
      </c>
      <c r="C82" s="196"/>
      <c r="D82" s="196" t="s">
        <v>2426</v>
      </c>
      <c r="E82" s="197">
        <v>40151</v>
      </c>
      <c r="F82" s="196" t="s">
        <v>58</v>
      </c>
      <c r="G82" s="196" t="s">
        <v>2427</v>
      </c>
      <c r="H82" s="196" t="s">
        <v>2428</v>
      </c>
      <c r="I82" s="196" t="s">
        <v>2429</v>
      </c>
      <c r="J82" s="196" t="s">
        <v>2430</v>
      </c>
      <c r="K82" s="196" t="s">
        <v>4</v>
      </c>
      <c r="L82" s="196" t="s">
        <v>1151</v>
      </c>
      <c r="M82" s="198" t="s">
        <v>2431</v>
      </c>
      <c r="N82" s="196" t="s">
        <v>2432</v>
      </c>
      <c r="O82" s="199">
        <v>1455</v>
      </c>
      <c r="P82" s="196" t="s">
        <v>1172</v>
      </c>
      <c r="Q82" s="199">
        <v>2910</v>
      </c>
      <c r="R82" s="199"/>
      <c r="S82" s="199"/>
      <c r="T82" s="199"/>
      <c r="U82" s="199"/>
      <c r="V82" s="199"/>
      <c r="W82" s="199">
        <f t="shared" si="4"/>
        <v>2910</v>
      </c>
      <c r="X82" s="196" t="s">
        <v>1155</v>
      </c>
      <c r="Y82" s="199"/>
      <c r="Z82" s="200">
        <v>1455</v>
      </c>
      <c r="AA82" s="200"/>
      <c r="AB82" s="200">
        <f t="shared" si="3"/>
        <v>1455</v>
      </c>
      <c r="AC82" s="196" t="s">
        <v>732</v>
      </c>
      <c r="AD82" s="196" t="s">
        <v>59</v>
      </c>
      <c r="AE82" s="197">
        <v>40235</v>
      </c>
      <c r="AF82" s="197"/>
      <c r="AG82" s="197"/>
      <c r="AH82" s="199"/>
      <c r="AI82" s="196"/>
      <c r="AJ82" s="196"/>
      <c r="AK82" s="196" t="s">
        <v>2433</v>
      </c>
    </row>
    <row r="83" spans="1:37" s="201" customFormat="1">
      <c r="A83" s="195" t="s">
        <v>1718</v>
      </c>
      <c r="B83" s="196" t="s">
        <v>3083</v>
      </c>
      <c r="C83" s="196"/>
      <c r="D83" s="196" t="s">
        <v>2434</v>
      </c>
      <c r="E83" s="197">
        <v>40168</v>
      </c>
      <c r="F83" s="196" t="s">
        <v>58</v>
      </c>
      <c r="G83" s="196" t="s">
        <v>2435</v>
      </c>
      <c r="H83" s="196" t="s">
        <v>2436</v>
      </c>
      <c r="I83" s="196"/>
      <c r="J83" s="196" t="s">
        <v>2437</v>
      </c>
      <c r="K83" s="196" t="s">
        <v>40</v>
      </c>
      <c r="L83" s="196" t="s">
        <v>1151</v>
      </c>
      <c r="M83" s="198" t="s">
        <v>2438</v>
      </c>
      <c r="N83" s="196" t="s">
        <v>2439</v>
      </c>
      <c r="O83" s="199">
        <v>1293</v>
      </c>
      <c r="P83" s="196" t="s">
        <v>1172</v>
      </c>
      <c r="Q83" s="199">
        <v>3879</v>
      </c>
      <c r="R83" s="199"/>
      <c r="S83" s="199"/>
      <c r="T83" s="199"/>
      <c r="U83" s="199"/>
      <c r="V83" s="199"/>
      <c r="W83" s="199">
        <f t="shared" si="4"/>
        <v>3879</v>
      </c>
      <c r="X83" s="196" t="s">
        <v>1155</v>
      </c>
      <c r="Y83" s="199"/>
      <c r="Z83" s="200">
        <v>1552</v>
      </c>
      <c r="AA83" s="200"/>
      <c r="AB83" s="200">
        <f t="shared" si="3"/>
        <v>1552</v>
      </c>
      <c r="AC83" s="196" t="s">
        <v>733</v>
      </c>
      <c r="AD83" s="196" t="s">
        <v>59</v>
      </c>
      <c r="AE83" s="197">
        <v>40240</v>
      </c>
      <c r="AF83" s="197"/>
      <c r="AG83" s="197"/>
      <c r="AH83" s="199"/>
      <c r="AI83" s="196"/>
      <c r="AJ83" s="196"/>
      <c r="AK83" s="196" t="s">
        <v>2433</v>
      </c>
    </row>
    <row r="84" spans="1:37" s="201" customFormat="1">
      <c r="A84" s="195" t="s">
        <v>734</v>
      </c>
      <c r="B84" s="196" t="s">
        <v>3083</v>
      </c>
      <c r="C84" s="196"/>
      <c r="D84" s="196" t="s">
        <v>2440</v>
      </c>
      <c r="E84" s="197">
        <v>40240</v>
      </c>
      <c r="F84" s="196" t="s">
        <v>58</v>
      </c>
      <c r="G84" s="196" t="s">
        <v>2441</v>
      </c>
      <c r="H84" s="196" t="s">
        <v>2442</v>
      </c>
      <c r="I84" s="196"/>
      <c r="J84" s="196" t="s">
        <v>2443</v>
      </c>
      <c r="K84" s="196" t="s">
        <v>4</v>
      </c>
      <c r="L84" s="196" t="s">
        <v>1151</v>
      </c>
      <c r="M84" s="198" t="s">
        <v>2444</v>
      </c>
      <c r="N84" s="196" t="s">
        <v>2445</v>
      </c>
      <c r="O84" s="199">
        <v>1500</v>
      </c>
      <c r="P84" s="196" t="s">
        <v>1172</v>
      </c>
      <c r="Q84" s="199">
        <v>3000</v>
      </c>
      <c r="R84" s="199"/>
      <c r="S84" s="199"/>
      <c r="T84" s="199"/>
      <c r="U84" s="199"/>
      <c r="V84" s="199"/>
      <c r="W84" s="199">
        <f t="shared" si="4"/>
        <v>3000</v>
      </c>
      <c r="X84" s="196" t="s">
        <v>1155</v>
      </c>
      <c r="Y84" s="199"/>
      <c r="Z84" s="200">
        <v>1500</v>
      </c>
      <c r="AA84" s="200"/>
      <c r="AB84" s="200">
        <f t="shared" si="3"/>
        <v>1500</v>
      </c>
      <c r="AC84" s="196" t="s">
        <v>735</v>
      </c>
      <c r="AD84" s="196" t="s">
        <v>59</v>
      </c>
      <c r="AE84" s="197">
        <v>40240</v>
      </c>
      <c r="AF84" s="197"/>
      <c r="AG84" s="197"/>
      <c r="AH84" s="199"/>
      <c r="AI84" s="196"/>
      <c r="AJ84" s="196"/>
      <c r="AK84" s="196" t="s">
        <v>2433</v>
      </c>
    </row>
    <row r="85" spans="1:37" s="201" customFormat="1">
      <c r="A85" s="195" t="s">
        <v>736</v>
      </c>
      <c r="B85" s="196" t="s">
        <v>3083</v>
      </c>
      <c r="C85" s="196"/>
      <c r="D85" s="196" t="s">
        <v>2446</v>
      </c>
      <c r="E85" s="197">
        <v>40311</v>
      </c>
      <c r="F85" s="196" t="s">
        <v>58</v>
      </c>
      <c r="G85" s="196" t="s">
        <v>2447</v>
      </c>
      <c r="H85" s="196" t="s">
        <v>2448</v>
      </c>
      <c r="I85" s="196"/>
      <c r="J85" s="196" t="s">
        <v>2449</v>
      </c>
      <c r="K85" s="196" t="s">
        <v>3</v>
      </c>
      <c r="L85" s="196" t="s">
        <v>1151</v>
      </c>
      <c r="M85" s="198" t="s">
        <v>2105</v>
      </c>
      <c r="N85" s="196" t="s">
        <v>2450</v>
      </c>
      <c r="O85" s="199">
        <v>5510.48</v>
      </c>
      <c r="P85" s="196" t="s">
        <v>1161</v>
      </c>
      <c r="Q85" s="199"/>
      <c r="R85" s="199"/>
      <c r="S85" s="199"/>
      <c r="T85" s="199">
        <v>16530.36</v>
      </c>
      <c r="U85" s="199"/>
      <c r="V85" s="199"/>
      <c r="W85" s="199">
        <f t="shared" si="4"/>
        <v>16530.36</v>
      </c>
      <c r="X85" s="196" t="s">
        <v>1155</v>
      </c>
      <c r="Y85" s="199"/>
      <c r="Z85" s="200">
        <v>9076</v>
      </c>
      <c r="AA85" s="200"/>
      <c r="AB85" s="200">
        <f t="shared" si="3"/>
        <v>9076</v>
      </c>
      <c r="AC85" s="196" t="s">
        <v>737</v>
      </c>
      <c r="AD85" s="196" t="s">
        <v>59</v>
      </c>
      <c r="AE85" s="197">
        <v>40311</v>
      </c>
      <c r="AF85" s="197"/>
      <c r="AG85" s="197"/>
      <c r="AH85" s="199"/>
      <c r="AI85" s="196"/>
      <c r="AJ85" s="196" t="s">
        <v>2451</v>
      </c>
      <c r="AK85" s="196" t="s">
        <v>2433</v>
      </c>
    </row>
    <row r="86" spans="1:37" s="201" customFormat="1">
      <c r="A86" s="195" t="s">
        <v>739</v>
      </c>
      <c r="B86" s="196" t="s">
        <v>3083</v>
      </c>
      <c r="C86" s="196"/>
      <c r="D86" s="196" t="s">
        <v>2452</v>
      </c>
      <c r="E86" s="197">
        <v>40668</v>
      </c>
      <c r="F86" s="196" t="s">
        <v>58</v>
      </c>
      <c r="G86" s="196" t="s">
        <v>2453</v>
      </c>
      <c r="H86" s="196" t="s">
        <v>2155</v>
      </c>
      <c r="I86" s="196"/>
      <c r="J86" s="196" t="s">
        <v>2454</v>
      </c>
      <c r="K86" s="196" t="s">
        <v>2</v>
      </c>
      <c r="L86" s="196" t="s">
        <v>1151</v>
      </c>
      <c r="M86" s="198" t="s">
        <v>2455</v>
      </c>
      <c r="N86" s="196" t="s">
        <v>2456</v>
      </c>
      <c r="O86" s="199">
        <v>1283.1099999999999</v>
      </c>
      <c r="P86" s="196" t="s">
        <v>1172</v>
      </c>
      <c r="Q86" s="199">
        <v>3848.89</v>
      </c>
      <c r="R86" s="199"/>
      <c r="S86" s="199"/>
      <c r="T86" s="199"/>
      <c r="U86" s="199"/>
      <c r="V86" s="199"/>
      <c r="W86" s="199">
        <f t="shared" si="4"/>
        <v>3848.89</v>
      </c>
      <c r="X86" s="196" t="s">
        <v>1155</v>
      </c>
      <c r="Y86" s="199"/>
      <c r="Z86" s="200">
        <v>2961</v>
      </c>
      <c r="AA86" s="200"/>
      <c r="AB86" s="200">
        <f t="shared" si="3"/>
        <v>2961</v>
      </c>
      <c r="AC86" s="196" t="s">
        <v>740</v>
      </c>
      <c r="AD86" s="196" t="s">
        <v>59</v>
      </c>
      <c r="AE86" s="197">
        <v>40668</v>
      </c>
      <c r="AF86" s="197"/>
      <c r="AG86" s="197"/>
      <c r="AH86" s="199"/>
      <c r="AI86" s="196"/>
      <c r="AJ86" s="196"/>
      <c r="AK86" s="196" t="s">
        <v>2433</v>
      </c>
    </row>
    <row r="87" spans="1:37" s="201" customFormat="1">
      <c r="A87" s="195" t="s">
        <v>741</v>
      </c>
      <c r="B87" s="196" t="s">
        <v>3083</v>
      </c>
      <c r="C87" s="196"/>
      <c r="D87" s="196" t="s">
        <v>2457</v>
      </c>
      <c r="E87" s="197">
        <v>40030</v>
      </c>
      <c r="F87" s="196" t="s">
        <v>58</v>
      </c>
      <c r="G87" s="196" t="s">
        <v>2458</v>
      </c>
      <c r="H87" s="196" t="s">
        <v>2459</v>
      </c>
      <c r="I87" s="196"/>
      <c r="J87" s="196" t="s">
        <v>2460</v>
      </c>
      <c r="K87" s="196" t="s">
        <v>40</v>
      </c>
      <c r="L87" s="196" t="s">
        <v>1151</v>
      </c>
      <c r="M87" s="198" t="s">
        <v>2125</v>
      </c>
      <c r="N87" s="196" t="s">
        <v>2461</v>
      </c>
      <c r="O87" s="199">
        <v>2850</v>
      </c>
      <c r="P87" s="196" t="s">
        <v>1172</v>
      </c>
      <c r="Q87" s="199">
        <v>8548.0049999999992</v>
      </c>
      <c r="R87" s="199"/>
      <c r="S87" s="199"/>
      <c r="T87" s="199"/>
      <c r="U87" s="199"/>
      <c r="V87" s="199"/>
      <c r="W87" s="199">
        <f t="shared" si="4"/>
        <v>8548.0049999999992</v>
      </c>
      <c r="X87" s="196" t="s">
        <v>1155</v>
      </c>
      <c r="Y87" s="199"/>
      <c r="Z87" s="200">
        <v>3192</v>
      </c>
      <c r="AA87" s="200"/>
      <c r="AB87" s="200">
        <f t="shared" si="3"/>
        <v>3192</v>
      </c>
      <c r="AC87" s="196" t="s">
        <v>742</v>
      </c>
      <c r="AD87" s="196" t="s">
        <v>59</v>
      </c>
      <c r="AE87" s="197">
        <v>40302</v>
      </c>
      <c r="AF87" s="197"/>
      <c r="AG87" s="197"/>
      <c r="AH87" s="199"/>
      <c r="AI87" s="196"/>
      <c r="AJ87" s="196"/>
      <c r="AK87" s="196" t="s">
        <v>2433</v>
      </c>
    </row>
    <row r="88" spans="1:37" s="201" customFormat="1">
      <c r="A88" s="195" t="s">
        <v>744</v>
      </c>
      <c r="B88" s="196" t="s">
        <v>3083</v>
      </c>
      <c r="C88" s="196"/>
      <c r="D88" s="196" t="s">
        <v>2462</v>
      </c>
      <c r="E88" s="197">
        <v>40317</v>
      </c>
      <c r="F88" s="196" t="s">
        <v>58</v>
      </c>
      <c r="G88" s="196" t="s">
        <v>2463</v>
      </c>
      <c r="H88" s="196" t="s">
        <v>2464</v>
      </c>
      <c r="I88" s="196"/>
      <c r="J88" s="196" t="s">
        <v>2465</v>
      </c>
      <c r="K88" s="196" t="s">
        <v>2</v>
      </c>
      <c r="L88" s="196" t="s">
        <v>1151</v>
      </c>
      <c r="M88" s="198" t="s">
        <v>2466</v>
      </c>
      <c r="N88" s="196" t="s">
        <v>2467</v>
      </c>
      <c r="O88" s="199">
        <v>10318.870000000001</v>
      </c>
      <c r="P88" s="196" t="s">
        <v>1161</v>
      </c>
      <c r="Q88" s="199"/>
      <c r="R88" s="199"/>
      <c r="S88" s="199"/>
      <c r="T88" s="199">
        <v>7189.1581999999999</v>
      </c>
      <c r="U88" s="199"/>
      <c r="V88" s="199"/>
      <c r="W88" s="199">
        <f t="shared" si="4"/>
        <v>7189.1581999999999</v>
      </c>
      <c r="X88" s="196" t="s">
        <v>1155</v>
      </c>
      <c r="Y88" s="199"/>
      <c r="Z88" s="200">
        <v>5103</v>
      </c>
      <c r="AA88" s="200"/>
      <c r="AB88" s="200">
        <f t="shared" si="3"/>
        <v>5103</v>
      </c>
      <c r="AC88" s="196" t="s">
        <v>745</v>
      </c>
      <c r="AD88" s="196" t="s">
        <v>59</v>
      </c>
      <c r="AE88" s="197">
        <v>40331</v>
      </c>
      <c r="AF88" s="197"/>
      <c r="AG88" s="197"/>
      <c r="AH88" s="199"/>
      <c r="AI88" s="196"/>
      <c r="AJ88" s="196"/>
      <c r="AK88" s="196" t="s">
        <v>2433</v>
      </c>
    </row>
    <row r="89" spans="1:37" s="201" customFormat="1">
      <c r="A89" s="196" t="s">
        <v>746</v>
      </c>
      <c r="B89" s="196" t="s">
        <v>3083</v>
      </c>
      <c r="C89" s="196"/>
      <c r="D89" s="196" t="s">
        <v>2468</v>
      </c>
      <c r="E89" s="197">
        <v>40336</v>
      </c>
      <c r="F89" s="196" t="s">
        <v>58</v>
      </c>
      <c r="G89" s="196" t="s">
        <v>2469</v>
      </c>
      <c r="H89" s="196" t="s">
        <v>2470</v>
      </c>
      <c r="I89" s="196" t="s">
        <v>2471</v>
      </c>
      <c r="J89" s="196" t="s">
        <v>2472</v>
      </c>
      <c r="K89" s="196" t="s">
        <v>3</v>
      </c>
      <c r="L89" s="196" t="s">
        <v>1151</v>
      </c>
      <c r="M89" s="198" t="s">
        <v>2473</v>
      </c>
      <c r="N89" s="196" t="s">
        <v>2474</v>
      </c>
      <c r="O89" s="199">
        <v>1249.9100000000001</v>
      </c>
      <c r="P89" s="196" t="s">
        <v>1161</v>
      </c>
      <c r="Q89" s="199"/>
      <c r="R89" s="199"/>
      <c r="S89" s="199"/>
      <c r="T89" s="199">
        <v>3749.73</v>
      </c>
      <c r="U89" s="199"/>
      <c r="V89" s="199"/>
      <c r="W89" s="199">
        <f t="shared" si="4"/>
        <v>3749.73</v>
      </c>
      <c r="X89" s="196" t="s">
        <v>1155</v>
      </c>
      <c r="Y89" s="199"/>
      <c r="Z89" s="200">
        <v>2084</v>
      </c>
      <c r="AA89" s="200"/>
      <c r="AB89" s="200">
        <f t="shared" si="3"/>
        <v>2084</v>
      </c>
      <c r="AC89" s="196" t="s">
        <v>747</v>
      </c>
      <c r="AD89" s="196" t="s">
        <v>61</v>
      </c>
      <c r="AE89" s="197">
        <v>40616</v>
      </c>
      <c r="AF89" s="197"/>
      <c r="AG89" s="197"/>
      <c r="AH89" s="199"/>
      <c r="AI89" s="196"/>
      <c r="AJ89" s="196"/>
      <c r="AK89" s="196" t="s">
        <v>2475</v>
      </c>
    </row>
    <row r="90" spans="1:37" s="219" customFormat="1">
      <c r="A90" s="196" t="s">
        <v>746</v>
      </c>
      <c r="B90" s="196" t="s">
        <v>3083</v>
      </c>
      <c r="C90" s="196"/>
      <c r="D90" s="196" t="s">
        <v>2468</v>
      </c>
      <c r="E90" s="197">
        <v>40336</v>
      </c>
      <c r="F90" s="196" t="s">
        <v>58</v>
      </c>
      <c r="G90" s="196" t="s">
        <v>2469</v>
      </c>
      <c r="H90" s="196" t="s">
        <v>2470</v>
      </c>
      <c r="I90" s="196" t="s">
        <v>2471</v>
      </c>
      <c r="J90" s="196" t="s">
        <v>2472</v>
      </c>
      <c r="K90" s="196" t="s">
        <v>3</v>
      </c>
      <c r="L90" s="196" t="s">
        <v>1160</v>
      </c>
      <c r="M90" s="198" t="s">
        <v>2473</v>
      </c>
      <c r="N90" s="196" t="s">
        <v>2476</v>
      </c>
      <c r="O90" s="199">
        <v>1644.53</v>
      </c>
      <c r="P90" s="196" t="s">
        <v>1161</v>
      </c>
      <c r="Q90" s="199"/>
      <c r="R90" s="199"/>
      <c r="S90" s="199"/>
      <c r="T90" s="199">
        <v>4933.59</v>
      </c>
      <c r="U90" s="199"/>
      <c r="V90" s="199"/>
      <c r="W90" s="199">
        <f t="shared" si="4"/>
        <v>4933.59</v>
      </c>
      <c r="X90" s="196" t="s">
        <v>1155</v>
      </c>
      <c r="Y90" s="199"/>
      <c r="Z90" s="200">
        <v>2741</v>
      </c>
      <c r="AA90" s="200"/>
      <c r="AB90" s="200">
        <f t="shared" si="3"/>
        <v>2741</v>
      </c>
      <c r="AC90" s="196" t="s">
        <v>748</v>
      </c>
      <c r="AD90" s="196" t="s">
        <v>61</v>
      </c>
      <c r="AE90" s="197">
        <v>40721</v>
      </c>
      <c r="AF90" s="197"/>
      <c r="AG90" s="197"/>
      <c r="AH90" s="199"/>
      <c r="AI90" s="196"/>
      <c r="AJ90" s="196" t="s">
        <v>2477</v>
      </c>
      <c r="AK90" s="196" t="s">
        <v>2475</v>
      </c>
    </row>
    <row r="91" spans="1:37" s="201" customFormat="1">
      <c r="A91" s="196" t="s">
        <v>746</v>
      </c>
      <c r="B91" s="196" t="s">
        <v>3083</v>
      </c>
      <c r="C91" s="196"/>
      <c r="D91" s="196" t="s">
        <v>2468</v>
      </c>
      <c r="E91" s="197">
        <v>40336</v>
      </c>
      <c r="F91" s="196" t="s">
        <v>58</v>
      </c>
      <c r="G91" s="196" t="s">
        <v>2469</v>
      </c>
      <c r="H91" s="196" t="s">
        <v>2470</v>
      </c>
      <c r="I91" s="196" t="s">
        <v>2471</v>
      </c>
      <c r="J91" s="196" t="s">
        <v>2472</v>
      </c>
      <c r="K91" s="196" t="s">
        <v>3</v>
      </c>
      <c r="L91" s="196" t="s">
        <v>1160</v>
      </c>
      <c r="M91" s="198" t="s">
        <v>2473</v>
      </c>
      <c r="N91" s="196" t="s">
        <v>2476</v>
      </c>
      <c r="O91" s="199">
        <v>1644.53</v>
      </c>
      <c r="P91" s="196" t="s">
        <v>1161</v>
      </c>
      <c r="Q91" s="199"/>
      <c r="R91" s="199"/>
      <c r="S91" s="199"/>
      <c r="T91" s="199">
        <v>4933.59</v>
      </c>
      <c r="U91" s="199"/>
      <c r="V91" s="199"/>
      <c r="W91" s="199">
        <f t="shared" si="4"/>
        <v>4933.59</v>
      </c>
      <c r="X91" s="196" t="s">
        <v>1155</v>
      </c>
      <c r="Y91" s="199"/>
      <c r="Z91" s="200">
        <v>2741</v>
      </c>
      <c r="AA91" s="200"/>
      <c r="AB91" s="200">
        <f t="shared" si="3"/>
        <v>2741</v>
      </c>
      <c r="AC91" s="196" t="s">
        <v>749</v>
      </c>
      <c r="AD91" s="196" t="s">
        <v>59</v>
      </c>
      <c r="AE91" s="197">
        <v>40834</v>
      </c>
      <c r="AF91" s="197"/>
      <c r="AG91" s="197"/>
      <c r="AH91" s="199"/>
      <c r="AI91" s="196"/>
      <c r="AJ91" s="196" t="s">
        <v>2478</v>
      </c>
      <c r="AK91" s="196" t="s">
        <v>2475</v>
      </c>
    </row>
    <row r="92" spans="1:37" s="201" customFormat="1" ht="150">
      <c r="A92" s="195" t="s">
        <v>750</v>
      </c>
      <c r="B92" s="196" t="s">
        <v>3083</v>
      </c>
      <c r="C92" s="196"/>
      <c r="D92" s="196" t="s">
        <v>2479</v>
      </c>
      <c r="E92" s="197">
        <v>40326</v>
      </c>
      <c r="F92" s="196" t="s">
        <v>58</v>
      </c>
      <c r="G92" s="206" t="s">
        <v>2480</v>
      </c>
      <c r="H92" s="205" t="s">
        <v>2481</v>
      </c>
      <c r="I92" s="206" t="s">
        <v>2482</v>
      </c>
      <c r="J92" s="224" t="s">
        <v>2483</v>
      </c>
      <c r="K92" s="196" t="s">
        <v>3</v>
      </c>
      <c r="L92" s="196" t="s">
        <v>1160</v>
      </c>
      <c r="M92" s="198" t="s">
        <v>2112</v>
      </c>
      <c r="N92" s="206" t="s">
        <v>2484</v>
      </c>
      <c r="O92" s="199">
        <v>3104.52</v>
      </c>
      <c r="P92" s="196" t="s">
        <v>1161</v>
      </c>
      <c r="Q92" s="199"/>
      <c r="R92" s="199"/>
      <c r="S92" s="199"/>
      <c r="T92" s="199">
        <v>6459.04</v>
      </c>
      <c r="U92" s="199"/>
      <c r="V92" s="199"/>
      <c r="W92" s="199">
        <f t="shared" si="4"/>
        <v>6459.04</v>
      </c>
      <c r="X92" s="196" t="s">
        <v>1155</v>
      </c>
      <c r="Y92" s="199"/>
      <c r="Z92" s="200">
        <v>3435</v>
      </c>
      <c r="AA92" s="200"/>
      <c r="AB92" s="200">
        <f t="shared" si="3"/>
        <v>3435</v>
      </c>
      <c r="AC92" s="196" t="s">
        <v>753</v>
      </c>
      <c r="AD92" s="196" t="s">
        <v>59</v>
      </c>
      <c r="AE92" s="197">
        <v>40834</v>
      </c>
      <c r="AF92" s="197"/>
      <c r="AG92" s="197"/>
      <c r="AH92" s="199"/>
      <c r="AI92" s="196"/>
      <c r="AJ92" s="138" t="s">
        <v>2485</v>
      </c>
      <c r="AK92" s="196" t="s">
        <v>2230</v>
      </c>
    </row>
    <row r="93" spans="1:37" s="201" customFormat="1" ht="150">
      <c r="A93" s="195" t="s">
        <v>750</v>
      </c>
      <c r="B93" s="196" t="s">
        <v>3083</v>
      </c>
      <c r="C93" s="196"/>
      <c r="D93" s="196" t="s">
        <v>2479</v>
      </c>
      <c r="E93" s="197">
        <v>40326</v>
      </c>
      <c r="F93" s="196" t="s">
        <v>58</v>
      </c>
      <c r="G93" s="206" t="s">
        <v>2480</v>
      </c>
      <c r="H93" s="205" t="s">
        <v>2481</v>
      </c>
      <c r="I93" s="206" t="s">
        <v>2482</v>
      </c>
      <c r="J93" s="224" t="s">
        <v>2483</v>
      </c>
      <c r="K93" s="196" t="s">
        <v>3</v>
      </c>
      <c r="L93" s="196" t="s">
        <v>1160</v>
      </c>
      <c r="M93" s="198" t="s">
        <v>2112</v>
      </c>
      <c r="N93" s="206" t="s">
        <v>2484</v>
      </c>
      <c r="O93" s="199">
        <v>3104.52</v>
      </c>
      <c r="P93" s="196" t="s">
        <v>1161</v>
      </c>
      <c r="Q93" s="199"/>
      <c r="R93" s="199"/>
      <c r="S93" s="199"/>
      <c r="T93" s="199">
        <v>6459.04</v>
      </c>
      <c r="U93" s="199"/>
      <c r="V93" s="199"/>
      <c r="W93" s="199">
        <f t="shared" si="4"/>
        <v>6459.04</v>
      </c>
      <c r="X93" s="196" t="s">
        <v>1155</v>
      </c>
      <c r="Y93" s="199"/>
      <c r="Z93" s="200">
        <v>3435</v>
      </c>
      <c r="AA93" s="200"/>
      <c r="AB93" s="200">
        <f t="shared" si="3"/>
        <v>3435</v>
      </c>
      <c r="AC93" s="196" t="s">
        <v>752</v>
      </c>
      <c r="AD93" s="196" t="s">
        <v>61</v>
      </c>
      <c r="AE93" s="197">
        <v>40788</v>
      </c>
      <c r="AF93" s="197"/>
      <c r="AG93" s="197"/>
      <c r="AH93" s="199"/>
      <c r="AI93" s="196"/>
      <c r="AJ93" s="196" t="s">
        <v>2486</v>
      </c>
      <c r="AK93" s="196" t="s">
        <v>2230</v>
      </c>
    </row>
    <row r="94" spans="1:37" s="201" customFormat="1" ht="75">
      <c r="A94" s="195" t="s">
        <v>750</v>
      </c>
      <c r="B94" s="196" t="s">
        <v>3083</v>
      </c>
      <c r="C94" s="196"/>
      <c r="D94" s="196" t="s">
        <v>2479</v>
      </c>
      <c r="E94" s="197">
        <v>40326</v>
      </c>
      <c r="F94" s="196" t="s">
        <v>58</v>
      </c>
      <c r="G94" s="221" t="s">
        <v>2487</v>
      </c>
      <c r="H94" s="205" t="s">
        <v>2481</v>
      </c>
      <c r="I94" s="221" t="s">
        <v>2488</v>
      </c>
      <c r="J94" s="221" t="s">
        <v>2489</v>
      </c>
      <c r="K94" s="196" t="s">
        <v>3</v>
      </c>
      <c r="L94" s="196" t="s">
        <v>1151</v>
      </c>
      <c r="M94" s="198" t="s">
        <v>2112</v>
      </c>
      <c r="N94" s="206" t="s">
        <v>2490</v>
      </c>
      <c r="O94" s="199">
        <v>2854.52</v>
      </c>
      <c r="P94" s="196" t="s">
        <v>1161</v>
      </c>
      <c r="Q94" s="199"/>
      <c r="R94" s="199"/>
      <c r="S94" s="199"/>
      <c r="T94" s="199">
        <v>5709.04</v>
      </c>
      <c r="U94" s="199"/>
      <c r="V94" s="199"/>
      <c r="W94" s="199">
        <f t="shared" si="4"/>
        <v>5709.04</v>
      </c>
      <c r="X94" s="196" t="s">
        <v>1155</v>
      </c>
      <c r="Y94" s="199"/>
      <c r="Z94" s="200">
        <v>3023</v>
      </c>
      <c r="AA94" s="200"/>
      <c r="AB94" s="200">
        <f t="shared" si="3"/>
        <v>3023</v>
      </c>
      <c r="AC94" s="196" t="s">
        <v>751</v>
      </c>
      <c r="AD94" s="196" t="s">
        <v>61</v>
      </c>
      <c r="AE94" s="197">
        <v>40788</v>
      </c>
      <c r="AF94" s="197"/>
      <c r="AG94" s="197"/>
      <c r="AH94" s="199"/>
      <c r="AI94" s="196"/>
      <c r="AJ94" s="196" t="s">
        <v>2491</v>
      </c>
      <c r="AK94" s="196" t="s">
        <v>2230</v>
      </c>
    </row>
    <row r="95" spans="1:37" s="201" customFormat="1">
      <c r="A95" s="195" t="s">
        <v>754</v>
      </c>
      <c r="B95" s="196" t="s">
        <v>3083</v>
      </c>
      <c r="C95" s="196"/>
      <c r="D95" s="196" t="s">
        <v>2492</v>
      </c>
      <c r="E95" s="197">
        <v>40350</v>
      </c>
      <c r="F95" s="196" t="s">
        <v>58</v>
      </c>
      <c r="G95" s="196" t="s">
        <v>2493</v>
      </c>
      <c r="H95" s="196" t="s">
        <v>2494</v>
      </c>
      <c r="I95" s="196"/>
      <c r="J95" s="205" t="s">
        <v>2495</v>
      </c>
      <c r="K95" s="196" t="s">
        <v>3</v>
      </c>
      <c r="L95" s="196" t="s">
        <v>1160</v>
      </c>
      <c r="M95" s="198" t="s">
        <v>2496</v>
      </c>
      <c r="N95" s="196" t="s">
        <v>2497</v>
      </c>
      <c r="O95" s="199">
        <v>17211.78</v>
      </c>
      <c r="P95" s="196" t="s">
        <v>1154</v>
      </c>
      <c r="Q95" s="199">
        <v>13144</v>
      </c>
      <c r="R95" s="199"/>
      <c r="S95" s="199"/>
      <c r="T95" s="199">
        <v>8467.07</v>
      </c>
      <c r="U95" s="199"/>
      <c r="V95" s="199"/>
      <c r="W95" s="199">
        <f t="shared" si="4"/>
        <v>21611.07</v>
      </c>
      <c r="X95" s="196" t="s">
        <v>1155</v>
      </c>
      <c r="Y95" s="199"/>
      <c r="Z95" s="200">
        <v>10037</v>
      </c>
      <c r="AA95" s="200"/>
      <c r="AB95" s="200">
        <f t="shared" si="3"/>
        <v>10037</v>
      </c>
      <c r="AC95" s="196" t="s">
        <v>756</v>
      </c>
      <c r="AD95" s="196" t="s">
        <v>59</v>
      </c>
      <c r="AE95" s="197">
        <v>40834</v>
      </c>
      <c r="AF95" s="197"/>
      <c r="AG95" s="197"/>
      <c r="AH95" s="199"/>
      <c r="AI95" s="196"/>
      <c r="AJ95" s="196" t="s">
        <v>2498</v>
      </c>
      <c r="AK95" s="196" t="s">
        <v>2230</v>
      </c>
    </row>
    <row r="96" spans="1:37" s="201" customFormat="1">
      <c r="A96" s="195" t="s">
        <v>754</v>
      </c>
      <c r="B96" s="196" t="s">
        <v>3083</v>
      </c>
      <c r="C96" s="196"/>
      <c r="D96" s="196" t="s">
        <v>2492</v>
      </c>
      <c r="E96" s="197">
        <v>40350</v>
      </c>
      <c r="F96" s="196" t="s">
        <v>58</v>
      </c>
      <c r="G96" s="196" t="s">
        <v>2493</v>
      </c>
      <c r="H96" s="196" t="s">
        <v>2494</v>
      </c>
      <c r="I96" s="196"/>
      <c r="J96" s="205" t="s">
        <v>2495</v>
      </c>
      <c r="K96" s="196" t="s">
        <v>3</v>
      </c>
      <c r="L96" s="196" t="s">
        <v>1151</v>
      </c>
      <c r="M96" s="198" t="s">
        <v>2496</v>
      </c>
      <c r="N96" s="196" t="s">
        <v>2497</v>
      </c>
      <c r="O96" s="199">
        <v>17211.78</v>
      </c>
      <c r="P96" s="196" t="s">
        <v>1154</v>
      </c>
      <c r="Q96" s="199">
        <v>13144</v>
      </c>
      <c r="R96" s="199"/>
      <c r="S96" s="199"/>
      <c r="T96" s="199">
        <v>8467.07</v>
      </c>
      <c r="U96" s="199"/>
      <c r="V96" s="199"/>
      <c r="W96" s="199">
        <f t="shared" si="4"/>
        <v>21611.07</v>
      </c>
      <c r="X96" s="196" t="s">
        <v>1155</v>
      </c>
      <c r="Y96" s="199"/>
      <c r="Z96" s="200">
        <v>10037</v>
      </c>
      <c r="AA96" s="200"/>
      <c r="AB96" s="200">
        <f t="shared" si="3"/>
        <v>10037</v>
      </c>
      <c r="AC96" s="196" t="s">
        <v>755</v>
      </c>
      <c r="AD96" s="196" t="s">
        <v>61</v>
      </c>
      <c r="AE96" s="197">
        <v>40710</v>
      </c>
      <c r="AF96" s="197"/>
      <c r="AG96" s="197"/>
      <c r="AH96" s="199"/>
      <c r="AI96" s="196"/>
      <c r="AJ96" s="196" t="s">
        <v>2499</v>
      </c>
      <c r="AK96" s="196" t="s">
        <v>2230</v>
      </c>
    </row>
    <row r="97" spans="1:37" s="201" customFormat="1">
      <c r="A97" s="195" t="s">
        <v>757</v>
      </c>
      <c r="B97" s="196" t="s">
        <v>3083</v>
      </c>
      <c r="C97" s="196"/>
      <c r="D97" s="196" t="s">
        <v>2500</v>
      </c>
      <c r="E97" s="197">
        <v>41800</v>
      </c>
      <c r="F97" s="196" t="s">
        <v>58</v>
      </c>
      <c r="G97" s="196" t="s">
        <v>2501</v>
      </c>
      <c r="H97" s="196"/>
      <c r="I97" s="221" t="s">
        <v>2502</v>
      </c>
      <c r="J97" s="225" t="s">
        <v>2503</v>
      </c>
      <c r="K97" s="196" t="s">
        <v>2</v>
      </c>
      <c r="L97" s="196" t="s">
        <v>1160</v>
      </c>
      <c r="M97" s="198" t="s">
        <v>2504</v>
      </c>
      <c r="N97" s="196" t="s">
        <v>2505</v>
      </c>
      <c r="O97" s="199">
        <v>2513.7199999999998</v>
      </c>
      <c r="P97" s="196" t="s">
        <v>1172</v>
      </c>
      <c r="Q97" s="199"/>
      <c r="R97" s="199"/>
      <c r="S97" s="199"/>
      <c r="T97" s="199"/>
      <c r="U97" s="199"/>
      <c r="V97" s="199"/>
      <c r="W97" s="199">
        <f t="shared" si="4"/>
        <v>0</v>
      </c>
      <c r="X97" s="196" t="s">
        <v>1155</v>
      </c>
      <c r="Y97" s="199"/>
      <c r="Z97" s="200"/>
      <c r="AA97" s="200">
        <v>347</v>
      </c>
      <c r="AB97" s="200">
        <f t="shared" si="3"/>
        <v>347</v>
      </c>
      <c r="AC97" s="196" t="s">
        <v>760</v>
      </c>
      <c r="AD97" s="196" t="s">
        <v>59</v>
      </c>
      <c r="AE97" s="197">
        <v>41876</v>
      </c>
      <c r="AF97" s="197"/>
      <c r="AG97" s="197"/>
      <c r="AH97" s="199"/>
      <c r="AI97" s="196"/>
      <c r="AJ97" s="196"/>
      <c r="AK97" s="196" t="s">
        <v>2230</v>
      </c>
    </row>
    <row r="98" spans="1:37" s="201" customFormat="1">
      <c r="A98" s="195" t="s">
        <v>757</v>
      </c>
      <c r="B98" s="196" t="s">
        <v>3083</v>
      </c>
      <c r="C98" s="196"/>
      <c r="D98" s="196" t="s">
        <v>2500</v>
      </c>
      <c r="E98" s="197">
        <v>41800</v>
      </c>
      <c r="F98" s="196" t="s">
        <v>58</v>
      </c>
      <c r="G98" s="202" t="s">
        <v>2506</v>
      </c>
      <c r="H98" s="196"/>
      <c r="I98" s="196" t="s">
        <v>2507</v>
      </c>
      <c r="J98" s="225" t="s">
        <v>2508</v>
      </c>
      <c r="K98" s="196" t="s">
        <v>2</v>
      </c>
      <c r="L98" s="196" t="s">
        <v>1160</v>
      </c>
      <c r="M98" s="198" t="s">
        <v>2504</v>
      </c>
      <c r="N98" s="196" t="s">
        <v>2505</v>
      </c>
      <c r="O98" s="199">
        <v>2513.7199999999998</v>
      </c>
      <c r="P98" s="196" t="s">
        <v>1172</v>
      </c>
      <c r="Q98" s="199">
        <v>543.29</v>
      </c>
      <c r="R98" s="199"/>
      <c r="S98" s="199"/>
      <c r="T98" s="199"/>
      <c r="U98" s="199"/>
      <c r="V98" s="199"/>
      <c r="W98" s="199">
        <f t="shared" si="4"/>
        <v>543.29</v>
      </c>
      <c r="X98" s="196" t="s">
        <v>1155</v>
      </c>
      <c r="Y98" s="199"/>
      <c r="Z98" s="200">
        <v>32</v>
      </c>
      <c r="AA98" s="200"/>
      <c r="AB98" s="200">
        <f t="shared" si="3"/>
        <v>32</v>
      </c>
      <c r="AC98" s="196" t="s">
        <v>759</v>
      </c>
      <c r="AD98" s="196" t="s">
        <v>59</v>
      </c>
      <c r="AE98" s="197">
        <v>41354</v>
      </c>
      <c r="AF98" s="197"/>
      <c r="AG98" s="197"/>
      <c r="AH98" s="199"/>
      <c r="AI98" s="196"/>
      <c r="AJ98" s="196"/>
      <c r="AK98" s="196" t="s">
        <v>2230</v>
      </c>
    </row>
    <row r="99" spans="1:37" s="201" customFormat="1">
      <c r="A99" s="195" t="s">
        <v>757</v>
      </c>
      <c r="B99" s="196" t="s">
        <v>3083</v>
      </c>
      <c r="C99" s="196"/>
      <c r="D99" s="196" t="s">
        <v>2500</v>
      </c>
      <c r="E99" s="197">
        <v>41800</v>
      </c>
      <c r="F99" s="196" t="s">
        <v>58</v>
      </c>
      <c r="G99" s="202" t="s">
        <v>2506</v>
      </c>
      <c r="H99" s="196"/>
      <c r="I99" s="196" t="s">
        <v>2507</v>
      </c>
      <c r="J99" s="225" t="s">
        <v>2508</v>
      </c>
      <c r="K99" s="196" t="s">
        <v>2</v>
      </c>
      <c r="L99" s="196" t="s">
        <v>1151</v>
      </c>
      <c r="M99" s="198" t="s">
        <v>2504</v>
      </c>
      <c r="N99" s="196" t="s">
        <v>2505</v>
      </c>
      <c r="O99" s="199">
        <v>2499.0100000000002</v>
      </c>
      <c r="P99" s="196" t="s">
        <v>1172</v>
      </c>
      <c r="Q99" s="199">
        <v>6997.9</v>
      </c>
      <c r="R99" s="199"/>
      <c r="S99" s="199"/>
      <c r="T99" s="199"/>
      <c r="U99" s="199"/>
      <c r="V99" s="199"/>
      <c r="W99" s="199">
        <f t="shared" si="4"/>
        <v>6997.9</v>
      </c>
      <c r="X99" s="196" t="s">
        <v>1155</v>
      </c>
      <c r="Y99" s="199"/>
      <c r="Z99" s="200">
        <v>5383</v>
      </c>
      <c r="AA99" s="200"/>
      <c r="AB99" s="200">
        <f t="shared" si="3"/>
        <v>5383</v>
      </c>
      <c r="AC99" s="196" t="s">
        <v>758</v>
      </c>
      <c r="AD99" s="196" t="s">
        <v>59</v>
      </c>
      <c r="AE99" s="197">
        <v>40658</v>
      </c>
      <c r="AF99" s="197"/>
      <c r="AG99" s="197"/>
      <c r="AH99" s="199"/>
      <c r="AI99" s="196"/>
      <c r="AJ99" s="196"/>
      <c r="AK99" s="196" t="s">
        <v>2230</v>
      </c>
    </row>
    <row r="100" spans="1:37" s="201" customFormat="1">
      <c r="A100" s="195" t="s">
        <v>761</v>
      </c>
      <c r="B100" s="196" t="s">
        <v>3083</v>
      </c>
      <c r="C100" s="196"/>
      <c r="D100" s="196" t="s">
        <v>2509</v>
      </c>
      <c r="E100" s="197">
        <v>39622</v>
      </c>
      <c r="F100" s="196" t="s">
        <v>58</v>
      </c>
      <c r="G100" s="196" t="s">
        <v>2510</v>
      </c>
      <c r="H100" s="196" t="s">
        <v>2511</v>
      </c>
      <c r="I100" s="196"/>
      <c r="J100" s="225" t="s">
        <v>2512</v>
      </c>
      <c r="K100" s="196" t="s">
        <v>3</v>
      </c>
      <c r="L100" s="196" t="s">
        <v>1151</v>
      </c>
      <c r="M100" s="198" t="s">
        <v>2513</v>
      </c>
      <c r="N100" s="196" t="s">
        <v>2514</v>
      </c>
      <c r="O100" s="199">
        <v>1861</v>
      </c>
      <c r="P100" s="196" t="s">
        <v>1172</v>
      </c>
      <c r="Q100" s="199">
        <v>5583</v>
      </c>
      <c r="R100" s="199"/>
      <c r="S100" s="199"/>
      <c r="T100" s="199"/>
      <c r="U100" s="199"/>
      <c r="V100" s="199"/>
      <c r="W100" s="199">
        <f t="shared" si="4"/>
        <v>5583</v>
      </c>
      <c r="X100" s="196" t="s">
        <v>1155</v>
      </c>
      <c r="Y100" s="199"/>
      <c r="Z100" s="200">
        <v>1994</v>
      </c>
      <c r="AA100" s="200">
        <v>150</v>
      </c>
      <c r="AB100" s="200">
        <f t="shared" si="3"/>
        <v>2144</v>
      </c>
      <c r="AC100" s="196" t="s">
        <v>762</v>
      </c>
      <c r="AD100" s="196" t="s">
        <v>59</v>
      </c>
      <c r="AE100" s="197">
        <v>40702</v>
      </c>
      <c r="AF100" s="197"/>
      <c r="AG100" s="197"/>
      <c r="AH100" s="199"/>
      <c r="AI100" s="196"/>
      <c r="AJ100" s="196"/>
      <c r="AK100" s="196" t="s">
        <v>2230</v>
      </c>
    </row>
    <row r="101" spans="1:37" s="201" customFormat="1" ht="30">
      <c r="A101" s="195" t="s">
        <v>763</v>
      </c>
      <c r="B101" s="196" t="s">
        <v>3083</v>
      </c>
      <c r="C101" s="196"/>
      <c r="D101" s="196" t="s">
        <v>2515</v>
      </c>
      <c r="E101" s="197">
        <v>39444</v>
      </c>
      <c r="F101" s="196" t="s">
        <v>58</v>
      </c>
      <c r="G101" s="196" t="s">
        <v>2516</v>
      </c>
      <c r="H101" s="196" t="s">
        <v>2517</v>
      </c>
      <c r="I101" s="196"/>
      <c r="J101" s="205" t="s">
        <v>2518</v>
      </c>
      <c r="K101" s="196" t="s">
        <v>40</v>
      </c>
      <c r="L101" s="196" t="s">
        <v>1151</v>
      </c>
      <c r="M101" s="198" t="s">
        <v>2138</v>
      </c>
      <c r="N101" s="138" t="s">
        <v>2519</v>
      </c>
      <c r="O101" s="199">
        <v>1725.72</v>
      </c>
      <c r="P101" s="196" t="s">
        <v>1172</v>
      </c>
      <c r="Q101" s="199">
        <v>5177.16</v>
      </c>
      <c r="R101" s="199"/>
      <c r="S101" s="199"/>
      <c r="T101" s="199"/>
      <c r="U101" s="199"/>
      <c r="V101" s="199"/>
      <c r="W101" s="199">
        <f t="shared" si="4"/>
        <v>5177.16</v>
      </c>
      <c r="X101" s="196" t="s">
        <v>1155</v>
      </c>
      <c r="Y101" s="199"/>
      <c r="Z101" s="200">
        <v>2071</v>
      </c>
      <c r="AA101" s="200"/>
      <c r="AB101" s="200">
        <f t="shared" si="3"/>
        <v>2071</v>
      </c>
      <c r="AC101" s="196" t="s">
        <v>764</v>
      </c>
      <c r="AD101" s="196" t="s">
        <v>59</v>
      </c>
      <c r="AE101" s="197">
        <v>40431</v>
      </c>
      <c r="AF101" s="197"/>
      <c r="AG101" s="197"/>
      <c r="AH101" s="199"/>
      <c r="AI101" s="196"/>
      <c r="AJ101" s="196"/>
      <c r="AK101" s="196" t="s">
        <v>2230</v>
      </c>
    </row>
    <row r="102" spans="1:37" s="201" customFormat="1" ht="30">
      <c r="A102" s="195" t="s">
        <v>765</v>
      </c>
      <c r="B102" s="196" t="s">
        <v>3083</v>
      </c>
      <c r="C102" s="196"/>
      <c r="D102" s="196" t="s">
        <v>2520</v>
      </c>
      <c r="E102" s="197">
        <v>39799</v>
      </c>
      <c r="F102" s="196" t="s">
        <v>58</v>
      </c>
      <c r="G102" s="196" t="s">
        <v>2521</v>
      </c>
      <c r="H102" s="196" t="s">
        <v>2522</v>
      </c>
      <c r="I102" s="196"/>
      <c r="J102" s="225" t="s">
        <v>2523</v>
      </c>
      <c r="K102" s="196" t="s">
        <v>40</v>
      </c>
      <c r="L102" s="196" t="s">
        <v>1151</v>
      </c>
      <c r="M102" s="198" t="s">
        <v>2524</v>
      </c>
      <c r="N102" s="138" t="s">
        <v>2525</v>
      </c>
      <c r="O102" s="199">
        <v>1724.2</v>
      </c>
      <c r="P102" s="196" t="s">
        <v>1172</v>
      </c>
      <c r="Q102" s="199">
        <v>5136.32</v>
      </c>
      <c r="R102" s="199"/>
      <c r="S102" s="199"/>
      <c r="T102" s="199"/>
      <c r="U102" s="199"/>
      <c r="V102" s="199"/>
      <c r="W102" s="199">
        <f t="shared" si="4"/>
        <v>5136.32</v>
      </c>
      <c r="X102" s="196" t="s">
        <v>1155</v>
      </c>
      <c r="Y102" s="199"/>
      <c r="Z102" s="200">
        <v>3425</v>
      </c>
      <c r="AA102" s="200">
        <v>1150</v>
      </c>
      <c r="AB102" s="200">
        <f t="shared" si="3"/>
        <v>4575</v>
      </c>
      <c r="AC102" s="196" t="s">
        <v>766</v>
      </c>
      <c r="AD102" s="196" t="s">
        <v>59</v>
      </c>
      <c r="AE102" s="197">
        <v>40596</v>
      </c>
      <c r="AF102" s="197"/>
      <c r="AG102" s="197"/>
      <c r="AH102" s="199"/>
      <c r="AI102" s="196"/>
      <c r="AJ102" s="196"/>
      <c r="AK102" s="196" t="s">
        <v>2230</v>
      </c>
    </row>
    <row r="103" spans="1:37" s="201" customFormat="1" ht="30">
      <c r="A103" s="195" t="s">
        <v>767</v>
      </c>
      <c r="B103" s="196" t="s">
        <v>3083</v>
      </c>
      <c r="C103" s="196"/>
      <c r="D103" s="196" t="s">
        <v>2526</v>
      </c>
      <c r="E103" s="197">
        <v>40372</v>
      </c>
      <c r="F103" s="196" t="s">
        <v>58</v>
      </c>
      <c r="G103" s="138" t="s">
        <v>2527</v>
      </c>
      <c r="H103" s="196" t="s">
        <v>2528</v>
      </c>
      <c r="I103" s="196"/>
      <c r="J103" s="206" t="s">
        <v>2529</v>
      </c>
      <c r="K103" s="196" t="s">
        <v>40</v>
      </c>
      <c r="L103" s="196" t="s">
        <v>1151</v>
      </c>
      <c r="M103" s="198" t="s">
        <v>2145</v>
      </c>
      <c r="N103" s="138" t="s">
        <v>2530</v>
      </c>
      <c r="O103" s="199">
        <v>1425.87</v>
      </c>
      <c r="P103" s="196" t="s">
        <v>1161</v>
      </c>
      <c r="Q103" s="199"/>
      <c r="R103" s="199"/>
      <c r="S103" s="199"/>
      <c r="T103" s="199">
        <v>4277.6099999999997</v>
      </c>
      <c r="U103" s="199"/>
      <c r="V103" s="199"/>
      <c r="W103" s="199">
        <f t="shared" si="4"/>
        <v>4277.6099999999997</v>
      </c>
      <c r="X103" s="196" t="s">
        <v>1155</v>
      </c>
      <c r="Y103" s="199"/>
      <c r="Z103" s="200">
        <v>4278</v>
      </c>
      <c r="AA103" s="200"/>
      <c r="AB103" s="200">
        <f t="shared" si="3"/>
        <v>4278</v>
      </c>
      <c r="AC103" s="196" t="s">
        <v>768</v>
      </c>
      <c r="AD103" s="196" t="s">
        <v>59</v>
      </c>
      <c r="AE103" s="197">
        <v>40421</v>
      </c>
      <c r="AF103" s="197"/>
      <c r="AG103" s="197"/>
      <c r="AH103" s="199"/>
      <c r="AI103" s="196"/>
      <c r="AJ103" s="196"/>
      <c r="AK103" s="196" t="s">
        <v>2230</v>
      </c>
    </row>
    <row r="104" spans="1:37" s="201" customFormat="1" ht="105">
      <c r="A104" s="195" t="s">
        <v>769</v>
      </c>
      <c r="B104" s="196" t="s">
        <v>3083</v>
      </c>
      <c r="C104" s="196" t="s">
        <v>1771</v>
      </c>
      <c r="D104" s="196"/>
      <c r="E104" s="197">
        <v>43774</v>
      </c>
      <c r="F104" s="196" t="s">
        <v>58</v>
      </c>
      <c r="G104" s="196" t="s">
        <v>2531</v>
      </c>
      <c r="H104" s="196" t="s">
        <v>2532</v>
      </c>
      <c r="I104" s="196"/>
      <c r="J104" s="138" t="s">
        <v>2533</v>
      </c>
      <c r="K104" s="196" t="s">
        <v>40</v>
      </c>
      <c r="L104" s="196" t="s">
        <v>1160</v>
      </c>
      <c r="M104" s="198" t="s">
        <v>2344</v>
      </c>
      <c r="N104" s="206" t="s">
        <v>2534</v>
      </c>
      <c r="O104" s="199">
        <v>3962.59</v>
      </c>
      <c r="P104" s="196" t="s">
        <v>1161</v>
      </c>
      <c r="Q104" s="199"/>
      <c r="R104" s="199"/>
      <c r="S104" s="199"/>
      <c r="T104" s="199">
        <v>11261.69</v>
      </c>
      <c r="U104" s="199"/>
      <c r="V104" s="199"/>
      <c r="W104" s="199">
        <f t="shared" si="4"/>
        <v>11261.69</v>
      </c>
      <c r="X104" s="196" t="s">
        <v>1155</v>
      </c>
      <c r="Y104" s="199"/>
      <c r="Z104" s="200">
        <v>10470</v>
      </c>
      <c r="AA104" s="200"/>
      <c r="AB104" s="200">
        <f t="shared" si="3"/>
        <v>10470</v>
      </c>
      <c r="AC104" s="196" t="s">
        <v>772</v>
      </c>
      <c r="AD104" s="196" t="s">
        <v>59</v>
      </c>
      <c r="AE104" s="197">
        <v>44385</v>
      </c>
      <c r="AF104" s="197"/>
      <c r="AG104" s="197"/>
      <c r="AH104" s="199"/>
      <c r="AI104" s="196"/>
      <c r="AJ104" s="196" t="s">
        <v>2535</v>
      </c>
      <c r="AK104" s="196" t="s">
        <v>2230</v>
      </c>
    </row>
    <row r="105" spans="1:37" s="201" customFormat="1" ht="60">
      <c r="A105" s="195" t="s">
        <v>769</v>
      </c>
      <c r="B105" s="196" t="s">
        <v>3083</v>
      </c>
      <c r="C105" s="196"/>
      <c r="D105" s="196" t="s">
        <v>2536</v>
      </c>
      <c r="E105" s="197">
        <v>40382</v>
      </c>
      <c r="F105" s="196" t="s">
        <v>58</v>
      </c>
      <c r="G105" s="196" t="s">
        <v>2531</v>
      </c>
      <c r="H105" s="196" t="s">
        <v>2532</v>
      </c>
      <c r="I105" s="196"/>
      <c r="J105" s="138" t="s">
        <v>2533</v>
      </c>
      <c r="K105" s="196" t="s">
        <v>40</v>
      </c>
      <c r="L105" s="196" t="s">
        <v>1160</v>
      </c>
      <c r="M105" s="198" t="s">
        <v>2344</v>
      </c>
      <c r="N105" s="206" t="s">
        <v>2537</v>
      </c>
      <c r="O105" s="199">
        <v>3742.26</v>
      </c>
      <c r="P105" s="196" t="s">
        <v>1161</v>
      </c>
      <c r="Q105" s="199"/>
      <c r="R105" s="199"/>
      <c r="S105" s="199"/>
      <c r="T105" s="199">
        <v>10401.94</v>
      </c>
      <c r="U105" s="199"/>
      <c r="V105" s="199"/>
      <c r="W105" s="199">
        <f>Q105+T105</f>
        <v>10401.94</v>
      </c>
      <c r="X105" s="196" t="s">
        <v>1155</v>
      </c>
      <c r="Y105" s="199"/>
      <c r="Z105" s="200">
        <v>10233</v>
      </c>
      <c r="AA105" s="200"/>
      <c r="AB105" s="200">
        <f t="shared" si="3"/>
        <v>10233</v>
      </c>
      <c r="AC105" s="196" t="s">
        <v>771</v>
      </c>
      <c r="AD105" s="196" t="s">
        <v>61</v>
      </c>
      <c r="AE105" s="197">
        <v>41838</v>
      </c>
      <c r="AF105" s="197"/>
      <c r="AG105" s="197"/>
      <c r="AH105" s="199"/>
      <c r="AI105" s="196"/>
      <c r="AJ105" s="138" t="s">
        <v>2538</v>
      </c>
      <c r="AK105" s="196" t="s">
        <v>2230</v>
      </c>
    </row>
    <row r="106" spans="1:37" s="201" customFormat="1" ht="45">
      <c r="A106" s="195" t="s">
        <v>769</v>
      </c>
      <c r="B106" s="196" t="s">
        <v>3083</v>
      </c>
      <c r="C106" s="196"/>
      <c r="D106" s="196" t="s">
        <v>2536</v>
      </c>
      <c r="E106" s="197">
        <v>40382</v>
      </c>
      <c r="F106" s="196" t="s">
        <v>58</v>
      </c>
      <c r="G106" s="196" t="s">
        <v>2539</v>
      </c>
      <c r="H106" s="196" t="s">
        <v>2532</v>
      </c>
      <c r="I106" s="196"/>
      <c r="J106" s="138" t="s">
        <v>2533</v>
      </c>
      <c r="K106" s="196" t="s">
        <v>40</v>
      </c>
      <c r="L106" s="196" t="s">
        <v>1151</v>
      </c>
      <c r="M106" s="198" t="s">
        <v>2344</v>
      </c>
      <c r="N106" s="206" t="s">
        <v>2540</v>
      </c>
      <c r="O106" s="199">
        <v>2895.68</v>
      </c>
      <c r="P106" s="196" t="s">
        <v>1161</v>
      </c>
      <c r="Q106" s="199"/>
      <c r="R106" s="199"/>
      <c r="S106" s="199"/>
      <c r="T106" s="199">
        <v>8687.0400000000009</v>
      </c>
      <c r="U106" s="199"/>
      <c r="V106" s="199"/>
      <c r="W106" s="199">
        <f t="shared" ref="W106:W166" si="5">T106+Q106</f>
        <v>8687.0400000000009</v>
      </c>
      <c r="X106" s="196" t="s">
        <v>1155</v>
      </c>
      <c r="Y106" s="199"/>
      <c r="Z106" s="200">
        <v>8108</v>
      </c>
      <c r="AA106" s="200"/>
      <c r="AB106" s="200">
        <f t="shared" si="3"/>
        <v>8108</v>
      </c>
      <c r="AC106" s="196" t="s">
        <v>770</v>
      </c>
      <c r="AD106" s="196" t="s">
        <v>61</v>
      </c>
      <c r="AE106" s="197">
        <v>41256</v>
      </c>
      <c r="AF106" s="197"/>
      <c r="AG106" s="197"/>
      <c r="AH106" s="199"/>
      <c r="AI106" s="196"/>
      <c r="AJ106" s="196" t="s">
        <v>2541</v>
      </c>
      <c r="AK106" s="196" t="s">
        <v>2230</v>
      </c>
    </row>
    <row r="107" spans="1:37" s="201" customFormat="1">
      <c r="A107" s="195" t="s">
        <v>773</v>
      </c>
      <c r="B107" s="196" t="s">
        <v>3083</v>
      </c>
      <c r="C107" s="196"/>
      <c r="D107" s="196" t="s">
        <v>2542</v>
      </c>
      <c r="E107" s="197">
        <v>40421</v>
      </c>
      <c r="F107" s="196" t="s">
        <v>58</v>
      </c>
      <c r="G107" s="196" t="s">
        <v>2543</v>
      </c>
      <c r="H107" s="196" t="s">
        <v>2544</v>
      </c>
      <c r="I107" s="196"/>
      <c r="J107" s="205" t="s">
        <v>2545</v>
      </c>
      <c r="K107" s="196" t="s">
        <v>2</v>
      </c>
      <c r="L107" s="196" t="s">
        <v>1151</v>
      </c>
      <c r="M107" s="198" t="s">
        <v>2546</v>
      </c>
      <c r="N107" s="196" t="s">
        <v>2547</v>
      </c>
      <c r="O107" s="199">
        <v>3000</v>
      </c>
      <c r="P107" s="196" t="s">
        <v>1172</v>
      </c>
      <c r="Q107" s="199">
        <v>9000</v>
      </c>
      <c r="R107" s="199"/>
      <c r="S107" s="199"/>
      <c r="T107" s="199"/>
      <c r="U107" s="199"/>
      <c r="V107" s="199"/>
      <c r="W107" s="199">
        <f t="shared" si="5"/>
        <v>9000</v>
      </c>
      <c r="X107" s="196" t="s">
        <v>1155</v>
      </c>
      <c r="Y107" s="199"/>
      <c r="Z107" s="200">
        <v>8182</v>
      </c>
      <c r="AA107" s="200"/>
      <c r="AB107" s="200">
        <f t="shared" si="3"/>
        <v>8182</v>
      </c>
      <c r="AC107" s="196" t="s">
        <v>774</v>
      </c>
      <c r="AD107" s="196" t="s">
        <v>59</v>
      </c>
      <c r="AE107" s="197">
        <v>40499</v>
      </c>
      <c r="AF107" s="197"/>
      <c r="AG107" s="197"/>
      <c r="AH107" s="199"/>
      <c r="AI107" s="196"/>
      <c r="AJ107" s="196"/>
      <c r="AK107" s="196" t="s">
        <v>2230</v>
      </c>
    </row>
    <row r="108" spans="1:37" s="201" customFormat="1" ht="60">
      <c r="A108" s="195" t="s">
        <v>775</v>
      </c>
      <c r="B108" s="196" t="s">
        <v>3083</v>
      </c>
      <c r="C108" s="196"/>
      <c r="D108" s="196" t="s">
        <v>2548</v>
      </c>
      <c r="E108" s="197">
        <v>40430</v>
      </c>
      <c r="F108" s="196" t="s">
        <v>58</v>
      </c>
      <c r="G108" s="196" t="s">
        <v>2549</v>
      </c>
      <c r="H108" s="196" t="s">
        <v>2550</v>
      </c>
      <c r="I108" s="196"/>
      <c r="J108" s="206" t="s">
        <v>2551</v>
      </c>
      <c r="K108" s="196" t="s">
        <v>40</v>
      </c>
      <c r="L108" s="196" t="s">
        <v>1151</v>
      </c>
      <c r="M108" s="198" t="s">
        <v>2552</v>
      </c>
      <c r="N108" s="138" t="s">
        <v>2553</v>
      </c>
      <c r="O108" s="199">
        <v>3408.59</v>
      </c>
      <c r="P108" s="196" t="s">
        <v>1172</v>
      </c>
      <c r="Q108" s="199">
        <v>10225.77</v>
      </c>
      <c r="R108" s="199"/>
      <c r="S108" s="199"/>
      <c r="T108" s="199"/>
      <c r="U108" s="199"/>
      <c r="V108" s="199"/>
      <c r="W108" s="199">
        <f t="shared" si="5"/>
        <v>10225.77</v>
      </c>
      <c r="X108" s="196" t="s">
        <v>1155</v>
      </c>
      <c r="Y108" s="199"/>
      <c r="Z108" s="200">
        <v>6363</v>
      </c>
      <c r="AA108" s="200">
        <v>2273</v>
      </c>
      <c r="AB108" s="200">
        <f t="shared" si="3"/>
        <v>8636</v>
      </c>
      <c r="AC108" s="196" t="s">
        <v>776</v>
      </c>
      <c r="AD108" s="196" t="s">
        <v>59</v>
      </c>
      <c r="AE108" s="197">
        <v>40499</v>
      </c>
      <c r="AF108" s="197"/>
      <c r="AG108" s="197"/>
      <c r="AH108" s="199"/>
      <c r="AI108" s="196"/>
      <c r="AJ108" s="196"/>
      <c r="AK108" s="196" t="s">
        <v>2230</v>
      </c>
    </row>
    <row r="109" spans="1:37" s="201" customFormat="1">
      <c r="A109" s="196" t="s">
        <v>777</v>
      </c>
      <c r="B109" s="196" t="s">
        <v>3083</v>
      </c>
      <c r="C109" s="196"/>
      <c r="D109" s="196" t="s">
        <v>2554</v>
      </c>
      <c r="E109" s="197">
        <v>40352</v>
      </c>
      <c r="F109" s="196" t="s">
        <v>58</v>
      </c>
      <c r="G109" s="196" t="s">
        <v>2555</v>
      </c>
      <c r="H109" s="196" t="s">
        <v>2556</v>
      </c>
      <c r="I109" s="196"/>
      <c r="J109" s="196" t="s">
        <v>2557</v>
      </c>
      <c r="K109" s="196" t="s">
        <v>4</v>
      </c>
      <c r="L109" s="196" t="s">
        <v>1151</v>
      </c>
      <c r="M109" s="198" t="s">
        <v>2558</v>
      </c>
      <c r="N109" s="196" t="s">
        <v>2559</v>
      </c>
      <c r="O109" s="199">
        <v>1490.09</v>
      </c>
      <c r="P109" s="196" t="s">
        <v>1172</v>
      </c>
      <c r="Q109" s="199">
        <v>4469.1099999999997</v>
      </c>
      <c r="R109" s="199"/>
      <c r="S109" s="199"/>
      <c r="T109" s="199"/>
      <c r="U109" s="199"/>
      <c r="V109" s="199"/>
      <c r="W109" s="199">
        <f t="shared" si="5"/>
        <v>4469.1099999999997</v>
      </c>
      <c r="X109" s="196" t="s">
        <v>1155</v>
      </c>
      <c r="Y109" s="199"/>
      <c r="Z109" s="200">
        <v>2235</v>
      </c>
      <c r="AA109" s="200"/>
      <c r="AB109" s="200">
        <f t="shared" si="3"/>
        <v>2235</v>
      </c>
      <c r="AC109" s="196" t="s">
        <v>778</v>
      </c>
      <c r="AD109" s="196" t="s">
        <v>59</v>
      </c>
      <c r="AE109" s="197">
        <v>40526</v>
      </c>
      <c r="AF109" s="197"/>
      <c r="AG109" s="197"/>
      <c r="AH109" s="199"/>
      <c r="AI109" s="196"/>
      <c r="AJ109" s="196"/>
      <c r="AK109" s="196" t="s">
        <v>2288</v>
      </c>
    </row>
    <row r="110" spans="1:37" s="201" customFormat="1">
      <c r="A110" s="196" t="s">
        <v>779</v>
      </c>
      <c r="B110" s="196" t="s">
        <v>3083</v>
      </c>
      <c r="C110" s="196"/>
      <c r="D110" s="196" t="s">
        <v>2560</v>
      </c>
      <c r="E110" s="197">
        <v>40459</v>
      </c>
      <c r="F110" s="196" t="s">
        <v>58</v>
      </c>
      <c r="G110" s="196" t="s">
        <v>2561</v>
      </c>
      <c r="H110" s="196" t="s">
        <v>2562</v>
      </c>
      <c r="I110" s="196"/>
      <c r="J110" s="196" t="s">
        <v>2563</v>
      </c>
      <c r="K110" s="196" t="s">
        <v>40</v>
      </c>
      <c r="L110" s="196" t="s">
        <v>1151</v>
      </c>
      <c r="M110" s="198" t="s">
        <v>2356</v>
      </c>
      <c r="N110" s="196" t="s">
        <v>2564</v>
      </c>
      <c r="O110" s="199">
        <v>1000</v>
      </c>
      <c r="P110" s="196" t="s">
        <v>1172</v>
      </c>
      <c r="Q110" s="199">
        <v>3000</v>
      </c>
      <c r="R110" s="199"/>
      <c r="S110" s="199"/>
      <c r="T110" s="199"/>
      <c r="U110" s="199"/>
      <c r="V110" s="199"/>
      <c r="W110" s="199">
        <f t="shared" si="5"/>
        <v>3000</v>
      </c>
      <c r="X110" s="196" t="s">
        <v>1155</v>
      </c>
      <c r="Y110" s="199"/>
      <c r="Z110" s="200">
        <v>1200</v>
      </c>
      <c r="AA110" s="200">
        <v>54</v>
      </c>
      <c r="AB110" s="200">
        <f t="shared" si="3"/>
        <v>1254</v>
      </c>
      <c r="AC110" s="196" t="s">
        <v>780</v>
      </c>
      <c r="AD110" s="196" t="s">
        <v>59</v>
      </c>
      <c r="AE110" s="197">
        <v>40485</v>
      </c>
      <c r="AF110" s="197"/>
      <c r="AG110" s="197"/>
      <c r="AH110" s="199"/>
      <c r="AI110" s="196"/>
      <c r="AJ110" s="196"/>
      <c r="AK110" s="196" t="s">
        <v>2288</v>
      </c>
    </row>
    <row r="111" spans="1:37" s="201" customFormat="1">
      <c r="A111" s="196" t="s">
        <v>781</v>
      </c>
      <c r="B111" s="196" t="s">
        <v>3083</v>
      </c>
      <c r="C111" s="196"/>
      <c r="D111" s="196" t="s">
        <v>2565</v>
      </c>
      <c r="E111" s="197">
        <v>40448</v>
      </c>
      <c r="F111" s="196" t="s">
        <v>58</v>
      </c>
      <c r="G111" s="196" t="s">
        <v>2566</v>
      </c>
      <c r="H111" s="196" t="s">
        <v>2567</v>
      </c>
      <c r="I111" s="196"/>
      <c r="J111" s="196" t="s">
        <v>2568</v>
      </c>
      <c r="K111" s="196" t="s">
        <v>4</v>
      </c>
      <c r="L111" s="196" t="s">
        <v>1151</v>
      </c>
      <c r="M111" s="198" t="s">
        <v>2569</v>
      </c>
      <c r="N111" s="196" t="s">
        <v>2570</v>
      </c>
      <c r="O111" s="199">
        <v>1655.23</v>
      </c>
      <c r="P111" s="196" t="s">
        <v>1172</v>
      </c>
      <c r="Q111" s="199">
        <v>3275.37</v>
      </c>
      <c r="R111" s="199"/>
      <c r="S111" s="199"/>
      <c r="T111" s="199"/>
      <c r="U111" s="199"/>
      <c r="V111" s="199"/>
      <c r="W111" s="199">
        <f t="shared" si="5"/>
        <v>3275.37</v>
      </c>
      <c r="X111" s="196" t="s">
        <v>1155</v>
      </c>
      <c r="Y111" s="199"/>
      <c r="Z111" s="200">
        <v>1638</v>
      </c>
      <c r="AA111" s="200"/>
      <c r="AB111" s="200">
        <f t="shared" si="3"/>
        <v>1638</v>
      </c>
      <c r="AC111" s="196" t="s">
        <v>782</v>
      </c>
      <c r="AD111" s="196" t="s">
        <v>59</v>
      </c>
      <c r="AE111" s="197">
        <v>40533</v>
      </c>
      <c r="AF111" s="197"/>
      <c r="AG111" s="197"/>
      <c r="AH111" s="199"/>
      <c r="AI111" s="196"/>
      <c r="AJ111" s="196"/>
      <c r="AK111" s="196" t="s">
        <v>2288</v>
      </c>
    </row>
    <row r="112" spans="1:37" s="201" customFormat="1">
      <c r="A112" s="196" t="s">
        <v>783</v>
      </c>
      <c r="B112" s="196" t="s">
        <v>3083</v>
      </c>
      <c r="C112" s="196"/>
      <c r="D112" s="196" t="s">
        <v>2571</v>
      </c>
      <c r="E112" s="197">
        <v>40448</v>
      </c>
      <c r="F112" s="196" t="s">
        <v>58</v>
      </c>
      <c r="G112" s="196" t="s">
        <v>2572</v>
      </c>
      <c r="H112" s="196" t="s">
        <v>2573</v>
      </c>
      <c r="I112" s="196"/>
      <c r="J112" s="196" t="s">
        <v>2574</v>
      </c>
      <c r="K112" s="196" t="s">
        <v>2</v>
      </c>
      <c r="L112" s="196" t="s">
        <v>1151</v>
      </c>
      <c r="M112" s="198" t="s">
        <v>2244</v>
      </c>
      <c r="N112" s="196" t="s">
        <v>2575</v>
      </c>
      <c r="O112" s="199">
        <v>1500.23</v>
      </c>
      <c r="P112" s="196" t="s">
        <v>1172</v>
      </c>
      <c r="Q112" s="199">
        <v>1735.47</v>
      </c>
      <c r="R112" s="199"/>
      <c r="S112" s="199"/>
      <c r="T112" s="199"/>
      <c r="U112" s="199"/>
      <c r="V112" s="199"/>
      <c r="W112" s="199">
        <f t="shared" si="5"/>
        <v>1735.47</v>
      </c>
      <c r="X112" s="196" t="s">
        <v>1155</v>
      </c>
      <c r="Y112" s="199"/>
      <c r="Z112" s="200">
        <v>1335</v>
      </c>
      <c r="AA112" s="200">
        <v>45</v>
      </c>
      <c r="AB112" s="200">
        <f t="shared" si="3"/>
        <v>1380</v>
      </c>
      <c r="AC112" s="196" t="s">
        <v>784</v>
      </c>
      <c r="AD112" s="196" t="s">
        <v>59</v>
      </c>
      <c r="AE112" s="197">
        <v>40526</v>
      </c>
      <c r="AF112" s="197"/>
      <c r="AG112" s="197"/>
      <c r="AH112" s="199"/>
      <c r="AI112" s="196"/>
      <c r="AJ112" s="196"/>
      <c r="AK112" s="196" t="s">
        <v>2288</v>
      </c>
    </row>
    <row r="113" spans="1:37" s="201" customFormat="1">
      <c r="A113" s="196" t="s">
        <v>785</v>
      </c>
      <c r="B113" s="196" t="s">
        <v>3083</v>
      </c>
      <c r="C113" s="196"/>
      <c r="D113" s="196" t="s">
        <v>2576</v>
      </c>
      <c r="E113" s="197">
        <v>40169</v>
      </c>
      <c r="F113" s="196" t="s">
        <v>58</v>
      </c>
      <c r="G113" s="196" t="s">
        <v>2577</v>
      </c>
      <c r="H113" s="196" t="s">
        <v>2578</v>
      </c>
      <c r="I113" s="196"/>
      <c r="J113" s="196" t="s">
        <v>2579</v>
      </c>
      <c r="K113" s="196" t="s">
        <v>40</v>
      </c>
      <c r="L113" s="196" t="s">
        <v>1151</v>
      </c>
      <c r="M113" s="198" t="s">
        <v>2214</v>
      </c>
      <c r="N113" s="196" t="s">
        <v>2580</v>
      </c>
      <c r="O113" s="199">
        <v>1998.74</v>
      </c>
      <c r="P113" s="196" t="s">
        <v>1172</v>
      </c>
      <c r="Q113" s="199">
        <v>5996.22</v>
      </c>
      <c r="R113" s="199"/>
      <c r="S113" s="199"/>
      <c r="T113" s="199"/>
      <c r="U113" s="199"/>
      <c r="V113" s="199"/>
      <c r="W113" s="199">
        <f t="shared" si="5"/>
        <v>5996.22</v>
      </c>
      <c r="X113" s="196" t="s">
        <v>1155</v>
      </c>
      <c r="Y113" s="199"/>
      <c r="Z113" s="200">
        <v>2399</v>
      </c>
      <c r="AA113" s="200"/>
      <c r="AB113" s="200">
        <f t="shared" si="3"/>
        <v>2399</v>
      </c>
      <c r="AC113" s="195" t="s">
        <v>786</v>
      </c>
      <c r="AD113" s="196" t="s">
        <v>59</v>
      </c>
      <c r="AE113" s="197">
        <v>40549</v>
      </c>
      <c r="AF113" s="199"/>
      <c r="AG113" s="197"/>
      <c r="AH113" s="199"/>
      <c r="AI113" s="196"/>
      <c r="AJ113" s="196"/>
      <c r="AK113" s="196" t="s">
        <v>2288</v>
      </c>
    </row>
    <row r="114" spans="1:37" s="201" customFormat="1">
      <c r="A114" s="196" t="s">
        <v>787</v>
      </c>
      <c r="B114" s="196" t="s">
        <v>3083</v>
      </c>
      <c r="C114" s="196"/>
      <c r="D114" s="196" t="s">
        <v>2581</v>
      </c>
      <c r="E114" s="197">
        <v>40401</v>
      </c>
      <c r="F114" s="196" t="s">
        <v>58</v>
      </c>
      <c r="G114" s="196" t="s">
        <v>2582</v>
      </c>
      <c r="H114" s="196" t="s">
        <v>2323</v>
      </c>
      <c r="I114" s="196"/>
      <c r="J114" s="196" t="s">
        <v>2583</v>
      </c>
      <c r="K114" s="196" t="s">
        <v>2</v>
      </c>
      <c r="L114" s="196" t="s">
        <v>1151</v>
      </c>
      <c r="M114" s="198" t="s">
        <v>2584</v>
      </c>
      <c r="N114" s="196" t="s">
        <v>2585</v>
      </c>
      <c r="O114" s="199">
        <v>1810.6</v>
      </c>
      <c r="P114" s="196" t="s">
        <v>1172</v>
      </c>
      <c r="Q114" s="199"/>
      <c r="R114" s="199"/>
      <c r="S114" s="199"/>
      <c r="T114" s="199"/>
      <c r="U114" s="199"/>
      <c r="V114" s="199"/>
      <c r="W114" s="199">
        <f t="shared" si="5"/>
        <v>0</v>
      </c>
      <c r="X114" s="196" t="s">
        <v>1155</v>
      </c>
      <c r="Y114" s="199"/>
      <c r="Z114" s="200"/>
      <c r="AA114" s="200">
        <v>453</v>
      </c>
      <c r="AB114" s="200">
        <f t="shared" si="3"/>
        <v>453</v>
      </c>
      <c r="AC114" s="196" t="s">
        <v>788</v>
      </c>
      <c r="AD114" s="196" t="s">
        <v>59</v>
      </c>
      <c r="AE114" s="197">
        <v>40505</v>
      </c>
      <c r="AF114" s="197"/>
      <c r="AG114" s="197"/>
      <c r="AH114" s="199"/>
      <c r="AI114" s="196"/>
      <c r="AJ114" s="196"/>
      <c r="AK114" s="196" t="s">
        <v>2288</v>
      </c>
    </row>
    <row r="115" spans="1:37" s="201" customFormat="1">
      <c r="A115" s="196" t="s">
        <v>787</v>
      </c>
      <c r="B115" s="196" t="s">
        <v>3083</v>
      </c>
      <c r="C115" s="196"/>
      <c r="D115" s="196" t="s">
        <v>2581</v>
      </c>
      <c r="E115" s="197">
        <v>40401</v>
      </c>
      <c r="F115" s="196" t="s">
        <v>58</v>
      </c>
      <c r="G115" s="196" t="s">
        <v>2582</v>
      </c>
      <c r="H115" s="196" t="s">
        <v>2323</v>
      </c>
      <c r="I115" s="196"/>
      <c r="J115" s="196" t="s">
        <v>2583</v>
      </c>
      <c r="K115" s="196" t="s">
        <v>2</v>
      </c>
      <c r="L115" s="196" t="s">
        <v>1151</v>
      </c>
      <c r="M115" s="198" t="s">
        <v>2584</v>
      </c>
      <c r="N115" s="196" t="s">
        <v>2585</v>
      </c>
      <c r="O115" s="199">
        <v>1810.6</v>
      </c>
      <c r="P115" s="196" t="s">
        <v>1172</v>
      </c>
      <c r="Q115" s="199">
        <v>5431.8</v>
      </c>
      <c r="R115" s="199"/>
      <c r="S115" s="199"/>
      <c r="T115" s="199"/>
      <c r="U115" s="199"/>
      <c r="V115" s="199"/>
      <c r="W115" s="199">
        <f t="shared" si="5"/>
        <v>5431.8</v>
      </c>
      <c r="X115" s="196" t="s">
        <v>1155</v>
      </c>
      <c r="Y115" s="199"/>
      <c r="Z115" s="200">
        <v>4179</v>
      </c>
      <c r="AA115" s="200"/>
      <c r="AB115" s="200">
        <f t="shared" si="3"/>
        <v>4179</v>
      </c>
      <c r="AC115" s="196" t="s">
        <v>789</v>
      </c>
      <c r="AD115" s="196" t="s">
        <v>61</v>
      </c>
      <c r="AE115" s="197">
        <v>40931</v>
      </c>
      <c r="AF115" s="197"/>
      <c r="AG115" s="197"/>
      <c r="AH115" s="199"/>
      <c r="AI115" s="196"/>
      <c r="AJ115" s="196"/>
      <c r="AK115" s="196" t="s">
        <v>2288</v>
      </c>
    </row>
    <row r="116" spans="1:37" s="201" customFormat="1">
      <c r="A116" s="196" t="s">
        <v>787</v>
      </c>
      <c r="B116" s="196" t="s">
        <v>3083</v>
      </c>
      <c r="C116" s="196"/>
      <c r="D116" s="196" t="s">
        <v>2581</v>
      </c>
      <c r="E116" s="197">
        <v>40401</v>
      </c>
      <c r="F116" s="196" t="s">
        <v>58</v>
      </c>
      <c r="G116" s="196" t="s">
        <v>2582</v>
      </c>
      <c r="H116" s="196" t="s">
        <v>2323</v>
      </c>
      <c r="I116" s="196"/>
      <c r="J116" s="196" t="s">
        <v>2583</v>
      </c>
      <c r="K116" s="196" t="s">
        <v>2</v>
      </c>
      <c r="L116" s="196" t="s">
        <v>1160</v>
      </c>
      <c r="M116" s="198" t="s">
        <v>2584</v>
      </c>
      <c r="N116" s="196" t="s">
        <v>2585</v>
      </c>
      <c r="O116" s="199">
        <v>1810.48</v>
      </c>
      <c r="P116" s="196" t="s">
        <v>1172</v>
      </c>
      <c r="Q116" s="199">
        <v>5431.44</v>
      </c>
      <c r="R116" s="199"/>
      <c r="S116" s="199"/>
      <c r="T116" s="199"/>
      <c r="U116" s="199"/>
      <c r="V116" s="199"/>
      <c r="W116" s="199">
        <f t="shared" si="5"/>
        <v>5431.44</v>
      </c>
      <c r="X116" s="196" t="s">
        <v>1155</v>
      </c>
      <c r="Y116" s="199"/>
      <c r="Z116" s="200">
        <v>4179</v>
      </c>
      <c r="AA116" s="200"/>
      <c r="AB116" s="200">
        <f t="shared" si="3"/>
        <v>4179</v>
      </c>
      <c r="AC116" s="196" t="s">
        <v>789</v>
      </c>
      <c r="AD116" s="196" t="s">
        <v>59</v>
      </c>
      <c r="AE116" s="197">
        <v>41611</v>
      </c>
      <c r="AF116" s="197"/>
      <c r="AG116" s="197"/>
      <c r="AH116" s="199"/>
      <c r="AI116" s="196"/>
      <c r="AJ116" s="196" t="s">
        <v>2586</v>
      </c>
      <c r="AK116" s="196" t="s">
        <v>2288</v>
      </c>
    </row>
    <row r="117" spans="1:37" s="201" customFormat="1">
      <c r="A117" s="196" t="s">
        <v>790</v>
      </c>
      <c r="B117" s="196" t="s">
        <v>3083</v>
      </c>
      <c r="C117" s="196"/>
      <c r="D117" s="196" t="s">
        <v>2587</v>
      </c>
      <c r="E117" s="197">
        <v>40539</v>
      </c>
      <c r="F117" s="196" t="s">
        <v>58</v>
      </c>
      <c r="G117" s="196" t="s">
        <v>2588</v>
      </c>
      <c r="H117" s="196" t="s">
        <v>2589</v>
      </c>
      <c r="I117" s="196"/>
      <c r="J117" s="196" t="s">
        <v>2590</v>
      </c>
      <c r="K117" s="196" t="s">
        <v>3</v>
      </c>
      <c r="L117" s="196" t="s">
        <v>1151</v>
      </c>
      <c r="M117" s="198" t="s">
        <v>2591</v>
      </c>
      <c r="N117" s="196" t="s">
        <v>2592</v>
      </c>
      <c r="O117" s="199">
        <v>2168</v>
      </c>
      <c r="P117" s="196" t="s">
        <v>1172</v>
      </c>
      <c r="Q117" s="199">
        <v>6504</v>
      </c>
      <c r="R117" s="199"/>
      <c r="S117" s="199"/>
      <c r="T117" s="199"/>
      <c r="U117" s="199"/>
      <c r="V117" s="199"/>
      <c r="W117" s="199">
        <f t="shared" si="5"/>
        <v>6504</v>
      </c>
      <c r="X117" s="196" t="s">
        <v>1155</v>
      </c>
      <c r="Y117" s="199"/>
      <c r="Z117" s="200">
        <v>2323</v>
      </c>
      <c r="AA117" s="200"/>
      <c r="AB117" s="200">
        <f t="shared" si="3"/>
        <v>2323</v>
      </c>
      <c r="AC117" s="195" t="s">
        <v>791</v>
      </c>
      <c r="AD117" s="196" t="s">
        <v>59</v>
      </c>
      <c r="AE117" s="197">
        <v>40616</v>
      </c>
      <c r="AF117" s="197"/>
      <c r="AG117" s="197"/>
      <c r="AH117" s="199"/>
      <c r="AI117" s="196"/>
      <c r="AJ117" s="196"/>
      <c r="AK117" s="196" t="s">
        <v>2593</v>
      </c>
    </row>
    <row r="118" spans="1:37" s="201" customFormat="1">
      <c r="A118" s="196" t="s">
        <v>792</v>
      </c>
      <c r="B118" s="196" t="s">
        <v>3083</v>
      </c>
      <c r="C118" s="196"/>
      <c r="D118" s="196" t="s">
        <v>2594</v>
      </c>
      <c r="E118" s="197">
        <v>40239</v>
      </c>
      <c r="F118" s="196" t="s">
        <v>58</v>
      </c>
      <c r="G118" s="196" t="s">
        <v>2595</v>
      </c>
      <c r="H118" s="196" t="s">
        <v>2596</v>
      </c>
      <c r="I118" s="196"/>
      <c r="J118" s="196" t="s">
        <v>2597</v>
      </c>
      <c r="K118" s="196" t="s">
        <v>3</v>
      </c>
      <c r="L118" s="196" t="s">
        <v>1151</v>
      </c>
      <c r="M118" s="198" t="s">
        <v>2598</v>
      </c>
      <c r="N118" s="196" t="s">
        <v>2599</v>
      </c>
      <c r="O118" s="199">
        <v>2960.37</v>
      </c>
      <c r="P118" s="196" t="s">
        <v>1172</v>
      </c>
      <c r="Q118" s="199">
        <v>8844.57</v>
      </c>
      <c r="R118" s="199"/>
      <c r="S118" s="199"/>
      <c r="T118" s="199"/>
      <c r="U118" s="199"/>
      <c r="V118" s="199"/>
      <c r="W118" s="199">
        <f t="shared" si="5"/>
        <v>8844.57</v>
      </c>
      <c r="X118" s="196" t="s">
        <v>1155</v>
      </c>
      <c r="Y118" s="199"/>
      <c r="Z118" s="200">
        <v>3175</v>
      </c>
      <c r="AA118" s="200"/>
      <c r="AB118" s="200">
        <f t="shared" si="3"/>
        <v>3175</v>
      </c>
      <c r="AC118" s="195" t="s">
        <v>793</v>
      </c>
      <c r="AD118" s="196" t="s">
        <v>59</v>
      </c>
      <c r="AE118" s="197">
        <v>40625</v>
      </c>
      <c r="AF118" s="197"/>
      <c r="AG118" s="197"/>
      <c r="AH118" s="199"/>
      <c r="AI118" s="196"/>
      <c r="AJ118" s="196"/>
      <c r="AK118" s="196" t="s">
        <v>2593</v>
      </c>
    </row>
    <row r="119" spans="1:37" s="201" customFormat="1">
      <c r="A119" s="196" t="s">
        <v>794</v>
      </c>
      <c r="B119" s="196" t="s">
        <v>3083</v>
      </c>
      <c r="C119" s="196"/>
      <c r="D119" s="196" t="s">
        <v>2600</v>
      </c>
      <c r="E119" s="197">
        <v>40490</v>
      </c>
      <c r="F119" s="196" t="s">
        <v>58</v>
      </c>
      <c r="G119" s="196" t="s">
        <v>2601</v>
      </c>
      <c r="H119" s="196" t="s">
        <v>2602</v>
      </c>
      <c r="I119" s="196"/>
      <c r="J119" s="196" t="s">
        <v>2603</v>
      </c>
      <c r="K119" s="196" t="s">
        <v>40</v>
      </c>
      <c r="L119" s="196" t="s">
        <v>1151</v>
      </c>
      <c r="M119" s="198" t="s">
        <v>2604</v>
      </c>
      <c r="N119" s="196" t="s">
        <v>2605</v>
      </c>
      <c r="O119" s="199">
        <v>1454.06</v>
      </c>
      <c r="P119" s="196" t="s">
        <v>1172</v>
      </c>
      <c r="Q119" s="199">
        <v>4362.18</v>
      </c>
      <c r="R119" s="199"/>
      <c r="S119" s="199"/>
      <c r="T119" s="199"/>
      <c r="U119" s="199"/>
      <c r="V119" s="199"/>
      <c r="W119" s="199">
        <f t="shared" si="5"/>
        <v>4362.18</v>
      </c>
      <c r="X119" s="196" t="s">
        <v>1155</v>
      </c>
      <c r="Y119" s="199"/>
      <c r="Z119" s="200">
        <v>1745</v>
      </c>
      <c r="AA119" s="200">
        <v>194</v>
      </c>
      <c r="AB119" s="200">
        <f t="shared" si="3"/>
        <v>1939</v>
      </c>
      <c r="AC119" s="196" t="s">
        <v>795</v>
      </c>
      <c r="AD119" s="196" t="s">
        <v>59</v>
      </c>
      <c r="AE119" s="197">
        <v>40721</v>
      </c>
      <c r="AF119" s="197"/>
      <c r="AG119" s="197"/>
      <c r="AH119" s="199"/>
      <c r="AI119" s="196"/>
      <c r="AJ119" s="196"/>
      <c r="AK119" s="196" t="s">
        <v>2593</v>
      </c>
    </row>
    <row r="120" spans="1:37" s="201" customFormat="1">
      <c r="A120" s="196" t="s">
        <v>796</v>
      </c>
      <c r="B120" s="196" t="s">
        <v>3083</v>
      </c>
      <c r="C120" s="196"/>
      <c r="D120" s="196" t="s">
        <v>2606</v>
      </c>
      <c r="E120" s="197">
        <v>40695</v>
      </c>
      <c r="F120" s="196" t="s">
        <v>58</v>
      </c>
      <c r="G120" s="196" t="s">
        <v>2607</v>
      </c>
      <c r="H120" s="196" t="s">
        <v>2608</v>
      </c>
      <c r="I120" s="196"/>
      <c r="J120" s="196" t="s">
        <v>2609</v>
      </c>
      <c r="K120" s="196" t="s">
        <v>3</v>
      </c>
      <c r="L120" s="196" t="s">
        <v>1151</v>
      </c>
      <c r="M120" s="198" t="s">
        <v>2610</v>
      </c>
      <c r="N120" s="196" t="s">
        <v>2611</v>
      </c>
      <c r="O120" s="199">
        <v>2575.98</v>
      </c>
      <c r="P120" s="196" t="s">
        <v>1161</v>
      </c>
      <c r="Q120" s="199"/>
      <c r="R120" s="199"/>
      <c r="S120" s="199"/>
      <c r="T120" s="199">
        <v>1382.01</v>
      </c>
      <c r="U120" s="199"/>
      <c r="V120" s="199"/>
      <c r="W120" s="199">
        <f t="shared" si="5"/>
        <v>1382.01</v>
      </c>
      <c r="X120" s="196" t="s">
        <v>1155</v>
      </c>
      <c r="Y120" s="199"/>
      <c r="Z120" s="200">
        <v>482</v>
      </c>
      <c r="AA120" s="200"/>
      <c r="AB120" s="200">
        <f t="shared" si="3"/>
        <v>482</v>
      </c>
      <c r="AC120" s="196" t="s">
        <v>797</v>
      </c>
      <c r="AD120" s="196" t="s">
        <v>61</v>
      </c>
      <c r="AE120" s="197">
        <v>41592</v>
      </c>
      <c r="AF120" s="197"/>
      <c r="AG120" s="197"/>
      <c r="AH120" s="199"/>
      <c r="AI120" s="196"/>
      <c r="AJ120" s="196" t="s">
        <v>2612</v>
      </c>
      <c r="AK120" s="196" t="s">
        <v>2613</v>
      </c>
    </row>
    <row r="121" spans="1:37" s="201" customFormat="1">
      <c r="A121" s="196" t="s">
        <v>796</v>
      </c>
      <c r="B121" s="196" t="s">
        <v>3083</v>
      </c>
      <c r="C121" s="196"/>
      <c r="D121" s="196" t="s">
        <v>2614</v>
      </c>
      <c r="E121" s="197">
        <v>41946</v>
      </c>
      <c r="F121" s="196" t="s">
        <v>58</v>
      </c>
      <c r="G121" s="196" t="s">
        <v>2607</v>
      </c>
      <c r="H121" s="196" t="s">
        <v>2608</v>
      </c>
      <c r="I121" s="196"/>
      <c r="J121" s="196" t="s">
        <v>2609</v>
      </c>
      <c r="K121" s="196" t="s">
        <v>3</v>
      </c>
      <c r="L121" s="196" t="s">
        <v>1151</v>
      </c>
      <c r="M121" s="198" t="s">
        <v>2610</v>
      </c>
      <c r="N121" s="196" t="s">
        <v>2611</v>
      </c>
      <c r="O121" s="199">
        <v>2680.1</v>
      </c>
      <c r="P121" s="196" t="s">
        <v>1154</v>
      </c>
      <c r="Q121" s="199">
        <v>6658.29</v>
      </c>
      <c r="R121" s="199"/>
      <c r="S121" s="199"/>
      <c r="T121" s="199">
        <v>1382.01</v>
      </c>
      <c r="U121" s="199"/>
      <c r="V121" s="199"/>
      <c r="W121" s="199">
        <f t="shared" si="5"/>
        <v>8040.3</v>
      </c>
      <c r="X121" s="196" t="s">
        <v>1155</v>
      </c>
      <c r="Y121" s="199"/>
      <c r="Z121" s="200">
        <v>2916</v>
      </c>
      <c r="AA121" s="200">
        <v>1604</v>
      </c>
      <c r="AB121" s="200">
        <f t="shared" si="3"/>
        <v>4520</v>
      </c>
      <c r="AC121" s="196" t="s">
        <v>798</v>
      </c>
      <c r="AD121" s="196" t="s">
        <v>59</v>
      </c>
      <c r="AE121" s="197">
        <v>41775</v>
      </c>
      <c r="AF121" s="197"/>
      <c r="AG121" s="197"/>
      <c r="AH121" s="199"/>
      <c r="AI121" s="196"/>
      <c r="AJ121" s="196" t="s">
        <v>2615</v>
      </c>
      <c r="AK121" s="196" t="s">
        <v>2613</v>
      </c>
    </row>
    <row r="122" spans="1:37" s="201" customFormat="1" ht="90">
      <c r="A122" s="196" t="s">
        <v>799</v>
      </c>
      <c r="B122" s="196" t="s">
        <v>3083</v>
      </c>
      <c r="C122" s="196"/>
      <c r="D122" s="196" t="s">
        <v>2616</v>
      </c>
      <c r="E122" s="197">
        <v>40662</v>
      </c>
      <c r="F122" s="196" t="s">
        <v>58</v>
      </c>
      <c r="G122" s="196" t="s">
        <v>2617</v>
      </c>
      <c r="H122" s="196" t="s">
        <v>2618</v>
      </c>
      <c r="I122" s="138" t="s">
        <v>2619</v>
      </c>
      <c r="J122" s="196" t="s">
        <v>2620</v>
      </c>
      <c r="K122" s="196" t="s">
        <v>4</v>
      </c>
      <c r="L122" s="196" t="s">
        <v>1151</v>
      </c>
      <c r="M122" s="198" t="s">
        <v>2163</v>
      </c>
      <c r="N122" s="196" t="s">
        <v>2621</v>
      </c>
      <c r="O122" s="199">
        <v>4793.9449999999997</v>
      </c>
      <c r="P122" s="196" t="s">
        <v>1154</v>
      </c>
      <c r="Q122" s="199">
        <v>14381.834999999999</v>
      </c>
      <c r="R122" s="199"/>
      <c r="S122" s="199"/>
      <c r="T122" s="199"/>
      <c r="U122" s="199"/>
      <c r="V122" s="199"/>
      <c r="W122" s="199">
        <f t="shared" si="5"/>
        <v>14381.834999999999</v>
      </c>
      <c r="X122" s="196" t="s">
        <v>1155</v>
      </c>
      <c r="Y122" s="199"/>
      <c r="Z122" s="200">
        <v>7191</v>
      </c>
      <c r="AA122" s="200">
        <v>2397</v>
      </c>
      <c r="AB122" s="200" t="s">
        <v>2622</v>
      </c>
      <c r="AC122" s="196" t="s">
        <v>800</v>
      </c>
      <c r="AD122" s="196" t="s">
        <v>59</v>
      </c>
      <c r="AE122" s="197">
        <v>40710</v>
      </c>
      <c r="AF122" s="197"/>
      <c r="AG122" s="197"/>
      <c r="AH122" s="199"/>
      <c r="AI122" s="196"/>
      <c r="AJ122" s="196" t="s">
        <v>2623</v>
      </c>
      <c r="AK122" s="196" t="s">
        <v>2613</v>
      </c>
    </row>
    <row r="123" spans="1:37" s="201" customFormat="1" ht="30">
      <c r="A123" s="196" t="s">
        <v>801</v>
      </c>
      <c r="B123" s="196" t="s">
        <v>3083</v>
      </c>
      <c r="C123" s="196"/>
      <c r="D123" s="196" t="s">
        <v>2624</v>
      </c>
      <c r="E123" s="197">
        <v>40452</v>
      </c>
      <c r="F123" s="196" t="s">
        <v>58</v>
      </c>
      <c r="G123" s="196" t="s">
        <v>2625</v>
      </c>
      <c r="H123" s="196" t="s">
        <v>2626</v>
      </c>
      <c r="I123" s="196"/>
      <c r="J123" s="196" t="s">
        <v>2627</v>
      </c>
      <c r="K123" s="196" t="s">
        <v>40</v>
      </c>
      <c r="L123" s="196" t="s">
        <v>1151</v>
      </c>
      <c r="M123" s="198" t="s">
        <v>2138</v>
      </c>
      <c r="N123" s="196" t="s">
        <v>2628</v>
      </c>
      <c r="O123" s="199">
        <v>1625.27</v>
      </c>
      <c r="P123" s="196" t="s">
        <v>1172</v>
      </c>
      <c r="Q123" s="199">
        <v>4746.6000000000004</v>
      </c>
      <c r="R123" s="199"/>
      <c r="S123" s="199"/>
      <c r="T123" s="199"/>
      <c r="U123" s="199"/>
      <c r="V123" s="199"/>
      <c r="W123" s="199">
        <f t="shared" si="5"/>
        <v>4746.6000000000004</v>
      </c>
      <c r="X123" s="196" t="s">
        <v>1155</v>
      </c>
      <c r="Y123" s="199"/>
      <c r="Z123" s="200">
        <v>1899</v>
      </c>
      <c r="AA123" s="200"/>
      <c r="AB123" s="200">
        <f t="shared" ref="AB123:AB181" si="6">AA123+Z123</f>
        <v>1899</v>
      </c>
      <c r="AC123" s="196" t="s">
        <v>802</v>
      </c>
      <c r="AD123" s="196" t="s">
        <v>61</v>
      </c>
      <c r="AE123" s="197">
        <v>40777</v>
      </c>
      <c r="AF123" s="197"/>
      <c r="AG123" s="197"/>
      <c r="AH123" s="199"/>
      <c r="AI123" s="196"/>
      <c r="AJ123" s="138" t="s">
        <v>3099</v>
      </c>
      <c r="AK123" s="196" t="s">
        <v>3097</v>
      </c>
    </row>
    <row r="124" spans="1:37" s="201" customFormat="1">
      <c r="A124" s="196" t="s">
        <v>801</v>
      </c>
      <c r="B124" s="196" t="s">
        <v>3083</v>
      </c>
      <c r="C124" s="196"/>
      <c r="D124" s="196" t="s">
        <v>2624</v>
      </c>
      <c r="E124" s="197">
        <v>40452</v>
      </c>
      <c r="F124" s="196" t="s">
        <v>58</v>
      </c>
      <c r="G124" s="196" t="s">
        <v>2625</v>
      </c>
      <c r="H124" s="196" t="s">
        <v>2626</v>
      </c>
      <c r="I124" s="196"/>
      <c r="J124" s="196" t="s">
        <v>2627</v>
      </c>
      <c r="K124" s="196" t="s">
        <v>40</v>
      </c>
      <c r="L124" s="196" t="s">
        <v>1151</v>
      </c>
      <c r="M124" s="198" t="s">
        <v>2138</v>
      </c>
      <c r="N124" s="196" t="s">
        <v>2628</v>
      </c>
      <c r="O124" s="199">
        <v>1625.27</v>
      </c>
      <c r="P124" s="196" t="s">
        <v>1172</v>
      </c>
      <c r="Q124" s="199">
        <v>4746.6000000000004</v>
      </c>
      <c r="R124" s="199"/>
      <c r="S124" s="199"/>
      <c r="T124" s="199"/>
      <c r="U124" s="199"/>
      <c r="V124" s="199"/>
      <c r="W124" s="199">
        <f t="shared" si="5"/>
        <v>4746.6000000000004</v>
      </c>
      <c r="X124" s="196" t="s">
        <v>1155</v>
      </c>
      <c r="Y124" s="199"/>
      <c r="Z124" s="200">
        <v>1899</v>
      </c>
      <c r="AA124" s="200"/>
      <c r="AB124" s="200">
        <f t="shared" si="6"/>
        <v>1899</v>
      </c>
      <c r="AC124" s="196" t="s">
        <v>802</v>
      </c>
      <c r="AD124" s="196" t="s">
        <v>59</v>
      </c>
      <c r="AE124" s="197">
        <v>40843</v>
      </c>
      <c r="AF124" s="197"/>
      <c r="AG124" s="197"/>
      <c r="AH124" s="199"/>
      <c r="AI124" s="196"/>
      <c r="AJ124" s="196" t="s">
        <v>2629</v>
      </c>
      <c r="AK124" s="196" t="s">
        <v>2613</v>
      </c>
    </row>
    <row r="125" spans="1:37" s="201" customFormat="1">
      <c r="A125" s="196" t="s">
        <v>803</v>
      </c>
      <c r="B125" s="196" t="s">
        <v>3083</v>
      </c>
      <c r="C125" s="196"/>
      <c r="D125" s="196" t="s">
        <v>1176</v>
      </c>
      <c r="E125" s="197">
        <v>40739</v>
      </c>
      <c r="F125" s="196" t="s">
        <v>58</v>
      </c>
      <c r="G125" s="196" t="s">
        <v>1177</v>
      </c>
      <c r="H125" s="196" t="s">
        <v>1178</v>
      </c>
      <c r="I125" s="196" t="s">
        <v>1179</v>
      </c>
      <c r="J125" s="196" t="s">
        <v>1180</v>
      </c>
      <c r="K125" s="196" t="s">
        <v>3</v>
      </c>
      <c r="L125" s="196" t="s">
        <v>1151</v>
      </c>
      <c r="M125" s="198" t="s">
        <v>1181</v>
      </c>
      <c r="N125" s="196" t="s">
        <v>1182</v>
      </c>
      <c r="O125" s="199">
        <v>2234.86</v>
      </c>
      <c r="P125" s="196" t="s">
        <v>1172</v>
      </c>
      <c r="Q125" s="199">
        <v>6704.28</v>
      </c>
      <c r="R125" s="199"/>
      <c r="S125" s="199"/>
      <c r="T125" s="199"/>
      <c r="U125" s="199"/>
      <c r="V125" s="199"/>
      <c r="W125" s="199">
        <f t="shared" si="5"/>
        <v>6704.28</v>
      </c>
      <c r="X125" s="196" t="s">
        <v>1155</v>
      </c>
      <c r="Y125" s="199"/>
      <c r="Z125" s="200">
        <v>2395</v>
      </c>
      <c r="AA125" s="200"/>
      <c r="AB125" s="200">
        <f t="shared" si="6"/>
        <v>2395</v>
      </c>
      <c r="AC125" s="196" t="s">
        <v>804</v>
      </c>
      <c r="AD125" s="196" t="s">
        <v>61</v>
      </c>
      <c r="AE125" s="197">
        <v>40791</v>
      </c>
      <c r="AF125" s="197"/>
      <c r="AG125" s="197"/>
      <c r="AH125" s="199"/>
      <c r="AI125" s="196"/>
      <c r="AJ125" s="196" t="s">
        <v>1183</v>
      </c>
      <c r="AK125" s="196" t="s">
        <v>1184</v>
      </c>
    </row>
    <row r="126" spans="1:37" s="201" customFormat="1">
      <c r="A126" s="196" t="s">
        <v>803</v>
      </c>
      <c r="B126" s="196" t="s">
        <v>3083</v>
      </c>
      <c r="C126" s="196"/>
      <c r="D126" s="196" t="s">
        <v>1185</v>
      </c>
      <c r="E126" s="197">
        <v>42993</v>
      </c>
      <c r="F126" s="196" t="s">
        <v>58</v>
      </c>
      <c r="G126" s="196" t="s">
        <v>1186</v>
      </c>
      <c r="H126" s="196" t="s">
        <v>1187</v>
      </c>
      <c r="I126" s="196" t="s">
        <v>1188</v>
      </c>
      <c r="J126" s="196" t="s">
        <v>1189</v>
      </c>
      <c r="K126" s="196" t="s">
        <v>3</v>
      </c>
      <c r="L126" s="196" t="s">
        <v>1160</v>
      </c>
      <c r="M126" s="229" t="s">
        <v>1181</v>
      </c>
      <c r="N126" s="192" t="s">
        <v>3094</v>
      </c>
      <c r="O126" s="199">
        <v>15540.05</v>
      </c>
      <c r="P126" s="196" t="s">
        <v>1172</v>
      </c>
      <c r="Q126" s="199">
        <v>21976.74</v>
      </c>
      <c r="R126" s="199"/>
      <c r="S126" s="199"/>
      <c r="T126" s="199"/>
      <c r="U126" s="199"/>
      <c r="V126" s="199"/>
      <c r="W126" s="199">
        <f t="shared" si="5"/>
        <v>21976.74</v>
      </c>
      <c r="X126" s="196" t="s">
        <v>1155</v>
      </c>
      <c r="Y126" s="199"/>
      <c r="Z126" s="200">
        <v>6924</v>
      </c>
      <c r="AA126" s="200">
        <v>936</v>
      </c>
      <c r="AB126" s="200">
        <f t="shared" si="6"/>
        <v>7860</v>
      </c>
      <c r="AC126" s="196" t="s">
        <v>805</v>
      </c>
      <c r="AD126" s="196" t="s">
        <v>61</v>
      </c>
      <c r="AE126" s="197">
        <v>43088</v>
      </c>
      <c r="AF126" s="197"/>
      <c r="AG126" s="197"/>
      <c r="AH126" s="199"/>
      <c r="AI126" s="196"/>
      <c r="AJ126" s="196" t="s">
        <v>1190</v>
      </c>
      <c r="AK126" s="196" t="s">
        <v>1184</v>
      </c>
    </row>
    <row r="127" spans="1:37" s="201" customFormat="1">
      <c r="A127" s="196" t="s">
        <v>803</v>
      </c>
      <c r="B127" s="196" t="s">
        <v>3083</v>
      </c>
      <c r="C127" s="196"/>
      <c r="D127" s="196" t="s">
        <v>1185</v>
      </c>
      <c r="E127" s="197">
        <v>42993</v>
      </c>
      <c r="F127" s="196" t="s">
        <v>58</v>
      </c>
      <c r="G127" s="196" t="s">
        <v>1186</v>
      </c>
      <c r="H127" s="196" t="s">
        <v>1187</v>
      </c>
      <c r="I127" s="196" t="s">
        <v>1188</v>
      </c>
      <c r="J127" s="196" t="s">
        <v>1189</v>
      </c>
      <c r="K127" s="196" t="s">
        <v>3</v>
      </c>
      <c r="L127" s="196" t="s">
        <v>1160</v>
      </c>
      <c r="M127" s="229" t="s">
        <v>1181</v>
      </c>
      <c r="N127" s="192" t="s">
        <v>3094</v>
      </c>
      <c r="O127" s="199">
        <v>15540.05</v>
      </c>
      <c r="P127" s="196" t="s">
        <v>1172</v>
      </c>
      <c r="Q127" s="199">
        <v>21976.74</v>
      </c>
      <c r="R127" s="199"/>
      <c r="S127" s="199"/>
      <c r="T127" s="199"/>
      <c r="U127" s="199"/>
      <c r="V127" s="199"/>
      <c r="W127" s="199">
        <f t="shared" si="5"/>
        <v>21976.74</v>
      </c>
      <c r="X127" s="196" t="s">
        <v>1155</v>
      </c>
      <c r="Y127" s="199"/>
      <c r="Z127" s="200">
        <v>6924</v>
      </c>
      <c r="AA127" s="200">
        <v>936</v>
      </c>
      <c r="AB127" s="200">
        <f t="shared" si="6"/>
        <v>7860</v>
      </c>
      <c r="AC127" s="196" t="s">
        <v>806</v>
      </c>
      <c r="AD127" s="196" t="s">
        <v>61</v>
      </c>
      <c r="AE127" s="197">
        <v>43318</v>
      </c>
      <c r="AF127" s="197"/>
      <c r="AG127" s="197"/>
      <c r="AH127" s="199"/>
      <c r="AI127" s="196"/>
      <c r="AJ127" s="196" t="s">
        <v>1191</v>
      </c>
      <c r="AK127" s="196" t="s">
        <v>1184</v>
      </c>
    </row>
    <row r="128" spans="1:37" s="201" customFormat="1">
      <c r="A128" s="196" t="s">
        <v>803</v>
      </c>
      <c r="B128" s="196" t="s">
        <v>3083</v>
      </c>
      <c r="C128" s="196" t="s">
        <v>1192</v>
      </c>
      <c r="D128" s="196"/>
      <c r="E128" s="197">
        <v>43811</v>
      </c>
      <c r="F128" s="196" t="s">
        <v>58</v>
      </c>
      <c r="G128" s="196" t="s">
        <v>1193</v>
      </c>
      <c r="H128" s="196" t="s">
        <v>1187</v>
      </c>
      <c r="I128" s="196"/>
      <c r="J128" s="196" t="s">
        <v>1194</v>
      </c>
      <c r="K128" s="196" t="s">
        <v>3</v>
      </c>
      <c r="L128" s="196" t="s">
        <v>1160</v>
      </c>
      <c r="M128" s="229" t="s">
        <v>1181</v>
      </c>
      <c r="N128" s="192" t="s">
        <v>3094</v>
      </c>
      <c r="O128" s="199">
        <v>15540.05</v>
      </c>
      <c r="P128" s="196" t="s">
        <v>1172</v>
      </c>
      <c r="Q128" s="199">
        <v>34278.239999999998</v>
      </c>
      <c r="R128" s="199"/>
      <c r="S128" s="199"/>
      <c r="T128" s="199"/>
      <c r="U128" s="199"/>
      <c r="V128" s="199"/>
      <c r="W128" s="199">
        <f t="shared" si="5"/>
        <v>34278.239999999998</v>
      </c>
      <c r="X128" s="196" t="s">
        <v>1155</v>
      </c>
      <c r="Y128" s="199"/>
      <c r="Z128" s="200">
        <v>10208</v>
      </c>
      <c r="AA128" s="200">
        <v>936</v>
      </c>
      <c r="AB128" s="200">
        <f t="shared" si="6"/>
        <v>11144</v>
      </c>
      <c r="AC128" s="196" t="s">
        <v>807</v>
      </c>
      <c r="AD128" s="196" t="s">
        <v>61</v>
      </c>
      <c r="AE128" s="197">
        <v>43984</v>
      </c>
      <c r="AF128" s="197"/>
      <c r="AG128" s="197"/>
      <c r="AH128" s="199"/>
      <c r="AI128" s="196"/>
      <c r="AJ128" s="196" t="s">
        <v>3096</v>
      </c>
      <c r="AK128" s="196" t="s">
        <v>1184</v>
      </c>
    </row>
    <row r="129" spans="1:37" s="201" customFormat="1">
      <c r="A129" s="196" t="s">
        <v>808</v>
      </c>
      <c r="B129" s="196" t="s">
        <v>3083</v>
      </c>
      <c r="C129" s="196"/>
      <c r="D129" s="196" t="s">
        <v>2630</v>
      </c>
      <c r="E129" s="197">
        <v>40773</v>
      </c>
      <c r="F129" s="196" t="s">
        <v>58</v>
      </c>
      <c r="G129" s="196" t="s">
        <v>2631</v>
      </c>
      <c r="H129" s="196" t="s">
        <v>2632</v>
      </c>
      <c r="I129" s="196"/>
      <c r="J129" s="196" t="s">
        <v>2633</v>
      </c>
      <c r="K129" s="196" t="s">
        <v>40</v>
      </c>
      <c r="L129" s="196" t="s">
        <v>1151</v>
      </c>
      <c r="M129" s="198" t="s">
        <v>2634</v>
      </c>
      <c r="N129" s="196" t="s">
        <v>2635</v>
      </c>
      <c r="O129" s="199">
        <v>1200</v>
      </c>
      <c r="P129" s="196" t="s">
        <v>1172</v>
      </c>
      <c r="Q129" s="199">
        <v>2398.56</v>
      </c>
      <c r="R129" s="199"/>
      <c r="S129" s="199"/>
      <c r="T129" s="199"/>
      <c r="U129" s="199"/>
      <c r="V129" s="199"/>
      <c r="W129" s="199">
        <f t="shared" si="5"/>
        <v>2398.56</v>
      </c>
      <c r="X129" s="196" t="s">
        <v>1155</v>
      </c>
      <c r="Y129" s="199"/>
      <c r="Z129" s="200">
        <v>960</v>
      </c>
      <c r="AA129" s="200"/>
      <c r="AB129" s="200">
        <f t="shared" si="6"/>
        <v>960</v>
      </c>
      <c r="AC129" s="196" t="s">
        <v>809</v>
      </c>
      <c r="AD129" s="196" t="s">
        <v>59</v>
      </c>
      <c r="AE129" s="197">
        <v>40911</v>
      </c>
      <c r="AF129" s="197"/>
      <c r="AG129" s="197"/>
      <c r="AH129" s="199"/>
      <c r="AI129" s="196"/>
      <c r="AJ129" s="196"/>
      <c r="AK129" s="196" t="s">
        <v>1184</v>
      </c>
    </row>
    <row r="130" spans="1:37" s="201" customFormat="1">
      <c r="A130" s="196" t="s">
        <v>810</v>
      </c>
      <c r="B130" s="196" t="s">
        <v>3083</v>
      </c>
      <c r="C130" s="196"/>
      <c r="D130" s="196" t="s">
        <v>2636</v>
      </c>
      <c r="E130" s="197">
        <v>40806</v>
      </c>
      <c r="F130" s="196" t="s">
        <v>58</v>
      </c>
      <c r="G130" s="196" t="s">
        <v>2637</v>
      </c>
      <c r="H130" s="196" t="s">
        <v>2638</v>
      </c>
      <c r="I130" s="196" t="s">
        <v>2639</v>
      </c>
      <c r="J130" s="196" t="s">
        <v>2640</v>
      </c>
      <c r="K130" s="196" t="s">
        <v>40</v>
      </c>
      <c r="L130" s="196" t="s">
        <v>1151</v>
      </c>
      <c r="M130" s="198" t="s">
        <v>2641</v>
      </c>
      <c r="N130" s="196" t="s">
        <v>2642</v>
      </c>
      <c r="O130" s="199">
        <v>2352.59</v>
      </c>
      <c r="P130" s="196" t="s">
        <v>1161</v>
      </c>
      <c r="Q130" s="199"/>
      <c r="R130" s="199"/>
      <c r="S130" s="199"/>
      <c r="T130" s="199">
        <v>7057.77</v>
      </c>
      <c r="U130" s="199"/>
      <c r="V130" s="199"/>
      <c r="W130" s="199">
        <f t="shared" si="5"/>
        <v>7057.77</v>
      </c>
      <c r="X130" s="196" t="s">
        <v>1155</v>
      </c>
      <c r="Y130" s="199"/>
      <c r="Z130" s="200">
        <v>8823</v>
      </c>
      <c r="AA130" s="200"/>
      <c r="AB130" s="200">
        <f t="shared" si="6"/>
        <v>8823</v>
      </c>
      <c r="AC130" s="196" t="s">
        <v>811</v>
      </c>
      <c r="AD130" s="196" t="s">
        <v>61</v>
      </c>
      <c r="AE130" s="197">
        <v>40931</v>
      </c>
      <c r="AF130" s="197"/>
      <c r="AG130" s="197"/>
      <c r="AH130" s="199"/>
      <c r="AI130" s="196"/>
      <c r="AJ130" s="196" t="s">
        <v>2643</v>
      </c>
      <c r="AK130" s="196" t="s">
        <v>1184</v>
      </c>
    </row>
    <row r="131" spans="1:37" s="201" customFormat="1">
      <c r="A131" s="196" t="s">
        <v>810</v>
      </c>
      <c r="B131" s="196" t="s">
        <v>3083</v>
      </c>
      <c r="C131" s="196"/>
      <c r="D131" s="196" t="s">
        <v>2644</v>
      </c>
      <c r="E131" s="197">
        <v>41800</v>
      </c>
      <c r="F131" s="196" t="s">
        <v>58</v>
      </c>
      <c r="G131" s="196" t="s">
        <v>2637</v>
      </c>
      <c r="H131" s="196" t="s">
        <v>2638</v>
      </c>
      <c r="I131" s="196" t="s">
        <v>2639</v>
      </c>
      <c r="J131" s="196" t="s">
        <v>2640</v>
      </c>
      <c r="K131" s="196" t="s">
        <v>40</v>
      </c>
      <c r="L131" s="196" t="s">
        <v>1160</v>
      </c>
      <c r="M131" s="198" t="s">
        <v>2641</v>
      </c>
      <c r="N131" s="196" t="s">
        <v>2642</v>
      </c>
      <c r="O131" s="199">
        <v>2352.59</v>
      </c>
      <c r="P131" s="196" t="s">
        <v>1161</v>
      </c>
      <c r="Q131" s="199"/>
      <c r="R131" s="199"/>
      <c r="S131" s="199"/>
      <c r="T131" s="199">
        <v>7057.77</v>
      </c>
      <c r="U131" s="199"/>
      <c r="V131" s="199"/>
      <c r="W131" s="199">
        <f t="shared" si="5"/>
        <v>7057.77</v>
      </c>
      <c r="X131" s="196" t="s">
        <v>1155</v>
      </c>
      <c r="Y131" s="199"/>
      <c r="Z131" s="200">
        <v>8235</v>
      </c>
      <c r="AA131" s="200">
        <v>1569</v>
      </c>
      <c r="AB131" s="200">
        <f t="shared" si="6"/>
        <v>9804</v>
      </c>
      <c r="AC131" s="196" t="s">
        <v>812</v>
      </c>
      <c r="AD131" s="196" t="s">
        <v>61</v>
      </c>
      <c r="AE131" s="197">
        <v>41857</v>
      </c>
      <c r="AF131" s="197"/>
      <c r="AG131" s="197"/>
      <c r="AH131" s="199"/>
      <c r="AI131" s="196"/>
      <c r="AJ131" s="196" t="s">
        <v>2645</v>
      </c>
      <c r="AK131" s="196" t="s">
        <v>1184</v>
      </c>
    </row>
    <row r="132" spans="1:37" s="201" customFormat="1">
      <c r="A132" s="196" t="s">
        <v>810</v>
      </c>
      <c r="B132" s="196" t="s">
        <v>3083</v>
      </c>
      <c r="C132" s="196" t="s">
        <v>1828</v>
      </c>
      <c r="D132" s="196"/>
      <c r="E132" s="197">
        <v>43811</v>
      </c>
      <c r="F132" s="196" t="s">
        <v>58</v>
      </c>
      <c r="G132" s="196" t="s">
        <v>2646</v>
      </c>
      <c r="H132" s="196" t="s">
        <v>2638</v>
      </c>
      <c r="I132" s="196"/>
      <c r="J132" s="196" t="s">
        <v>2647</v>
      </c>
      <c r="K132" s="196" t="s">
        <v>40</v>
      </c>
      <c r="L132" s="196" t="s">
        <v>1160</v>
      </c>
      <c r="M132" s="198" t="s">
        <v>2641</v>
      </c>
      <c r="N132" s="196" t="s">
        <v>2648</v>
      </c>
      <c r="O132" s="199">
        <v>3374.39</v>
      </c>
      <c r="P132" s="196" t="s">
        <v>1161</v>
      </c>
      <c r="Q132" s="199"/>
      <c r="R132" s="199"/>
      <c r="S132" s="199"/>
      <c r="T132" s="199">
        <v>10123.17</v>
      </c>
      <c r="U132" s="199"/>
      <c r="V132" s="199"/>
      <c r="W132" s="199">
        <f t="shared" si="5"/>
        <v>10123.17</v>
      </c>
      <c r="X132" s="196" t="s">
        <v>1155</v>
      </c>
      <c r="Y132" s="199"/>
      <c r="Z132" s="200">
        <v>10967</v>
      </c>
      <c r="AA132" s="200">
        <v>2250</v>
      </c>
      <c r="AB132" s="200">
        <f t="shared" si="6"/>
        <v>13217</v>
      </c>
      <c r="AC132" s="196" t="s">
        <v>813</v>
      </c>
      <c r="AD132" s="196" t="s">
        <v>59</v>
      </c>
      <c r="AE132" s="197">
        <v>43978</v>
      </c>
      <c r="AF132" s="197"/>
      <c r="AG132" s="197"/>
      <c r="AH132" s="199"/>
      <c r="AI132" s="196"/>
      <c r="AJ132" s="196" t="s">
        <v>2649</v>
      </c>
      <c r="AK132" s="196" t="s">
        <v>1184</v>
      </c>
    </row>
    <row r="133" spans="1:37" s="201" customFormat="1">
      <c r="A133" s="196" t="s">
        <v>814</v>
      </c>
      <c r="B133" s="196" t="s">
        <v>3083</v>
      </c>
      <c r="C133" s="196"/>
      <c r="D133" s="196" t="s">
        <v>2650</v>
      </c>
      <c r="E133" s="197">
        <v>40891</v>
      </c>
      <c r="F133" s="196" t="s">
        <v>58</v>
      </c>
      <c r="G133" s="196" t="s">
        <v>2651</v>
      </c>
      <c r="H133" s="196" t="s">
        <v>2233</v>
      </c>
      <c r="I133" s="196"/>
      <c r="J133" s="196" t="s">
        <v>2652</v>
      </c>
      <c r="K133" s="196" t="s">
        <v>3</v>
      </c>
      <c r="L133" s="196" t="s">
        <v>1151</v>
      </c>
      <c r="M133" s="196" t="s">
        <v>2653</v>
      </c>
      <c r="N133" s="196" t="s">
        <v>2654</v>
      </c>
      <c r="O133" s="199">
        <v>2540</v>
      </c>
      <c r="P133" s="196" t="s">
        <v>1172</v>
      </c>
      <c r="Q133" s="196">
        <v>7620</v>
      </c>
      <c r="R133" s="196"/>
      <c r="S133" s="196"/>
      <c r="T133" s="199"/>
      <c r="U133" s="199"/>
      <c r="V133" s="199"/>
      <c r="W133" s="199">
        <f t="shared" si="5"/>
        <v>7620</v>
      </c>
      <c r="X133" s="196" t="s">
        <v>1155</v>
      </c>
      <c r="Y133" s="196"/>
      <c r="Z133" s="196">
        <v>2540</v>
      </c>
      <c r="AA133" s="196"/>
      <c r="AB133" s="200">
        <f t="shared" si="6"/>
        <v>2540</v>
      </c>
      <c r="AC133" s="195" t="s">
        <v>815</v>
      </c>
      <c r="AD133" s="196" t="s">
        <v>59</v>
      </c>
      <c r="AE133" s="197">
        <v>40934</v>
      </c>
      <c r="AF133" s="197"/>
      <c r="AG133" s="197"/>
      <c r="AH133" s="199"/>
      <c r="AI133" s="196"/>
      <c r="AJ133" s="196"/>
      <c r="AK133" s="196" t="s">
        <v>1184</v>
      </c>
    </row>
    <row r="134" spans="1:37" s="201" customFormat="1">
      <c r="A134" s="196" t="s">
        <v>816</v>
      </c>
      <c r="B134" s="196" t="s">
        <v>3083</v>
      </c>
      <c r="C134" s="196"/>
      <c r="D134" s="196" t="s">
        <v>2655</v>
      </c>
      <c r="E134" s="197"/>
      <c r="F134" s="196" t="s">
        <v>58</v>
      </c>
      <c r="G134" s="196" t="s">
        <v>2656</v>
      </c>
      <c r="H134" s="196" t="s">
        <v>2657</v>
      </c>
      <c r="I134" s="196"/>
      <c r="J134" s="196" t="s">
        <v>2658</v>
      </c>
      <c r="K134" s="196" t="s">
        <v>4</v>
      </c>
      <c r="L134" s="196" t="s">
        <v>1151</v>
      </c>
      <c r="M134" s="198" t="s">
        <v>2659</v>
      </c>
      <c r="N134" s="196" t="s">
        <v>2660</v>
      </c>
      <c r="O134" s="199">
        <v>2000</v>
      </c>
      <c r="P134" s="196" t="s">
        <v>1172</v>
      </c>
      <c r="Q134" s="199">
        <v>4000</v>
      </c>
      <c r="R134" s="199"/>
      <c r="S134" s="199"/>
      <c r="T134" s="199"/>
      <c r="U134" s="199"/>
      <c r="V134" s="199"/>
      <c r="W134" s="199">
        <f t="shared" si="5"/>
        <v>4000</v>
      </c>
      <c r="X134" s="196" t="s">
        <v>1155</v>
      </c>
      <c r="Y134" s="199"/>
      <c r="Z134" s="200">
        <v>2000</v>
      </c>
      <c r="AA134" s="200"/>
      <c r="AB134" s="200">
        <f t="shared" si="6"/>
        <v>2000</v>
      </c>
      <c r="AC134" s="196" t="s">
        <v>817</v>
      </c>
      <c r="AD134" s="196" t="s">
        <v>59</v>
      </c>
      <c r="AE134" s="197">
        <v>41136</v>
      </c>
      <c r="AF134" s="197"/>
      <c r="AG134" s="197"/>
      <c r="AH134" s="199"/>
      <c r="AI134" s="196"/>
      <c r="AJ134" s="196" t="s">
        <v>2661</v>
      </c>
      <c r="AK134" s="196" t="s">
        <v>1184</v>
      </c>
    </row>
    <row r="135" spans="1:37" s="201" customFormat="1">
      <c r="A135" s="196" t="s">
        <v>818</v>
      </c>
      <c r="B135" s="196" t="s">
        <v>3083</v>
      </c>
      <c r="C135" s="196"/>
      <c r="D135" s="196" t="s">
        <v>2662</v>
      </c>
      <c r="E135" s="197">
        <v>41201</v>
      </c>
      <c r="F135" s="196" t="s">
        <v>58</v>
      </c>
      <c r="G135" s="196" t="s">
        <v>2663</v>
      </c>
      <c r="H135" s="196" t="s">
        <v>2664</v>
      </c>
      <c r="I135" s="196"/>
      <c r="J135" s="196" t="s">
        <v>2665</v>
      </c>
      <c r="K135" s="196" t="s">
        <v>40</v>
      </c>
      <c r="L135" s="196" t="s">
        <v>1151</v>
      </c>
      <c r="M135" s="198" t="s">
        <v>2666</v>
      </c>
      <c r="N135" s="196" t="s">
        <v>2667</v>
      </c>
      <c r="O135" s="199">
        <v>1920</v>
      </c>
      <c r="P135" s="196" t="s">
        <v>1161</v>
      </c>
      <c r="Q135" s="199"/>
      <c r="R135" s="199"/>
      <c r="S135" s="199"/>
      <c r="T135" s="199">
        <v>5760</v>
      </c>
      <c r="U135" s="199"/>
      <c r="V135" s="199"/>
      <c r="W135" s="199">
        <f t="shared" si="5"/>
        <v>5760</v>
      </c>
      <c r="X135" s="196" t="s">
        <v>1155</v>
      </c>
      <c r="Y135" s="199"/>
      <c r="Z135" s="200">
        <v>5760</v>
      </c>
      <c r="AA135" s="200"/>
      <c r="AB135" s="200">
        <f t="shared" si="6"/>
        <v>5760</v>
      </c>
      <c r="AC135" s="196" t="s">
        <v>819</v>
      </c>
      <c r="AD135" s="196" t="s">
        <v>59</v>
      </c>
      <c r="AE135" s="197">
        <v>41282</v>
      </c>
      <c r="AF135" s="197"/>
      <c r="AG135" s="197"/>
      <c r="AH135" s="199"/>
      <c r="AI135" s="196"/>
      <c r="AJ135" s="196"/>
      <c r="AK135" s="196" t="s">
        <v>1184</v>
      </c>
    </row>
    <row r="136" spans="1:37" s="201" customFormat="1">
      <c r="A136" s="196" t="s">
        <v>820</v>
      </c>
      <c r="B136" s="196" t="s">
        <v>3083</v>
      </c>
      <c r="C136" s="196"/>
      <c r="D136" s="196"/>
      <c r="E136" s="197"/>
      <c r="F136" s="196"/>
      <c r="G136" s="196"/>
      <c r="H136" s="196"/>
      <c r="I136" s="196"/>
      <c r="J136" s="196"/>
      <c r="K136" s="196"/>
      <c r="L136" s="196"/>
      <c r="M136" s="198"/>
      <c r="N136" s="196"/>
      <c r="O136" s="199"/>
      <c r="P136" s="196"/>
      <c r="Q136" s="199"/>
      <c r="R136" s="199"/>
      <c r="S136" s="199"/>
      <c r="T136" s="199"/>
      <c r="U136" s="199"/>
      <c r="V136" s="199"/>
      <c r="W136" s="199">
        <f t="shared" si="5"/>
        <v>0</v>
      </c>
      <c r="X136" s="196"/>
      <c r="Y136" s="199"/>
      <c r="Z136" s="200"/>
      <c r="AA136" s="200"/>
      <c r="AB136" s="200">
        <f t="shared" si="6"/>
        <v>0</v>
      </c>
      <c r="AC136" s="196"/>
      <c r="AD136" s="196"/>
      <c r="AE136" s="197"/>
      <c r="AF136" s="197"/>
      <c r="AG136" s="197"/>
      <c r="AH136" s="199"/>
      <c r="AI136" s="196"/>
      <c r="AJ136" s="196"/>
      <c r="AK136" s="196"/>
    </row>
    <row r="137" spans="1:37" s="201" customFormat="1">
      <c r="A137" s="196" t="s">
        <v>820</v>
      </c>
      <c r="B137" s="196" t="s">
        <v>3083</v>
      </c>
      <c r="C137" s="196"/>
      <c r="D137" s="196" t="s">
        <v>2668</v>
      </c>
      <c r="E137" s="197"/>
      <c r="F137" s="196" t="s">
        <v>58</v>
      </c>
      <c r="G137" s="196" t="s">
        <v>2669</v>
      </c>
      <c r="H137" s="196" t="s">
        <v>2670</v>
      </c>
      <c r="I137" s="196"/>
      <c r="J137" s="196" t="s">
        <v>2671</v>
      </c>
      <c r="K137" s="196" t="s">
        <v>4</v>
      </c>
      <c r="L137" s="196" t="s">
        <v>1151</v>
      </c>
      <c r="M137" s="198" t="s">
        <v>2268</v>
      </c>
      <c r="N137" s="196" t="s">
        <v>2672</v>
      </c>
      <c r="O137" s="199">
        <v>1138.96</v>
      </c>
      <c r="P137" s="196" t="s">
        <v>1172</v>
      </c>
      <c r="Q137" s="199">
        <v>2014.82</v>
      </c>
      <c r="R137" s="199"/>
      <c r="S137" s="199"/>
      <c r="T137" s="199"/>
      <c r="U137" s="199"/>
      <c r="V137" s="199"/>
      <c r="W137" s="199">
        <f t="shared" si="5"/>
        <v>2014.82</v>
      </c>
      <c r="X137" s="196" t="s">
        <v>1155</v>
      </c>
      <c r="Y137" s="199"/>
      <c r="Z137" s="200">
        <v>1008</v>
      </c>
      <c r="AA137" s="200">
        <v>127</v>
      </c>
      <c r="AB137" s="200">
        <f t="shared" si="6"/>
        <v>1135</v>
      </c>
      <c r="AC137" s="196" t="s">
        <v>821</v>
      </c>
      <c r="AD137" s="196" t="s">
        <v>61</v>
      </c>
      <c r="AE137" s="197">
        <v>41298</v>
      </c>
      <c r="AF137" s="197"/>
      <c r="AG137" s="197"/>
      <c r="AH137" s="199"/>
      <c r="AI137" s="196"/>
      <c r="AJ137" s="196" t="s">
        <v>2673</v>
      </c>
      <c r="AK137" s="196" t="s">
        <v>2674</v>
      </c>
    </row>
    <row r="138" spans="1:37" s="201" customFormat="1">
      <c r="A138" s="196" t="s">
        <v>820</v>
      </c>
      <c r="B138" s="196" t="s">
        <v>3083</v>
      </c>
      <c r="C138" s="196"/>
      <c r="D138" s="196" t="s">
        <v>2675</v>
      </c>
      <c r="E138" s="197"/>
      <c r="F138" s="196" t="s">
        <v>58</v>
      </c>
      <c r="G138" s="196" t="s">
        <v>2669</v>
      </c>
      <c r="H138" s="196" t="s">
        <v>2670</v>
      </c>
      <c r="I138" s="196"/>
      <c r="J138" s="196" t="s">
        <v>2671</v>
      </c>
      <c r="K138" s="196" t="s">
        <v>4</v>
      </c>
      <c r="L138" s="196" t="s">
        <v>1160</v>
      </c>
      <c r="M138" s="198" t="s">
        <v>2268</v>
      </c>
      <c r="N138" s="196" t="s">
        <v>2672</v>
      </c>
      <c r="O138" s="199">
        <v>1138.96</v>
      </c>
      <c r="P138" s="196" t="s">
        <v>1172</v>
      </c>
      <c r="Q138" s="199">
        <v>2192.19</v>
      </c>
      <c r="R138" s="199"/>
      <c r="S138" s="199"/>
      <c r="T138" s="199"/>
      <c r="U138" s="199"/>
      <c r="V138" s="199"/>
      <c r="W138" s="199">
        <f t="shared" si="5"/>
        <v>2192.19</v>
      </c>
      <c r="X138" s="196" t="s">
        <v>1155</v>
      </c>
      <c r="Y138" s="199"/>
      <c r="Z138" s="200">
        <v>1097</v>
      </c>
      <c r="AA138" s="200">
        <v>127</v>
      </c>
      <c r="AB138" s="200">
        <f t="shared" si="6"/>
        <v>1224</v>
      </c>
      <c r="AC138" s="196" t="s">
        <v>822</v>
      </c>
      <c r="AD138" s="196" t="s">
        <v>59</v>
      </c>
      <c r="AE138" s="197">
        <v>41908</v>
      </c>
      <c r="AF138" s="197"/>
      <c r="AG138" s="197"/>
      <c r="AH138" s="199"/>
      <c r="AI138" s="196"/>
      <c r="AJ138" s="196" t="s">
        <v>2676</v>
      </c>
      <c r="AK138" s="196" t="s">
        <v>2674</v>
      </c>
    </row>
    <row r="139" spans="1:37" s="201" customFormat="1">
      <c r="A139" s="196" t="s">
        <v>823</v>
      </c>
      <c r="B139" s="196" t="s">
        <v>3083</v>
      </c>
      <c r="C139" s="196"/>
      <c r="D139" s="196" t="s">
        <v>2677</v>
      </c>
      <c r="E139" s="197"/>
      <c r="F139" s="196" t="s">
        <v>58</v>
      </c>
      <c r="G139" s="196" t="s">
        <v>2678</v>
      </c>
      <c r="H139" s="196" t="s">
        <v>2670</v>
      </c>
      <c r="I139" s="196" t="s">
        <v>2679</v>
      </c>
      <c r="J139" s="196" t="s">
        <v>2680</v>
      </c>
      <c r="K139" s="196" t="s">
        <v>4</v>
      </c>
      <c r="L139" s="196" t="s">
        <v>1151</v>
      </c>
      <c r="M139" s="198" t="s">
        <v>2444</v>
      </c>
      <c r="N139" s="196" t="s">
        <v>2681</v>
      </c>
      <c r="O139" s="199">
        <v>1000</v>
      </c>
      <c r="P139" s="196" t="s">
        <v>1172</v>
      </c>
      <c r="Q139" s="199">
        <v>1000</v>
      </c>
      <c r="R139" s="199"/>
      <c r="S139" s="199"/>
      <c r="T139" s="199"/>
      <c r="U139" s="199"/>
      <c r="V139" s="199"/>
      <c r="W139" s="199">
        <f t="shared" si="5"/>
        <v>1000</v>
      </c>
      <c r="X139" s="196" t="s">
        <v>1155</v>
      </c>
      <c r="Y139" s="199"/>
      <c r="Z139" s="200">
        <v>500</v>
      </c>
      <c r="AA139" s="200">
        <v>112</v>
      </c>
      <c r="AB139" s="200">
        <f t="shared" si="6"/>
        <v>612</v>
      </c>
      <c r="AC139" s="195" t="s">
        <v>824</v>
      </c>
      <c r="AD139" s="196" t="s">
        <v>59</v>
      </c>
      <c r="AE139" s="197">
        <v>41298</v>
      </c>
      <c r="AF139" s="197"/>
      <c r="AG139" s="197"/>
      <c r="AH139" s="199"/>
      <c r="AI139" s="196"/>
      <c r="AJ139" s="196"/>
      <c r="AK139" s="196" t="s">
        <v>2674</v>
      </c>
    </row>
    <row r="140" spans="1:37" s="201" customFormat="1">
      <c r="A140" s="196" t="s">
        <v>825</v>
      </c>
      <c r="B140" s="196" t="s">
        <v>3083</v>
      </c>
      <c r="C140" s="196"/>
      <c r="D140" s="196" t="s">
        <v>2682</v>
      </c>
      <c r="E140" s="197"/>
      <c r="F140" s="196" t="s">
        <v>58</v>
      </c>
      <c r="G140" s="196" t="s">
        <v>2683</v>
      </c>
      <c r="H140" s="196" t="s">
        <v>2684</v>
      </c>
      <c r="I140" s="196"/>
      <c r="J140" s="196" t="s">
        <v>2685</v>
      </c>
      <c r="K140" s="196" t="s">
        <v>40</v>
      </c>
      <c r="L140" s="196" t="s">
        <v>1151</v>
      </c>
      <c r="M140" s="198" t="s">
        <v>2686</v>
      </c>
      <c r="N140" s="196" t="s">
        <v>2687</v>
      </c>
      <c r="O140" s="199">
        <v>1934.66</v>
      </c>
      <c r="P140" s="196" t="s">
        <v>1161</v>
      </c>
      <c r="Q140" s="199"/>
      <c r="R140" s="199"/>
      <c r="S140" s="199"/>
      <c r="T140" s="199">
        <v>3849.97</v>
      </c>
      <c r="U140" s="199"/>
      <c r="V140" s="199"/>
      <c r="W140" s="199">
        <f t="shared" si="5"/>
        <v>3849.97</v>
      </c>
      <c r="X140" s="196" t="s">
        <v>1155</v>
      </c>
      <c r="Y140" s="199"/>
      <c r="Z140" s="200">
        <v>3850</v>
      </c>
      <c r="AA140" s="200">
        <v>0</v>
      </c>
      <c r="AB140" s="200">
        <f t="shared" si="6"/>
        <v>3850</v>
      </c>
      <c r="AC140" s="196" t="s">
        <v>826</v>
      </c>
      <c r="AD140" s="196" t="s">
        <v>61</v>
      </c>
      <c r="AE140" s="197">
        <v>41511</v>
      </c>
      <c r="AF140" s="197"/>
      <c r="AG140" s="197"/>
      <c r="AH140" s="199"/>
      <c r="AI140" s="196"/>
      <c r="AJ140" s="196" t="s">
        <v>2688</v>
      </c>
      <c r="AK140" s="196" t="s">
        <v>2674</v>
      </c>
    </row>
    <row r="141" spans="1:37" s="201" customFormat="1">
      <c r="A141" s="196" t="s">
        <v>825</v>
      </c>
      <c r="B141" s="196" t="s">
        <v>3083</v>
      </c>
      <c r="C141" s="196"/>
      <c r="D141" s="196" t="s">
        <v>2689</v>
      </c>
      <c r="E141" s="197"/>
      <c r="F141" s="196" t="s">
        <v>58</v>
      </c>
      <c r="G141" s="196" t="s">
        <v>2683</v>
      </c>
      <c r="H141" s="196" t="s">
        <v>2684</v>
      </c>
      <c r="I141" s="196"/>
      <c r="J141" s="196" t="s">
        <v>2685</v>
      </c>
      <c r="K141" s="196" t="s">
        <v>40</v>
      </c>
      <c r="L141" s="196" t="s">
        <v>1160</v>
      </c>
      <c r="M141" s="198" t="s">
        <v>2686</v>
      </c>
      <c r="N141" s="196" t="s">
        <v>2687</v>
      </c>
      <c r="O141" s="199">
        <v>1934.66</v>
      </c>
      <c r="P141" s="196" t="s">
        <v>1161</v>
      </c>
      <c r="Q141" s="199"/>
      <c r="R141" s="199"/>
      <c r="S141" s="199"/>
      <c r="T141" s="199">
        <v>3849.97</v>
      </c>
      <c r="U141" s="199"/>
      <c r="V141" s="199"/>
      <c r="W141" s="199">
        <f t="shared" si="5"/>
        <v>3849.97</v>
      </c>
      <c r="X141" s="196" t="s">
        <v>1155</v>
      </c>
      <c r="Y141" s="199"/>
      <c r="Z141" s="200">
        <v>3850</v>
      </c>
      <c r="AA141" s="200">
        <v>326</v>
      </c>
      <c r="AB141" s="200">
        <f t="shared" si="6"/>
        <v>4176</v>
      </c>
      <c r="AC141" s="196" t="s">
        <v>827</v>
      </c>
      <c r="AD141" s="196" t="s">
        <v>59</v>
      </c>
      <c r="AE141" s="197">
        <v>43024</v>
      </c>
      <c r="AF141" s="197"/>
      <c r="AG141" s="197"/>
      <c r="AH141" s="199"/>
      <c r="AI141" s="196"/>
      <c r="AJ141" s="196" t="s">
        <v>2690</v>
      </c>
      <c r="AK141" s="196" t="s">
        <v>2674</v>
      </c>
    </row>
    <row r="142" spans="1:37" s="201" customFormat="1">
      <c r="A142" s="196" t="s">
        <v>828</v>
      </c>
      <c r="B142" s="196" t="s">
        <v>3083</v>
      </c>
      <c r="C142" s="196"/>
      <c r="D142" s="196" t="s">
        <v>2691</v>
      </c>
      <c r="E142" s="197"/>
      <c r="F142" s="196" t="s">
        <v>58</v>
      </c>
      <c r="G142" s="196" t="s">
        <v>2692</v>
      </c>
      <c r="H142" s="196" t="s">
        <v>2693</v>
      </c>
      <c r="I142" s="196" t="s">
        <v>2694</v>
      </c>
      <c r="J142" s="196" t="s">
        <v>2695</v>
      </c>
      <c r="K142" s="196" t="s">
        <v>3</v>
      </c>
      <c r="L142" s="196" t="s">
        <v>1151</v>
      </c>
      <c r="M142" s="198" t="s">
        <v>2696</v>
      </c>
      <c r="N142" s="196" t="s">
        <v>2697</v>
      </c>
      <c r="O142" s="199">
        <v>1307</v>
      </c>
      <c r="P142" s="196" t="s">
        <v>1172</v>
      </c>
      <c r="Q142" s="199"/>
      <c r="R142" s="199"/>
      <c r="S142" s="199"/>
      <c r="T142" s="199"/>
      <c r="U142" s="199"/>
      <c r="V142" s="199"/>
      <c r="W142" s="199">
        <f t="shared" si="5"/>
        <v>0</v>
      </c>
      <c r="X142" s="196" t="s">
        <v>1155</v>
      </c>
      <c r="Y142" s="199"/>
      <c r="Z142" s="200">
        <v>0</v>
      </c>
      <c r="AA142" s="200">
        <v>671</v>
      </c>
      <c r="AB142" s="200">
        <f t="shared" si="6"/>
        <v>671</v>
      </c>
      <c r="AC142" s="196" t="s">
        <v>829</v>
      </c>
      <c r="AD142" s="196" t="s">
        <v>59</v>
      </c>
      <c r="AE142" s="197">
        <v>41458</v>
      </c>
      <c r="AF142" s="197"/>
      <c r="AG142" s="197"/>
      <c r="AH142" s="199"/>
      <c r="AI142" s="196"/>
      <c r="AJ142" s="196" t="s">
        <v>2698</v>
      </c>
      <c r="AK142" s="196" t="s">
        <v>2674</v>
      </c>
    </row>
    <row r="143" spans="1:37" s="201" customFormat="1">
      <c r="A143" s="196" t="s">
        <v>828</v>
      </c>
      <c r="B143" s="196" t="s">
        <v>3083</v>
      </c>
      <c r="C143" s="196"/>
      <c r="D143" s="196" t="s">
        <v>2699</v>
      </c>
      <c r="E143" s="197"/>
      <c r="F143" s="196" t="s">
        <v>58</v>
      </c>
      <c r="G143" s="196" t="s">
        <v>2232</v>
      </c>
      <c r="H143" s="196" t="s">
        <v>2233</v>
      </c>
      <c r="I143" s="196"/>
      <c r="J143" s="196" t="s">
        <v>2700</v>
      </c>
      <c r="K143" s="196" t="s">
        <v>3</v>
      </c>
      <c r="L143" s="196" t="s">
        <v>1151</v>
      </c>
      <c r="M143" s="198" t="s">
        <v>2696</v>
      </c>
      <c r="N143" s="196" t="s">
        <v>2697</v>
      </c>
      <c r="O143" s="199">
        <v>1307</v>
      </c>
      <c r="P143" s="196" t="s">
        <v>1172</v>
      </c>
      <c r="Q143" s="199">
        <v>3921</v>
      </c>
      <c r="R143" s="199"/>
      <c r="S143" s="199"/>
      <c r="T143" s="199"/>
      <c r="U143" s="199"/>
      <c r="V143" s="199"/>
      <c r="W143" s="199">
        <f t="shared" si="5"/>
        <v>3921</v>
      </c>
      <c r="X143" s="196" t="s">
        <v>1155</v>
      </c>
      <c r="Y143" s="199"/>
      <c r="Z143" s="200">
        <v>1401</v>
      </c>
      <c r="AA143" s="200">
        <v>0</v>
      </c>
      <c r="AB143" s="200">
        <f t="shared" si="6"/>
        <v>1401</v>
      </c>
      <c r="AC143" s="196" t="s">
        <v>830</v>
      </c>
      <c r="AD143" s="196" t="s">
        <v>59</v>
      </c>
      <c r="AE143" s="197">
        <v>42117</v>
      </c>
      <c r="AF143" s="197"/>
      <c r="AG143" s="197"/>
      <c r="AH143" s="199"/>
      <c r="AI143" s="196"/>
      <c r="AJ143" s="196" t="s">
        <v>2701</v>
      </c>
      <c r="AK143" s="196" t="s">
        <v>2674</v>
      </c>
    </row>
    <row r="144" spans="1:37" s="201" customFormat="1">
      <c r="A144" s="196" t="s">
        <v>831</v>
      </c>
      <c r="B144" s="196" t="s">
        <v>3083</v>
      </c>
      <c r="C144" s="196"/>
      <c r="D144" s="196" t="s">
        <v>2702</v>
      </c>
      <c r="E144" s="197"/>
      <c r="F144" s="196" t="s">
        <v>58</v>
      </c>
      <c r="G144" s="196" t="s">
        <v>2703</v>
      </c>
      <c r="H144" s="196" t="s">
        <v>2704</v>
      </c>
      <c r="I144" s="196"/>
      <c r="J144" s="196" t="s">
        <v>2705</v>
      </c>
      <c r="K144" s="196" t="s">
        <v>3</v>
      </c>
      <c r="L144" s="196" t="s">
        <v>1151</v>
      </c>
      <c r="M144" s="198" t="s">
        <v>2706</v>
      </c>
      <c r="N144" s="196" t="s">
        <v>2707</v>
      </c>
      <c r="O144" s="199">
        <v>2792</v>
      </c>
      <c r="P144" s="196" t="s">
        <v>1172</v>
      </c>
      <c r="Q144" s="199">
        <v>8269.6200000000008</v>
      </c>
      <c r="R144" s="199"/>
      <c r="S144" s="199"/>
      <c r="T144" s="199"/>
      <c r="U144" s="199"/>
      <c r="V144" s="199"/>
      <c r="W144" s="199">
        <f t="shared" si="5"/>
        <v>8269.6200000000008</v>
      </c>
      <c r="X144" s="196" t="s">
        <v>1155</v>
      </c>
      <c r="Y144" s="199"/>
      <c r="Z144" s="200">
        <v>2754</v>
      </c>
      <c r="AA144" s="200">
        <v>1396</v>
      </c>
      <c r="AB144" s="200">
        <f t="shared" si="6"/>
        <v>4150</v>
      </c>
      <c r="AC144" s="196" t="s">
        <v>832</v>
      </c>
      <c r="AD144" s="196" t="s">
        <v>59</v>
      </c>
      <c r="AE144" s="197">
        <v>41765</v>
      </c>
      <c r="AF144" s="197"/>
      <c r="AG144" s="197"/>
      <c r="AH144" s="199"/>
      <c r="AI144" s="196"/>
      <c r="AJ144" s="196"/>
      <c r="AK144" s="196" t="s">
        <v>2674</v>
      </c>
    </row>
    <row r="145" spans="1:37" s="201" customFormat="1">
      <c r="A145" s="196" t="s">
        <v>833</v>
      </c>
      <c r="B145" s="196" t="s">
        <v>3083</v>
      </c>
      <c r="C145" s="196"/>
      <c r="D145" s="196" t="s">
        <v>2708</v>
      </c>
      <c r="E145" s="197"/>
      <c r="F145" s="196" t="s">
        <v>58</v>
      </c>
      <c r="G145" s="196" t="s">
        <v>2709</v>
      </c>
      <c r="H145" s="196" t="s">
        <v>2710</v>
      </c>
      <c r="I145" s="196"/>
      <c r="J145" s="196" t="s">
        <v>2711</v>
      </c>
      <c r="K145" s="196" t="s">
        <v>40</v>
      </c>
      <c r="L145" s="196" t="s">
        <v>1151</v>
      </c>
      <c r="M145" s="198" t="s">
        <v>2712</v>
      </c>
      <c r="N145" s="196" t="s">
        <v>2713</v>
      </c>
      <c r="O145" s="199">
        <v>2924.5</v>
      </c>
      <c r="P145" s="196" t="s">
        <v>1172</v>
      </c>
      <c r="Q145" s="199">
        <v>5849</v>
      </c>
      <c r="R145" s="199"/>
      <c r="S145" s="199"/>
      <c r="T145" s="199"/>
      <c r="U145" s="199"/>
      <c r="V145" s="199"/>
      <c r="W145" s="199">
        <f t="shared" si="5"/>
        <v>5849</v>
      </c>
      <c r="X145" s="196" t="s">
        <v>1155</v>
      </c>
      <c r="Y145" s="199"/>
      <c r="Z145" s="200">
        <v>2106</v>
      </c>
      <c r="AA145" s="200">
        <v>0</v>
      </c>
      <c r="AB145" s="200">
        <f t="shared" si="6"/>
        <v>2106</v>
      </c>
      <c r="AC145" s="196" t="s">
        <v>834</v>
      </c>
      <c r="AD145" s="196" t="s">
        <v>61</v>
      </c>
      <c r="AE145" s="197">
        <v>41766</v>
      </c>
      <c r="AF145" s="197"/>
      <c r="AG145" s="197"/>
      <c r="AH145" s="199"/>
      <c r="AI145" s="196"/>
      <c r="AJ145" s="196" t="s">
        <v>2714</v>
      </c>
      <c r="AK145" s="196" t="s">
        <v>2715</v>
      </c>
    </row>
    <row r="146" spans="1:37" s="201" customFormat="1">
      <c r="A146" s="196" t="s">
        <v>833</v>
      </c>
      <c r="B146" s="196" t="s">
        <v>3083</v>
      </c>
      <c r="C146" s="196"/>
      <c r="D146" s="196" t="s">
        <v>2708</v>
      </c>
      <c r="E146" s="197"/>
      <c r="F146" s="196" t="s">
        <v>58</v>
      </c>
      <c r="G146" s="196" t="s">
        <v>2709</v>
      </c>
      <c r="H146" s="196" t="s">
        <v>2710</v>
      </c>
      <c r="I146" s="196"/>
      <c r="J146" s="196" t="s">
        <v>2711</v>
      </c>
      <c r="K146" s="196" t="s">
        <v>40</v>
      </c>
      <c r="L146" s="196" t="s">
        <v>1160</v>
      </c>
      <c r="M146" s="198" t="s">
        <v>2712</v>
      </c>
      <c r="N146" s="196" t="s">
        <v>2713</v>
      </c>
      <c r="O146" s="199">
        <v>2924.5</v>
      </c>
      <c r="P146" s="196" t="s">
        <v>1154</v>
      </c>
      <c r="Q146" s="199">
        <v>5485</v>
      </c>
      <c r="R146" s="199"/>
      <c r="S146" s="199"/>
      <c r="T146" s="199">
        <v>167.44</v>
      </c>
      <c r="U146" s="199"/>
      <c r="V146" s="199"/>
      <c r="W146" s="199">
        <f t="shared" si="5"/>
        <v>5652.44</v>
      </c>
      <c r="X146" s="196" t="s">
        <v>1155</v>
      </c>
      <c r="Y146" s="199"/>
      <c r="Z146" s="200">
        <v>2106</v>
      </c>
      <c r="AA146" s="200">
        <v>0</v>
      </c>
      <c r="AB146" s="200">
        <f t="shared" si="6"/>
        <v>2106</v>
      </c>
      <c r="AC146" s="196" t="s">
        <v>835</v>
      </c>
      <c r="AD146" s="196" t="s">
        <v>59</v>
      </c>
      <c r="AE146" s="197">
        <v>41913</v>
      </c>
      <c r="AF146" s="197"/>
      <c r="AG146" s="197"/>
      <c r="AH146" s="199"/>
      <c r="AI146" s="196"/>
      <c r="AJ146" s="196" t="s">
        <v>2716</v>
      </c>
      <c r="AK146" s="196" t="s">
        <v>2715</v>
      </c>
    </row>
    <row r="147" spans="1:37" s="201" customFormat="1">
      <c r="A147" s="196" t="s">
        <v>836</v>
      </c>
      <c r="B147" s="196" t="s">
        <v>3083</v>
      </c>
      <c r="C147" s="196"/>
      <c r="D147" s="196" t="s">
        <v>2717</v>
      </c>
      <c r="E147" s="197"/>
      <c r="F147" s="196" t="s">
        <v>58</v>
      </c>
      <c r="G147" s="196" t="s">
        <v>2718</v>
      </c>
      <c r="H147" s="196" t="s">
        <v>2719</v>
      </c>
      <c r="I147" s="196"/>
      <c r="J147" s="196" t="s">
        <v>2720</v>
      </c>
      <c r="K147" s="196" t="s">
        <v>4</v>
      </c>
      <c r="L147" s="196" t="s">
        <v>1151</v>
      </c>
      <c r="M147" s="198" t="s">
        <v>2659</v>
      </c>
      <c r="N147" s="196" t="s">
        <v>2721</v>
      </c>
      <c r="O147" s="199">
        <v>6068.26</v>
      </c>
      <c r="P147" s="196" t="s">
        <v>1172</v>
      </c>
      <c r="Q147" s="199">
        <v>12136.52</v>
      </c>
      <c r="R147" s="199"/>
      <c r="S147" s="199"/>
      <c r="T147" s="199"/>
      <c r="U147" s="199"/>
      <c r="V147" s="199"/>
      <c r="W147" s="199">
        <f t="shared" si="5"/>
        <v>12136.52</v>
      </c>
      <c r="X147" s="196" t="s">
        <v>1155</v>
      </c>
      <c r="Y147" s="199"/>
      <c r="Z147" s="200">
        <v>5725</v>
      </c>
      <c r="AA147" s="200"/>
      <c r="AB147" s="200">
        <f t="shared" si="6"/>
        <v>5725</v>
      </c>
      <c r="AC147" s="196" t="s">
        <v>837</v>
      </c>
      <c r="AD147" s="196" t="s">
        <v>59</v>
      </c>
      <c r="AE147" s="197">
        <v>41855</v>
      </c>
      <c r="AF147" s="197"/>
      <c r="AG147" s="197"/>
      <c r="AH147" s="199"/>
      <c r="AI147" s="196"/>
      <c r="AJ147" s="196"/>
      <c r="AK147" s="196" t="s">
        <v>2715</v>
      </c>
    </row>
    <row r="148" spans="1:37" s="201" customFormat="1">
      <c r="A148" s="196" t="s">
        <v>838</v>
      </c>
      <c r="B148" s="196" t="s">
        <v>3083</v>
      </c>
      <c r="C148" s="196"/>
      <c r="D148" s="196" t="s">
        <v>2722</v>
      </c>
      <c r="E148" s="197">
        <v>42831</v>
      </c>
      <c r="F148" s="196" t="s">
        <v>58</v>
      </c>
      <c r="G148" s="196" t="s">
        <v>2723</v>
      </c>
      <c r="H148" s="196" t="s">
        <v>2724</v>
      </c>
      <c r="I148" s="196"/>
      <c r="J148" s="226" t="s">
        <v>2725</v>
      </c>
      <c r="K148" s="196" t="s">
        <v>3</v>
      </c>
      <c r="L148" s="196" t="s">
        <v>1160</v>
      </c>
      <c r="M148" s="198" t="s">
        <v>2726</v>
      </c>
      <c r="N148" s="196" t="s">
        <v>2727</v>
      </c>
      <c r="O148" s="199">
        <v>1600</v>
      </c>
      <c r="P148" s="196" t="s">
        <v>1172</v>
      </c>
      <c r="Q148" s="199">
        <v>4790.46</v>
      </c>
      <c r="R148" s="199"/>
      <c r="S148" s="199"/>
      <c r="T148" s="199"/>
      <c r="U148" s="199"/>
      <c r="V148" s="199"/>
      <c r="W148" s="199">
        <f t="shared" si="5"/>
        <v>4790.46</v>
      </c>
      <c r="X148" s="196" t="s">
        <v>1155</v>
      </c>
      <c r="Y148" s="199"/>
      <c r="Z148" s="200">
        <v>1711</v>
      </c>
      <c r="AA148" s="200">
        <v>139</v>
      </c>
      <c r="AB148" s="200">
        <f t="shared" si="6"/>
        <v>1850</v>
      </c>
      <c r="AC148" s="196" t="s">
        <v>840</v>
      </c>
      <c r="AD148" s="196" t="s">
        <v>59</v>
      </c>
      <c r="AE148" s="197">
        <v>42936</v>
      </c>
      <c r="AF148" s="197"/>
      <c r="AG148" s="197"/>
      <c r="AH148" s="199"/>
      <c r="AI148" s="196"/>
      <c r="AJ148" s="196" t="s">
        <v>2728</v>
      </c>
      <c r="AK148" s="196" t="s">
        <v>1157</v>
      </c>
    </row>
    <row r="149" spans="1:37" s="201" customFormat="1">
      <c r="A149" s="196" t="s">
        <v>838</v>
      </c>
      <c r="B149" s="196" t="s">
        <v>3083</v>
      </c>
      <c r="C149" s="196"/>
      <c r="D149" s="196" t="s">
        <v>2729</v>
      </c>
      <c r="E149" s="197">
        <v>41928</v>
      </c>
      <c r="F149" s="196" t="s">
        <v>58</v>
      </c>
      <c r="G149" s="196" t="s">
        <v>2723</v>
      </c>
      <c r="H149" s="196" t="s">
        <v>2724</v>
      </c>
      <c r="I149" s="196"/>
      <c r="J149" s="226" t="s">
        <v>2725</v>
      </c>
      <c r="K149" s="196" t="s">
        <v>3</v>
      </c>
      <c r="L149" s="196" t="s">
        <v>1151</v>
      </c>
      <c r="M149" s="198" t="s">
        <v>2726</v>
      </c>
      <c r="N149" s="196" t="s">
        <v>2727</v>
      </c>
      <c r="O149" s="199">
        <v>1600</v>
      </c>
      <c r="P149" s="196"/>
      <c r="Q149" s="199"/>
      <c r="R149" s="199"/>
      <c r="S149" s="199"/>
      <c r="T149" s="199"/>
      <c r="U149" s="199"/>
      <c r="V149" s="199"/>
      <c r="W149" s="199">
        <f t="shared" si="5"/>
        <v>0</v>
      </c>
      <c r="X149" s="196" t="s">
        <v>1155</v>
      </c>
      <c r="Y149" s="199"/>
      <c r="Z149" s="200"/>
      <c r="AA149" s="200">
        <v>140</v>
      </c>
      <c r="AB149" s="200">
        <f t="shared" si="6"/>
        <v>140</v>
      </c>
      <c r="AC149" s="196" t="s">
        <v>839</v>
      </c>
      <c r="AD149" s="196" t="s">
        <v>61</v>
      </c>
      <c r="AE149" s="197">
        <v>41971</v>
      </c>
      <c r="AF149" s="197"/>
      <c r="AG149" s="197"/>
      <c r="AH149" s="199"/>
      <c r="AI149" s="196"/>
      <c r="AJ149" s="196" t="s">
        <v>2730</v>
      </c>
      <c r="AK149" s="196" t="s">
        <v>1157</v>
      </c>
    </row>
    <row r="150" spans="1:37" s="201" customFormat="1" ht="45">
      <c r="A150" s="196" t="s">
        <v>841</v>
      </c>
      <c r="B150" s="196" t="s">
        <v>3083</v>
      </c>
      <c r="C150" s="196"/>
      <c r="D150" s="196" t="s">
        <v>2731</v>
      </c>
      <c r="E150" s="197">
        <v>41936</v>
      </c>
      <c r="F150" s="196" t="s">
        <v>58</v>
      </c>
      <c r="G150" s="196" t="s">
        <v>2732</v>
      </c>
      <c r="H150" s="196" t="s">
        <v>2733</v>
      </c>
      <c r="I150" s="196"/>
      <c r="J150" s="206" t="s">
        <v>2734</v>
      </c>
      <c r="K150" s="196" t="s">
        <v>40</v>
      </c>
      <c r="L150" s="196" t="s">
        <v>1151</v>
      </c>
      <c r="M150" s="198" t="s">
        <v>2735</v>
      </c>
      <c r="N150" s="138" t="s">
        <v>2736</v>
      </c>
      <c r="O150" s="199">
        <v>3443.31</v>
      </c>
      <c r="P150" s="196" t="s">
        <v>1161</v>
      </c>
      <c r="Q150" s="199"/>
      <c r="R150" s="199"/>
      <c r="S150" s="199"/>
      <c r="T150" s="199">
        <v>4713.26</v>
      </c>
      <c r="U150" s="199"/>
      <c r="V150" s="199"/>
      <c r="W150" s="199">
        <f t="shared" si="5"/>
        <v>4713.26</v>
      </c>
      <c r="X150" s="196" t="s">
        <v>1155</v>
      </c>
      <c r="Y150" s="199"/>
      <c r="Z150" s="200">
        <v>2224</v>
      </c>
      <c r="AA150" s="200"/>
      <c r="AB150" s="200">
        <f t="shared" si="6"/>
        <v>2224</v>
      </c>
      <c r="AC150" s="196" t="s">
        <v>842</v>
      </c>
      <c r="AD150" s="196" t="s">
        <v>59</v>
      </c>
      <c r="AE150" s="197">
        <v>42494</v>
      </c>
      <c r="AF150" s="197"/>
      <c r="AG150" s="197"/>
      <c r="AH150" s="199"/>
      <c r="AI150" s="196"/>
      <c r="AJ150" s="196"/>
      <c r="AK150" s="196" t="s">
        <v>1157</v>
      </c>
    </row>
    <row r="151" spans="1:37" s="201" customFormat="1">
      <c r="A151" s="196" t="s">
        <v>843</v>
      </c>
      <c r="B151" s="196" t="s">
        <v>3083</v>
      </c>
      <c r="C151" s="196"/>
      <c r="D151" s="196" t="s">
        <v>2737</v>
      </c>
      <c r="E151" s="197">
        <v>42933</v>
      </c>
      <c r="F151" s="196" t="s">
        <v>58</v>
      </c>
      <c r="G151" s="196" t="s">
        <v>2738</v>
      </c>
      <c r="H151" s="196" t="s">
        <v>2739</v>
      </c>
      <c r="I151" s="196"/>
      <c r="J151" s="205" t="s">
        <v>2740</v>
      </c>
      <c r="K151" s="196" t="s">
        <v>3</v>
      </c>
      <c r="L151" s="196" t="s">
        <v>1160</v>
      </c>
      <c r="M151" s="198" t="s">
        <v>2496</v>
      </c>
      <c r="N151" s="196" t="s">
        <v>2741</v>
      </c>
      <c r="O151" s="199">
        <v>3395</v>
      </c>
      <c r="P151" s="196" t="s">
        <v>1172</v>
      </c>
      <c r="Q151" s="199">
        <v>5694.4</v>
      </c>
      <c r="R151" s="199"/>
      <c r="S151" s="199"/>
      <c r="T151" s="199"/>
      <c r="U151" s="199"/>
      <c r="V151" s="199"/>
      <c r="W151" s="199">
        <f t="shared" si="5"/>
        <v>5694.4</v>
      </c>
      <c r="X151" s="196" t="s">
        <v>1155</v>
      </c>
      <c r="Y151" s="199"/>
      <c r="Z151" s="200">
        <v>1747</v>
      </c>
      <c r="AA151" s="200"/>
      <c r="AB151" s="200">
        <f t="shared" si="6"/>
        <v>1747</v>
      </c>
      <c r="AC151" s="196" t="s">
        <v>845</v>
      </c>
      <c r="AD151" s="196" t="s">
        <v>59</v>
      </c>
      <c r="AE151" s="197">
        <v>43159</v>
      </c>
      <c r="AF151" s="197"/>
      <c r="AG151" s="197"/>
      <c r="AH151" s="199"/>
      <c r="AI151" s="196"/>
      <c r="AJ151" s="196" t="s">
        <v>2742</v>
      </c>
      <c r="AK151" s="196" t="s">
        <v>1157</v>
      </c>
    </row>
    <row r="152" spans="1:37" s="201" customFormat="1" ht="30">
      <c r="A152" s="196" t="s">
        <v>843</v>
      </c>
      <c r="B152" s="196" t="s">
        <v>3083</v>
      </c>
      <c r="C152" s="196"/>
      <c r="D152" s="196" t="s">
        <v>2743</v>
      </c>
      <c r="E152" s="197">
        <v>42019</v>
      </c>
      <c r="F152" s="196" t="s">
        <v>58</v>
      </c>
      <c r="G152" s="196" t="s">
        <v>2738</v>
      </c>
      <c r="H152" s="196" t="s">
        <v>2739</v>
      </c>
      <c r="I152" s="196"/>
      <c r="J152" s="205" t="s">
        <v>2744</v>
      </c>
      <c r="K152" s="196" t="s">
        <v>3</v>
      </c>
      <c r="L152" s="196" t="s">
        <v>1151</v>
      </c>
      <c r="M152" s="198" t="s">
        <v>2496</v>
      </c>
      <c r="N152" s="196" t="s">
        <v>2741</v>
      </c>
      <c r="O152" s="199">
        <v>3495.05</v>
      </c>
      <c r="P152" s="196" t="s">
        <v>1154</v>
      </c>
      <c r="Q152" s="199">
        <v>5920.32</v>
      </c>
      <c r="R152" s="199"/>
      <c r="S152" s="199"/>
      <c r="T152" s="199">
        <v>5962.5</v>
      </c>
      <c r="U152" s="199"/>
      <c r="V152" s="199"/>
      <c r="W152" s="199">
        <f t="shared" si="5"/>
        <v>11882.82</v>
      </c>
      <c r="X152" s="196" t="s">
        <v>1155</v>
      </c>
      <c r="Y152" s="199"/>
      <c r="Z152" s="200">
        <v>1819</v>
      </c>
      <c r="AA152" s="200"/>
      <c r="AB152" s="200">
        <f t="shared" si="6"/>
        <v>1819</v>
      </c>
      <c r="AC152" s="196" t="s">
        <v>844</v>
      </c>
      <c r="AD152" s="196" t="s">
        <v>61</v>
      </c>
      <c r="AE152" s="197">
        <v>42108</v>
      </c>
      <c r="AF152" s="197"/>
      <c r="AG152" s="197"/>
      <c r="AH152" s="199"/>
      <c r="AI152" s="196"/>
      <c r="AJ152" s="138" t="s">
        <v>2745</v>
      </c>
      <c r="AK152" s="196" t="s">
        <v>1157</v>
      </c>
    </row>
    <row r="153" spans="1:37" s="201" customFormat="1" ht="45">
      <c r="A153" s="196" t="s">
        <v>846</v>
      </c>
      <c r="B153" s="196" t="s">
        <v>3083</v>
      </c>
      <c r="C153" s="196"/>
      <c r="D153" s="196" t="s">
        <v>1158</v>
      </c>
      <c r="E153" s="197">
        <v>42797</v>
      </c>
      <c r="F153" s="196" t="s">
        <v>58</v>
      </c>
      <c r="G153" s="196" t="s">
        <v>2746</v>
      </c>
      <c r="H153" s="196" t="s">
        <v>1149</v>
      </c>
      <c r="I153" s="196"/>
      <c r="J153" s="206" t="s">
        <v>1159</v>
      </c>
      <c r="K153" s="196" t="s">
        <v>2</v>
      </c>
      <c r="L153" s="196" t="s">
        <v>1160</v>
      </c>
      <c r="M153" s="198" t="s">
        <v>1152</v>
      </c>
      <c r="N153" s="196" t="s">
        <v>1153</v>
      </c>
      <c r="O153" s="199">
        <v>2657.45</v>
      </c>
      <c r="P153" s="196" t="s">
        <v>1154</v>
      </c>
      <c r="Q153" s="199">
        <v>7002.23</v>
      </c>
      <c r="R153" s="199"/>
      <c r="S153" s="199"/>
      <c r="T153" s="199">
        <v>3627.57</v>
      </c>
      <c r="U153" s="199"/>
      <c r="V153" s="199"/>
      <c r="W153" s="199">
        <f t="shared" si="5"/>
        <v>10629.8</v>
      </c>
      <c r="X153" s="196" t="s">
        <v>1155</v>
      </c>
      <c r="Y153" s="199"/>
      <c r="Z153" s="200">
        <v>5400</v>
      </c>
      <c r="AA153" s="200"/>
      <c r="AB153" s="200">
        <f t="shared" si="6"/>
        <v>5400</v>
      </c>
      <c r="AC153" s="196" t="s">
        <v>848</v>
      </c>
      <c r="AD153" s="196" t="s">
        <v>61</v>
      </c>
      <c r="AE153" s="197">
        <v>42832</v>
      </c>
      <c r="AF153" s="197"/>
      <c r="AG153" s="197"/>
      <c r="AH153" s="199"/>
      <c r="AI153" s="196"/>
      <c r="AJ153" s="138" t="s">
        <v>3086</v>
      </c>
      <c r="AK153" s="196" t="s">
        <v>1157</v>
      </c>
    </row>
    <row r="154" spans="1:37" s="201" customFormat="1" ht="30">
      <c r="A154" s="196" t="s">
        <v>846</v>
      </c>
      <c r="B154" s="196" t="s">
        <v>3083</v>
      </c>
      <c r="C154" s="196"/>
      <c r="D154" s="196" t="s">
        <v>1147</v>
      </c>
      <c r="E154" s="197">
        <v>41996</v>
      </c>
      <c r="F154" s="196" t="s">
        <v>58</v>
      </c>
      <c r="G154" s="196" t="s">
        <v>1148</v>
      </c>
      <c r="H154" s="196" t="s">
        <v>1149</v>
      </c>
      <c r="I154" s="196"/>
      <c r="J154" s="221" t="s">
        <v>1150</v>
      </c>
      <c r="K154" s="196" t="s">
        <v>2</v>
      </c>
      <c r="L154" s="196" t="s">
        <v>1151</v>
      </c>
      <c r="M154" s="198" t="s">
        <v>1152</v>
      </c>
      <c r="N154" s="196" t="s">
        <v>1153</v>
      </c>
      <c r="O154" s="199">
        <v>2657.45</v>
      </c>
      <c r="P154" s="196" t="s">
        <v>1154</v>
      </c>
      <c r="Q154" s="199">
        <v>7002.23</v>
      </c>
      <c r="R154" s="199"/>
      <c r="S154" s="199"/>
      <c r="T154" s="199">
        <v>3627.57</v>
      </c>
      <c r="U154" s="199"/>
      <c r="V154" s="199"/>
      <c r="W154" s="199">
        <f t="shared" si="5"/>
        <v>10629.8</v>
      </c>
      <c r="X154" s="196" t="s">
        <v>1155</v>
      </c>
      <c r="Y154" s="199"/>
      <c r="Z154" s="200">
        <v>5400</v>
      </c>
      <c r="AA154" s="200"/>
      <c r="AB154" s="200">
        <f t="shared" si="6"/>
        <v>5400</v>
      </c>
      <c r="AC154" s="196" t="s">
        <v>847</v>
      </c>
      <c r="AD154" s="196" t="s">
        <v>61</v>
      </c>
      <c r="AE154" s="197">
        <v>42135</v>
      </c>
      <c r="AF154" s="197"/>
      <c r="AG154" s="197"/>
      <c r="AH154" s="199"/>
      <c r="AI154" s="196"/>
      <c r="AJ154" s="196" t="s">
        <v>1156</v>
      </c>
      <c r="AK154" s="196" t="s">
        <v>1157</v>
      </c>
    </row>
    <row r="155" spans="1:37" s="201" customFormat="1">
      <c r="A155" s="196" t="s">
        <v>850</v>
      </c>
      <c r="B155" s="196" t="s">
        <v>3083</v>
      </c>
      <c r="C155" s="196"/>
      <c r="D155" s="196" t="s">
        <v>2747</v>
      </c>
      <c r="E155" s="197">
        <v>42046</v>
      </c>
      <c r="F155" s="196" t="s">
        <v>58</v>
      </c>
      <c r="G155" s="196" t="s">
        <v>2748</v>
      </c>
      <c r="H155" s="196" t="s">
        <v>2749</v>
      </c>
      <c r="I155" s="196"/>
      <c r="J155" s="205" t="s">
        <v>2750</v>
      </c>
      <c r="K155" s="196" t="s">
        <v>40</v>
      </c>
      <c r="L155" s="196" t="s">
        <v>1151</v>
      </c>
      <c r="M155" s="198" t="s">
        <v>2145</v>
      </c>
      <c r="N155" s="196" t="s">
        <v>2751</v>
      </c>
      <c r="O155" s="199">
        <v>1140</v>
      </c>
      <c r="P155" s="196" t="s">
        <v>1172</v>
      </c>
      <c r="Q155" s="199">
        <v>3420</v>
      </c>
      <c r="R155" s="199"/>
      <c r="S155" s="199"/>
      <c r="T155" s="199"/>
      <c r="U155" s="199"/>
      <c r="V155" s="199"/>
      <c r="W155" s="199">
        <f t="shared" si="5"/>
        <v>3420</v>
      </c>
      <c r="X155" s="196" t="s">
        <v>1155</v>
      </c>
      <c r="Y155" s="199"/>
      <c r="Z155" s="200">
        <v>1368</v>
      </c>
      <c r="AA155" s="200">
        <v>12</v>
      </c>
      <c r="AB155" s="200">
        <f t="shared" si="6"/>
        <v>1380</v>
      </c>
      <c r="AC155" s="196" t="s">
        <v>851</v>
      </c>
      <c r="AD155" s="196" t="s">
        <v>59</v>
      </c>
      <c r="AE155" s="197">
        <v>42086</v>
      </c>
      <c r="AF155" s="197"/>
      <c r="AG155" s="197"/>
      <c r="AH155" s="199"/>
      <c r="AI155" s="196"/>
      <c r="AJ155" s="138" t="s">
        <v>2752</v>
      </c>
      <c r="AK155" s="196" t="s">
        <v>1157</v>
      </c>
    </row>
    <row r="156" spans="1:37" s="201" customFormat="1">
      <c r="A156" s="196" t="s">
        <v>852</v>
      </c>
      <c r="B156" s="196" t="s">
        <v>3083</v>
      </c>
      <c r="C156" s="196"/>
      <c r="D156" s="196" t="s">
        <v>2753</v>
      </c>
      <c r="E156" s="197">
        <v>42199</v>
      </c>
      <c r="F156" s="196" t="s">
        <v>58</v>
      </c>
      <c r="G156" s="196" t="s">
        <v>2754</v>
      </c>
      <c r="H156" s="196" t="s">
        <v>2755</v>
      </c>
      <c r="I156" s="196"/>
      <c r="J156" s="205" t="s">
        <v>2756</v>
      </c>
      <c r="K156" s="196" t="s">
        <v>40</v>
      </c>
      <c r="L156" s="196" t="s">
        <v>1151</v>
      </c>
      <c r="M156" s="198" t="s">
        <v>2093</v>
      </c>
      <c r="N156" s="196" t="s">
        <v>2757</v>
      </c>
      <c r="O156" s="199">
        <v>2913.97</v>
      </c>
      <c r="P156" s="196" t="s">
        <v>1172</v>
      </c>
      <c r="Q156" s="199">
        <v>603.48</v>
      </c>
      <c r="R156" s="199"/>
      <c r="S156" s="199"/>
      <c r="T156" s="199"/>
      <c r="U156" s="199"/>
      <c r="V156" s="199"/>
      <c r="W156" s="199">
        <f t="shared" si="5"/>
        <v>603.48</v>
      </c>
      <c r="X156" s="196" t="s">
        <v>1155</v>
      </c>
      <c r="Y156" s="199"/>
      <c r="Z156" s="200">
        <v>9</v>
      </c>
      <c r="AA156" s="200"/>
      <c r="AB156" s="200">
        <f t="shared" si="6"/>
        <v>9</v>
      </c>
      <c r="AC156" s="196" t="s">
        <v>853</v>
      </c>
      <c r="AD156" s="196" t="s">
        <v>59</v>
      </c>
      <c r="AE156" s="197">
        <v>42285</v>
      </c>
      <c r="AF156" s="197"/>
      <c r="AG156" s="197"/>
      <c r="AH156" s="199"/>
      <c r="AI156" s="196"/>
      <c r="AJ156" s="196"/>
      <c r="AK156" s="196" t="s">
        <v>1157</v>
      </c>
    </row>
    <row r="157" spans="1:37" s="201" customFormat="1">
      <c r="A157" s="196" t="s">
        <v>854</v>
      </c>
      <c r="B157" s="196" t="s">
        <v>3083</v>
      </c>
      <c r="C157" s="196" t="s">
        <v>1889</v>
      </c>
      <c r="D157" s="196"/>
      <c r="E157" s="197">
        <v>44025</v>
      </c>
      <c r="F157" s="196" t="s">
        <v>58</v>
      </c>
      <c r="G157" s="196" t="s">
        <v>2758</v>
      </c>
      <c r="H157" s="196" t="s">
        <v>2759</v>
      </c>
      <c r="I157" s="196"/>
      <c r="J157" s="205" t="s">
        <v>2760</v>
      </c>
      <c r="K157" s="196" t="s">
        <v>3</v>
      </c>
      <c r="L157" s="196" t="s">
        <v>1160</v>
      </c>
      <c r="M157" s="198" t="s">
        <v>2761</v>
      </c>
      <c r="N157" s="196" t="s">
        <v>2762</v>
      </c>
      <c r="O157" s="199">
        <v>3121.02</v>
      </c>
      <c r="P157" s="196" t="s">
        <v>1172</v>
      </c>
      <c r="Q157" s="199">
        <v>9363.06</v>
      </c>
      <c r="R157" s="199"/>
      <c r="S157" s="199"/>
      <c r="T157" s="199"/>
      <c r="U157" s="199"/>
      <c r="V157" s="199"/>
      <c r="W157" s="199">
        <f t="shared" si="5"/>
        <v>9363.06</v>
      </c>
      <c r="X157" s="196" t="s">
        <v>1155</v>
      </c>
      <c r="Y157" s="199"/>
      <c r="Z157" s="200">
        <v>3362</v>
      </c>
      <c r="AA157" s="200">
        <v>1561</v>
      </c>
      <c r="AB157" s="200">
        <f t="shared" si="6"/>
        <v>4923</v>
      </c>
      <c r="AC157" s="196" t="s">
        <v>857</v>
      </c>
      <c r="AD157" s="196" t="s">
        <v>59</v>
      </c>
      <c r="AE157" s="197">
        <v>44095</v>
      </c>
      <c r="AF157" s="197"/>
      <c r="AG157" s="197"/>
      <c r="AH157" s="199"/>
      <c r="AI157" s="196"/>
      <c r="AJ157" s="138" t="s">
        <v>2763</v>
      </c>
      <c r="AK157" s="196" t="s">
        <v>1157</v>
      </c>
    </row>
    <row r="158" spans="1:37" s="201" customFormat="1">
      <c r="A158" s="196" t="s">
        <v>854</v>
      </c>
      <c r="B158" s="196" t="s">
        <v>3083</v>
      </c>
      <c r="C158" s="196" t="s">
        <v>1888</v>
      </c>
      <c r="D158" s="196"/>
      <c r="E158" s="197">
        <v>43553</v>
      </c>
      <c r="F158" s="196" t="s">
        <v>58</v>
      </c>
      <c r="G158" s="196" t="s">
        <v>2758</v>
      </c>
      <c r="H158" s="196" t="s">
        <v>2759</v>
      </c>
      <c r="I158" s="196"/>
      <c r="J158" s="205" t="s">
        <v>2764</v>
      </c>
      <c r="K158" s="196" t="s">
        <v>3</v>
      </c>
      <c r="L158" s="196" t="s">
        <v>1160</v>
      </c>
      <c r="M158" s="198" t="s">
        <v>2761</v>
      </c>
      <c r="N158" s="196" t="s">
        <v>2762</v>
      </c>
      <c r="O158" s="199">
        <v>3121.02</v>
      </c>
      <c r="P158" s="196" t="s">
        <v>1172</v>
      </c>
      <c r="Q158" s="199">
        <v>9363.06</v>
      </c>
      <c r="R158" s="199"/>
      <c r="S158" s="199"/>
      <c r="T158" s="199"/>
      <c r="U158" s="199"/>
      <c r="V158" s="199"/>
      <c r="W158" s="199">
        <f t="shared" si="5"/>
        <v>9363.06</v>
      </c>
      <c r="X158" s="196" t="s">
        <v>1155</v>
      </c>
      <c r="Y158" s="199"/>
      <c r="Z158" s="200">
        <v>3362</v>
      </c>
      <c r="AA158" s="200"/>
      <c r="AB158" s="200">
        <f t="shared" si="6"/>
        <v>3362</v>
      </c>
      <c r="AC158" s="196" t="s">
        <v>856</v>
      </c>
      <c r="AD158" s="196" t="s">
        <v>61</v>
      </c>
      <c r="AE158" s="197">
        <v>43671</v>
      </c>
      <c r="AF158" s="197"/>
      <c r="AG158" s="197"/>
      <c r="AH158" s="199"/>
      <c r="AI158" s="196"/>
      <c r="AJ158" s="196" t="s">
        <v>2765</v>
      </c>
      <c r="AK158" s="196" t="s">
        <v>1157</v>
      </c>
    </row>
    <row r="159" spans="1:37" s="201" customFormat="1">
      <c r="A159" s="196" t="s">
        <v>854</v>
      </c>
      <c r="B159" s="196" t="s">
        <v>3083</v>
      </c>
      <c r="C159" s="196"/>
      <c r="D159" s="196" t="s">
        <v>2766</v>
      </c>
      <c r="E159" s="197">
        <v>42304</v>
      </c>
      <c r="F159" s="196" t="s">
        <v>58</v>
      </c>
      <c r="G159" s="196" t="s">
        <v>2767</v>
      </c>
      <c r="H159" s="196" t="s">
        <v>2768</v>
      </c>
      <c r="I159" s="196"/>
      <c r="J159" s="202" t="s">
        <v>2769</v>
      </c>
      <c r="K159" s="196" t="s">
        <v>3</v>
      </c>
      <c r="L159" s="196" t="s">
        <v>1151</v>
      </c>
      <c r="M159" s="198" t="s">
        <v>2761</v>
      </c>
      <c r="N159" s="196" t="s">
        <v>2770</v>
      </c>
      <c r="O159" s="199">
        <v>2206</v>
      </c>
      <c r="P159" s="196" t="s">
        <v>1172</v>
      </c>
      <c r="Q159" s="199">
        <v>6618</v>
      </c>
      <c r="R159" s="199"/>
      <c r="S159" s="199"/>
      <c r="T159" s="199"/>
      <c r="U159" s="199"/>
      <c r="V159" s="199"/>
      <c r="W159" s="199">
        <f t="shared" si="5"/>
        <v>6618</v>
      </c>
      <c r="X159" s="196" t="s">
        <v>1155</v>
      </c>
      <c r="Y159" s="199"/>
      <c r="Z159" s="200">
        <v>2546</v>
      </c>
      <c r="AA159" s="200">
        <v>170</v>
      </c>
      <c r="AB159" s="200">
        <f t="shared" si="6"/>
        <v>2716</v>
      </c>
      <c r="AC159" s="196" t="s">
        <v>855</v>
      </c>
      <c r="AD159" s="196" t="s">
        <v>61</v>
      </c>
      <c r="AE159" s="197">
        <v>42352</v>
      </c>
      <c r="AF159" s="197"/>
      <c r="AG159" s="197"/>
      <c r="AH159" s="199"/>
      <c r="AI159" s="196"/>
      <c r="AJ159" s="196" t="s">
        <v>2771</v>
      </c>
      <c r="AK159" s="196" t="s">
        <v>1157</v>
      </c>
    </row>
    <row r="160" spans="1:37" s="201" customFormat="1" ht="30">
      <c r="A160" s="196" t="s">
        <v>858</v>
      </c>
      <c r="B160" s="196" t="s">
        <v>3083</v>
      </c>
      <c r="C160" s="196"/>
      <c r="D160" s="196" t="s">
        <v>2772</v>
      </c>
      <c r="E160" s="197">
        <v>42230</v>
      </c>
      <c r="F160" s="196" t="s">
        <v>58</v>
      </c>
      <c r="G160" s="196" t="s">
        <v>2773</v>
      </c>
      <c r="H160" s="196" t="s">
        <v>2774</v>
      </c>
      <c r="I160" s="196"/>
      <c r="J160" s="206" t="s">
        <v>2775</v>
      </c>
      <c r="K160" s="196" t="s">
        <v>4</v>
      </c>
      <c r="L160" s="196" t="s">
        <v>1151</v>
      </c>
      <c r="M160" s="198" t="s">
        <v>2268</v>
      </c>
      <c r="N160" s="138" t="s">
        <v>2776</v>
      </c>
      <c r="O160" s="199">
        <v>1221.1500000000001</v>
      </c>
      <c r="P160" s="196" t="s">
        <v>1172</v>
      </c>
      <c r="Q160" s="199">
        <v>2</v>
      </c>
      <c r="R160" s="199"/>
      <c r="S160" s="199"/>
      <c r="T160" s="199"/>
      <c r="U160" s="199"/>
      <c r="V160" s="199"/>
      <c r="W160" s="199">
        <f t="shared" si="5"/>
        <v>2</v>
      </c>
      <c r="X160" s="196" t="s">
        <v>1155</v>
      </c>
      <c r="Y160" s="199"/>
      <c r="Z160" s="200">
        <v>1</v>
      </c>
      <c r="AA160" s="200"/>
      <c r="AB160" s="200">
        <f t="shared" si="6"/>
        <v>1</v>
      </c>
      <c r="AC160" s="196" t="s">
        <v>859</v>
      </c>
      <c r="AD160" s="196" t="s">
        <v>59</v>
      </c>
      <c r="AE160" s="197">
        <v>42303</v>
      </c>
      <c r="AF160" s="197"/>
      <c r="AG160" s="197"/>
      <c r="AH160" s="199"/>
      <c r="AI160" s="196"/>
      <c r="AJ160" s="196"/>
      <c r="AK160" s="196" t="s">
        <v>1157</v>
      </c>
    </row>
    <row r="161" spans="1:37" s="201" customFormat="1" ht="30">
      <c r="A161" s="196" t="s">
        <v>860</v>
      </c>
      <c r="B161" s="196" t="s">
        <v>3083</v>
      </c>
      <c r="C161" s="196"/>
      <c r="D161" s="196" t="s">
        <v>2777</v>
      </c>
      <c r="E161" s="197">
        <v>42235</v>
      </c>
      <c r="F161" s="196" t="s">
        <v>58</v>
      </c>
      <c r="G161" s="196" t="s">
        <v>2778</v>
      </c>
      <c r="H161" s="196" t="s">
        <v>2779</v>
      </c>
      <c r="I161" s="196"/>
      <c r="J161" s="206" t="s">
        <v>2780</v>
      </c>
      <c r="K161" s="196" t="s">
        <v>40</v>
      </c>
      <c r="L161" s="196" t="s">
        <v>1151</v>
      </c>
      <c r="M161" s="198" t="s">
        <v>2093</v>
      </c>
      <c r="N161" s="138" t="s">
        <v>2781</v>
      </c>
      <c r="O161" s="199">
        <v>3158</v>
      </c>
      <c r="P161" s="196" t="s">
        <v>1172</v>
      </c>
      <c r="Q161" s="199">
        <v>668.86</v>
      </c>
      <c r="R161" s="199"/>
      <c r="S161" s="199"/>
      <c r="T161" s="199"/>
      <c r="U161" s="199"/>
      <c r="V161" s="199"/>
      <c r="W161" s="199">
        <f t="shared" si="5"/>
        <v>668.86</v>
      </c>
      <c r="X161" s="196" t="s">
        <v>1155</v>
      </c>
      <c r="Y161" s="199"/>
      <c r="Z161" s="200">
        <v>15</v>
      </c>
      <c r="AA161" s="200"/>
      <c r="AB161" s="200">
        <f t="shared" si="6"/>
        <v>15</v>
      </c>
      <c r="AC161" s="196" t="s">
        <v>861</v>
      </c>
      <c r="AD161" s="196" t="s">
        <v>59</v>
      </c>
      <c r="AE161" s="197">
        <v>42290</v>
      </c>
      <c r="AF161" s="197"/>
      <c r="AG161" s="197"/>
      <c r="AH161" s="199"/>
      <c r="AI161" s="196"/>
      <c r="AJ161" s="196"/>
      <c r="AK161" s="196" t="s">
        <v>1157</v>
      </c>
    </row>
    <row r="162" spans="1:37" s="201" customFormat="1">
      <c r="A162" s="196" t="s">
        <v>862</v>
      </c>
      <c r="B162" s="196" t="s">
        <v>3083</v>
      </c>
      <c r="C162" s="196"/>
      <c r="D162" s="196" t="s">
        <v>2783</v>
      </c>
      <c r="E162" s="197"/>
      <c r="F162" s="196" t="s">
        <v>58</v>
      </c>
      <c r="G162" s="196" t="s">
        <v>2784</v>
      </c>
      <c r="H162" s="196" t="s">
        <v>2785</v>
      </c>
      <c r="I162" s="196"/>
      <c r="J162" s="196" t="s">
        <v>2786</v>
      </c>
      <c r="K162" s="196" t="s">
        <v>4</v>
      </c>
      <c r="L162" s="196" t="s">
        <v>1151</v>
      </c>
      <c r="M162" s="198" t="s">
        <v>2099</v>
      </c>
      <c r="N162" s="196" t="s">
        <v>2787</v>
      </c>
      <c r="O162" s="199">
        <v>3804.83</v>
      </c>
      <c r="P162" s="196" t="s">
        <v>1172</v>
      </c>
      <c r="Q162" s="199">
        <v>10847.57</v>
      </c>
      <c r="R162" s="199"/>
      <c r="S162" s="199"/>
      <c r="T162" s="199"/>
      <c r="U162" s="199"/>
      <c r="V162" s="199"/>
      <c r="W162" s="199">
        <f t="shared" si="5"/>
        <v>10847.57</v>
      </c>
      <c r="X162" s="196" t="s">
        <v>1155</v>
      </c>
      <c r="Y162" s="199"/>
      <c r="Z162" s="200">
        <v>5424</v>
      </c>
      <c r="AA162" s="200">
        <v>0</v>
      </c>
      <c r="AB162" s="200">
        <f t="shared" si="6"/>
        <v>5424</v>
      </c>
      <c r="AC162" s="195" t="s">
        <v>863</v>
      </c>
      <c r="AD162" s="196" t="s">
        <v>61</v>
      </c>
      <c r="AE162" s="197">
        <v>42311</v>
      </c>
      <c r="AF162" s="199"/>
      <c r="AG162" s="197"/>
      <c r="AH162" s="199"/>
      <c r="AI162" s="196"/>
      <c r="AJ162" s="196" t="s">
        <v>2788</v>
      </c>
      <c r="AK162" s="196" t="s">
        <v>1169</v>
      </c>
    </row>
    <row r="163" spans="1:37" s="201" customFormat="1">
      <c r="A163" s="196" t="s">
        <v>862</v>
      </c>
      <c r="B163" s="196" t="s">
        <v>3083</v>
      </c>
      <c r="C163" s="196"/>
      <c r="D163" s="196" t="s">
        <v>2782</v>
      </c>
      <c r="E163" s="197"/>
      <c r="F163" s="196" t="s">
        <v>58</v>
      </c>
      <c r="G163" s="196" t="s">
        <v>2784</v>
      </c>
      <c r="H163" s="196" t="s">
        <v>2785</v>
      </c>
      <c r="I163" s="196"/>
      <c r="J163" s="196" t="s">
        <v>2786</v>
      </c>
      <c r="K163" s="196" t="s">
        <v>4</v>
      </c>
      <c r="L163" s="196" t="s">
        <v>1160</v>
      </c>
      <c r="M163" s="198" t="s">
        <v>2099</v>
      </c>
      <c r="N163" s="196" t="s">
        <v>2787</v>
      </c>
      <c r="O163" s="199">
        <v>3804.83</v>
      </c>
      <c r="P163" s="196" t="s">
        <v>1172</v>
      </c>
      <c r="Q163" s="199">
        <v>10848.77</v>
      </c>
      <c r="R163" s="199"/>
      <c r="S163" s="199"/>
      <c r="T163" s="199"/>
      <c r="U163" s="199"/>
      <c r="V163" s="199"/>
      <c r="W163" s="199">
        <f t="shared" si="5"/>
        <v>10848.77</v>
      </c>
      <c r="X163" s="196" t="s">
        <v>1155</v>
      </c>
      <c r="Y163" s="199"/>
      <c r="Z163" s="200">
        <v>5425</v>
      </c>
      <c r="AA163" s="200"/>
      <c r="AB163" s="200">
        <f t="shared" si="6"/>
        <v>5425</v>
      </c>
      <c r="AC163" s="195" t="s">
        <v>864</v>
      </c>
      <c r="AD163" s="196" t="s">
        <v>59</v>
      </c>
      <c r="AE163" s="197">
        <v>42590</v>
      </c>
      <c r="AF163" s="197"/>
      <c r="AG163" s="197"/>
      <c r="AH163" s="199"/>
      <c r="AI163" s="196"/>
      <c r="AJ163" s="196" t="s">
        <v>2789</v>
      </c>
      <c r="AK163" s="196" t="s">
        <v>1169</v>
      </c>
    </row>
    <row r="164" spans="1:37" s="201" customFormat="1">
      <c r="A164" s="196" t="s">
        <v>865</v>
      </c>
      <c r="B164" s="196" t="s">
        <v>3083</v>
      </c>
      <c r="C164" s="196"/>
      <c r="D164" s="196" t="s">
        <v>2790</v>
      </c>
      <c r="E164" s="197"/>
      <c r="F164" s="196" t="s">
        <v>58</v>
      </c>
      <c r="G164" s="196" t="s">
        <v>2793</v>
      </c>
      <c r="H164" s="196" t="s">
        <v>2791</v>
      </c>
      <c r="I164" s="196"/>
      <c r="J164" s="196" t="s">
        <v>2792</v>
      </c>
      <c r="K164" s="196" t="s">
        <v>2</v>
      </c>
      <c r="L164" s="196" t="s">
        <v>1151</v>
      </c>
      <c r="M164" s="198" t="s">
        <v>2030</v>
      </c>
      <c r="N164" s="196" t="s">
        <v>2794</v>
      </c>
      <c r="O164" s="199">
        <v>1022.87</v>
      </c>
      <c r="P164" s="196" t="s">
        <v>1172</v>
      </c>
      <c r="Q164" s="199"/>
      <c r="R164" s="199"/>
      <c r="S164" s="199"/>
      <c r="T164" s="199"/>
      <c r="U164" s="199"/>
      <c r="V164" s="199"/>
      <c r="W164" s="199">
        <f t="shared" si="5"/>
        <v>0</v>
      </c>
      <c r="X164" s="196" t="s">
        <v>1155</v>
      </c>
      <c r="Y164" s="199"/>
      <c r="Z164" s="200">
        <v>0</v>
      </c>
      <c r="AA164" s="200">
        <v>56</v>
      </c>
      <c r="AB164" s="200">
        <f t="shared" si="6"/>
        <v>56</v>
      </c>
      <c r="AC164" s="196" t="s">
        <v>866</v>
      </c>
      <c r="AD164" s="196" t="s">
        <v>59</v>
      </c>
      <c r="AE164" s="197">
        <v>42352</v>
      </c>
      <c r="AF164" s="197"/>
      <c r="AG164" s="197"/>
      <c r="AH164" s="199"/>
      <c r="AI164" s="196"/>
      <c r="AJ164" s="196"/>
      <c r="AK164" s="196" t="s">
        <v>1169</v>
      </c>
    </row>
    <row r="165" spans="1:37" s="201" customFormat="1">
      <c r="A165" s="196" t="s">
        <v>867</v>
      </c>
      <c r="B165" s="196" t="s">
        <v>3083</v>
      </c>
      <c r="C165" s="196"/>
      <c r="D165" s="196" t="s">
        <v>2795</v>
      </c>
      <c r="E165" s="197"/>
      <c r="F165" s="196" t="s">
        <v>58</v>
      </c>
      <c r="G165" s="196" t="s">
        <v>2796</v>
      </c>
      <c r="H165" s="196" t="s">
        <v>2797</v>
      </c>
      <c r="I165" s="196"/>
      <c r="J165" s="196" t="s">
        <v>2798</v>
      </c>
      <c r="K165" s="196" t="s">
        <v>40</v>
      </c>
      <c r="L165" s="196" t="s">
        <v>1151</v>
      </c>
      <c r="M165" s="198" t="s">
        <v>2438</v>
      </c>
      <c r="N165" s="196" t="s">
        <v>2799</v>
      </c>
      <c r="O165" s="199">
        <v>1365.6</v>
      </c>
      <c r="P165" s="196" t="s">
        <v>1172</v>
      </c>
      <c r="Q165" s="199"/>
      <c r="R165" s="199"/>
      <c r="S165" s="199"/>
      <c r="T165" s="199"/>
      <c r="U165" s="199"/>
      <c r="V165" s="199"/>
      <c r="W165" s="199">
        <f t="shared" si="5"/>
        <v>0</v>
      </c>
      <c r="X165" s="196" t="s">
        <v>1155</v>
      </c>
      <c r="Y165" s="199"/>
      <c r="Z165" s="200">
        <v>0</v>
      </c>
      <c r="AA165" s="200">
        <v>155</v>
      </c>
      <c r="AB165" s="200">
        <f t="shared" si="6"/>
        <v>155</v>
      </c>
      <c r="AC165" s="195" t="s">
        <v>868</v>
      </c>
      <c r="AD165" s="196" t="s">
        <v>61</v>
      </c>
      <c r="AE165" s="197">
        <v>43077</v>
      </c>
      <c r="AF165" s="199"/>
      <c r="AG165" s="197"/>
      <c r="AH165" s="199"/>
      <c r="AI165" s="196"/>
      <c r="AJ165" s="196"/>
      <c r="AK165" s="196" t="s">
        <v>1169</v>
      </c>
    </row>
    <row r="166" spans="1:37" s="201" customFormat="1">
      <c r="A166" s="196" t="s">
        <v>867</v>
      </c>
      <c r="B166" s="196" t="s">
        <v>3083</v>
      </c>
      <c r="C166" s="196"/>
      <c r="D166" s="196" t="s">
        <v>2800</v>
      </c>
      <c r="E166" s="197"/>
      <c r="F166" s="196" t="s">
        <v>58</v>
      </c>
      <c r="G166" s="196" t="s">
        <v>2796</v>
      </c>
      <c r="H166" s="196" t="s">
        <v>2797</v>
      </c>
      <c r="I166" s="196"/>
      <c r="J166" s="196" t="s">
        <v>2798</v>
      </c>
      <c r="K166" s="196" t="s">
        <v>40</v>
      </c>
      <c r="L166" s="196" t="s">
        <v>1151</v>
      </c>
      <c r="M166" s="198" t="s">
        <v>2438</v>
      </c>
      <c r="N166" s="196" t="s">
        <v>2799</v>
      </c>
      <c r="O166" s="199">
        <v>1365.6</v>
      </c>
      <c r="P166" s="196" t="s">
        <v>1172</v>
      </c>
      <c r="Q166" s="199"/>
      <c r="R166" s="199"/>
      <c r="S166" s="199"/>
      <c r="T166" s="199"/>
      <c r="U166" s="199"/>
      <c r="V166" s="199"/>
      <c r="W166" s="199">
        <f t="shared" si="5"/>
        <v>0</v>
      </c>
      <c r="X166" s="196" t="s">
        <v>1155</v>
      </c>
      <c r="Y166" s="199"/>
      <c r="Z166" s="200">
        <v>0</v>
      </c>
      <c r="AA166" s="200">
        <v>183</v>
      </c>
      <c r="AB166" s="200">
        <f t="shared" si="6"/>
        <v>183</v>
      </c>
      <c r="AC166" s="196" t="s">
        <v>869</v>
      </c>
      <c r="AD166" s="196" t="s">
        <v>59</v>
      </c>
      <c r="AE166" s="197">
        <v>43273</v>
      </c>
      <c r="AF166" s="197"/>
      <c r="AG166" s="197"/>
      <c r="AH166" s="199"/>
      <c r="AI166" s="196"/>
      <c r="AJ166" s="196"/>
      <c r="AK166" s="196" t="s">
        <v>1169</v>
      </c>
    </row>
    <row r="167" spans="1:37" s="201" customFormat="1">
      <c r="A167" s="196" t="s">
        <v>870</v>
      </c>
      <c r="B167" s="196" t="s">
        <v>3083</v>
      </c>
      <c r="C167" s="196"/>
      <c r="D167" s="196" t="s">
        <v>2801</v>
      </c>
      <c r="E167" s="197"/>
      <c r="F167" s="196" t="s">
        <v>58</v>
      </c>
      <c r="G167" s="196" t="s">
        <v>2802</v>
      </c>
      <c r="H167" s="196" t="s">
        <v>2803</v>
      </c>
      <c r="I167" s="196"/>
      <c r="J167" s="196" t="s">
        <v>2804</v>
      </c>
      <c r="K167" s="196" t="s">
        <v>2</v>
      </c>
      <c r="L167" s="196" t="s">
        <v>1151</v>
      </c>
      <c r="M167" s="198" t="s">
        <v>2805</v>
      </c>
      <c r="N167" s="196" t="s">
        <v>2806</v>
      </c>
      <c r="O167" s="199">
        <v>413.27</v>
      </c>
      <c r="P167" s="196" t="s">
        <v>1172</v>
      </c>
      <c r="Q167" s="199">
        <v>4481</v>
      </c>
      <c r="R167" s="199"/>
      <c r="S167" s="199"/>
      <c r="T167" s="199"/>
      <c r="U167" s="199"/>
      <c r="V167" s="199"/>
      <c r="W167" s="199">
        <f t="shared" ref="W167:W228" si="7">T167+Q167</f>
        <v>4481</v>
      </c>
      <c r="X167" s="196" t="s">
        <v>1155</v>
      </c>
      <c r="Y167" s="199"/>
      <c r="Z167" s="200">
        <v>11407</v>
      </c>
      <c r="AA167" s="200">
        <v>0</v>
      </c>
      <c r="AB167" s="200">
        <f t="shared" si="6"/>
        <v>11407</v>
      </c>
      <c r="AC167" s="196" t="s">
        <v>871</v>
      </c>
      <c r="AD167" s="196" t="s">
        <v>59</v>
      </c>
      <c r="AE167" s="197">
        <v>42423</v>
      </c>
      <c r="AF167" s="197"/>
      <c r="AG167" s="197"/>
      <c r="AH167" s="199"/>
      <c r="AI167" s="196"/>
      <c r="AJ167" s="196"/>
      <c r="AK167" s="196" t="s">
        <v>1169</v>
      </c>
    </row>
    <row r="168" spans="1:37" s="201" customFormat="1">
      <c r="A168" s="196" t="s">
        <v>872</v>
      </c>
      <c r="B168" s="196" t="s">
        <v>3083</v>
      </c>
      <c r="C168" s="196"/>
      <c r="D168" s="196" t="s">
        <v>2807</v>
      </c>
      <c r="E168" s="197"/>
      <c r="F168" s="196" t="s">
        <v>58</v>
      </c>
      <c r="G168" s="196" t="s">
        <v>2808</v>
      </c>
      <c r="H168" s="196" t="s">
        <v>2809</v>
      </c>
      <c r="I168" s="196"/>
      <c r="J168" s="196" t="s">
        <v>2810</v>
      </c>
      <c r="K168" s="196" t="s">
        <v>40</v>
      </c>
      <c r="L168" s="196" t="s">
        <v>1151</v>
      </c>
      <c r="M168" s="198" t="s">
        <v>2811</v>
      </c>
      <c r="N168" s="196" t="s">
        <v>2812</v>
      </c>
      <c r="O168" s="199">
        <v>1263.3800000000001</v>
      </c>
      <c r="P168" s="196" t="s">
        <v>1161</v>
      </c>
      <c r="Q168" s="199"/>
      <c r="R168" s="199"/>
      <c r="S168" s="199"/>
      <c r="T168" s="199">
        <v>3259.52</v>
      </c>
      <c r="U168" s="199"/>
      <c r="V168" s="199"/>
      <c r="W168" s="199">
        <f t="shared" si="7"/>
        <v>3259.52</v>
      </c>
      <c r="X168" s="196" t="s">
        <v>1155</v>
      </c>
      <c r="Y168" s="199"/>
      <c r="Z168" s="200">
        <v>3260</v>
      </c>
      <c r="AA168" s="200">
        <v>0</v>
      </c>
      <c r="AB168" s="200">
        <f t="shared" si="6"/>
        <v>3260</v>
      </c>
      <c r="AC168" s="195" t="s">
        <v>873</v>
      </c>
      <c r="AD168" s="196" t="s">
        <v>61</v>
      </c>
      <c r="AE168" s="197">
        <v>42551</v>
      </c>
      <c r="AF168" s="199"/>
      <c r="AG168" s="199"/>
      <c r="AH168" s="199"/>
      <c r="AI168" s="196"/>
      <c r="AJ168" s="196" t="s">
        <v>2813</v>
      </c>
      <c r="AK168" s="196" t="s">
        <v>1169</v>
      </c>
    </row>
    <row r="169" spans="1:37" s="201" customFormat="1">
      <c r="A169" s="196" t="s">
        <v>872</v>
      </c>
      <c r="B169" s="196" t="s">
        <v>3083</v>
      </c>
      <c r="C169" s="196"/>
      <c r="D169" s="196" t="s">
        <v>2814</v>
      </c>
      <c r="E169" s="197"/>
      <c r="F169" s="196" t="s">
        <v>58</v>
      </c>
      <c r="G169" s="196" t="s">
        <v>2808</v>
      </c>
      <c r="H169" s="196" t="s">
        <v>2809</v>
      </c>
      <c r="I169" s="196"/>
      <c r="J169" s="196" t="s">
        <v>2810</v>
      </c>
      <c r="K169" s="196" t="s">
        <v>40</v>
      </c>
      <c r="L169" s="196" t="s">
        <v>1160</v>
      </c>
      <c r="M169" s="198" t="s">
        <v>2811</v>
      </c>
      <c r="N169" s="196" t="s">
        <v>2812</v>
      </c>
      <c r="O169" s="199">
        <v>1519.11</v>
      </c>
      <c r="P169" s="196" t="s">
        <v>1172</v>
      </c>
      <c r="Q169" s="199">
        <v>4557.33</v>
      </c>
      <c r="R169" s="199"/>
      <c r="S169" s="199"/>
      <c r="T169" s="199"/>
      <c r="U169" s="199"/>
      <c r="V169" s="199"/>
      <c r="W169" s="199">
        <f t="shared" si="7"/>
        <v>4557.33</v>
      </c>
      <c r="X169" s="196" t="s">
        <v>1155</v>
      </c>
      <c r="Y169" s="199"/>
      <c r="Z169" s="200">
        <v>1823</v>
      </c>
      <c r="AA169" s="200">
        <v>1013</v>
      </c>
      <c r="AB169" s="200">
        <f t="shared" si="6"/>
        <v>2836</v>
      </c>
      <c r="AC169" s="195" t="s">
        <v>874</v>
      </c>
      <c r="AD169" s="196" t="s">
        <v>61</v>
      </c>
      <c r="AE169" s="197">
        <v>43217</v>
      </c>
      <c r="AF169" s="199"/>
      <c r="AG169" s="199"/>
      <c r="AH169" s="199">
        <v>424</v>
      </c>
      <c r="AI169" s="196"/>
      <c r="AJ169" s="196" t="s">
        <v>2815</v>
      </c>
      <c r="AK169" s="196" t="s">
        <v>1169</v>
      </c>
    </row>
    <row r="170" spans="1:37" s="201" customFormat="1">
      <c r="A170" s="196" t="s">
        <v>872</v>
      </c>
      <c r="B170" s="196" t="s">
        <v>3083</v>
      </c>
      <c r="C170" s="196" t="s">
        <v>1912</v>
      </c>
      <c r="D170" s="196"/>
      <c r="E170" s="197"/>
      <c r="F170" s="196" t="s">
        <v>58</v>
      </c>
      <c r="G170" s="196" t="s">
        <v>2808</v>
      </c>
      <c r="H170" s="196" t="s">
        <v>2809</v>
      </c>
      <c r="I170" s="196"/>
      <c r="J170" s="196" t="s">
        <v>2810</v>
      </c>
      <c r="K170" s="196" t="s">
        <v>40</v>
      </c>
      <c r="L170" s="196" t="s">
        <v>1160</v>
      </c>
      <c r="M170" s="198" t="s">
        <v>2811</v>
      </c>
      <c r="N170" s="196" t="s">
        <v>2812</v>
      </c>
      <c r="O170" s="199">
        <v>1519.11</v>
      </c>
      <c r="P170" s="196" t="s">
        <v>1172</v>
      </c>
      <c r="Q170" s="199">
        <v>4557.33</v>
      </c>
      <c r="R170" s="199"/>
      <c r="S170" s="199"/>
      <c r="T170" s="199"/>
      <c r="U170" s="199"/>
      <c r="V170" s="199"/>
      <c r="W170" s="199">
        <f t="shared" si="7"/>
        <v>4557.33</v>
      </c>
      <c r="X170" s="196" t="s">
        <v>1155</v>
      </c>
      <c r="Y170" s="199"/>
      <c r="Z170" s="200">
        <v>1823</v>
      </c>
      <c r="AA170" s="200">
        <v>1013</v>
      </c>
      <c r="AB170" s="200">
        <f t="shared" si="6"/>
        <v>2836</v>
      </c>
      <c r="AC170" s="195" t="s">
        <v>875</v>
      </c>
      <c r="AD170" s="196" t="s">
        <v>59</v>
      </c>
      <c r="AE170" s="197">
        <v>43524</v>
      </c>
      <c r="AF170" s="197"/>
      <c r="AG170" s="197"/>
      <c r="AH170" s="199">
        <v>0</v>
      </c>
      <c r="AI170" s="196"/>
      <c r="AJ170" s="196" t="s">
        <v>2816</v>
      </c>
      <c r="AK170" s="196" t="s">
        <v>1169</v>
      </c>
    </row>
    <row r="171" spans="1:37" s="201" customFormat="1">
      <c r="A171" s="196" t="s">
        <v>876</v>
      </c>
      <c r="B171" s="196" t="s">
        <v>3083</v>
      </c>
      <c r="C171" s="196"/>
      <c r="D171" s="196" t="s">
        <v>2817</v>
      </c>
      <c r="E171" s="197"/>
      <c r="F171" s="196" t="s">
        <v>58</v>
      </c>
      <c r="G171" s="196" t="s">
        <v>2793</v>
      </c>
      <c r="H171" s="196" t="s">
        <v>2791</v>
      </c>
      <c r="I171" s="196"/>
      <c r="J171" s="196" t="s">
        <v>2818</v>
      </c>
      <c r="K171" s="196" t="s">
        <v>2</v>
      </c>
      <c r="L171" s="196" t="s">
        <v>1151</v>
      </c>
      <c r="M171" s="198" t="s">
        <v>2030</v>
      </c>
      <c r="N171" s="196" t="s">
        <v>2794</v>
      </c>
      <c r="O171" s="199">
        <v>1022.87</v>
      </c>
      <c r="P171" s="196" t="s">
        <v>1172</v>
      </c>
      <c r="Q171" s="199">
        <v>3068.61</v>
      </c>
      <c r="R171" s="199"/>
      <c r="S171" s="199"/>
      <c r="T171" s="199"/>
      <c r="U171" s="199"/>
      <c r="V171" s="199"/>
      <c r="W171" s="199">
        <f t="shared" si="7"/>
        <v>3068.61</v>
      </c>
      <c r="X171" s="196" t="s">
        <v>1155</v>
      </c>
      <c r="Y171" s="199"/>
      <c r="Z171" s="200">
        <v>2790</v>
      </c>
      <c r="AA171" s="200">
        <v>0</v>
      </c>
      <c r="AB171" s="200">
        <f t="shared" si="6"/>
        <v>2790</v>
      </c>
      <c r="AC171" s="195" t="s">
        <v>877</v>
      </c>
      <c r="AD171" s="196" t="s">
        <v>59</v>
      </c>
      <c r="AE171" s="197">
        <v>42744</v>
      </c>
      <c r="AF171" s="197"/>
      <c r="AG171" s="197"/>
      <c r="AH171" s="199"/>
      <c r="AI171" s="196"/>
      <c r="AJ171" s="196"/>
      <c r="AK171" s="196" t="s">
        <v>1169</v>
      </c>
    </row>
    <row r="172" spans="1:37" s="201" customFormat="1">
      <c r="A172" s="196" t="s">
        <v>878</v>
      </c>
      <c r="B172" s="196" t="s">
        <v>3083</v>
      </c>
      <c r="C172" s="196"/>
      <c r="D172" s="196" t="s">
        <v>2819</v>
      </c>
      <c r="E172" s="197"/>
      <c r="F172" s="196" t="s">
        <v>58</v>
      </c>
      <c r="G172" s="196" t="s">
        <v>2820</v>
      </c>
      <c r="H172" s="196" t="s">
        <v>2821</v>
      </c>
      <c r="I172" s="196"/>
      <c r="J172" s="196" t="s">
        <v>2822</v>
      </c>
      <c r="K172" s="196" t="s">
        <v>2</v>
      </c>
      <c r="L172" s="196" t="s">
        <v>1151</v>
      </c>
      <c r="M172" s="198" t="s">
        <v>2823</v>
      </c>
      <c r="N172" s="196" t="s">
        <v>2824</v>
      </c>
      <c r="O172" s="199">
        <v>3439.04</v>
      </c>
      <c r="P172" s="196" t="s">
        <v>1172</v>
      </c>
      <c r="Q172" s="199">
        <v>10086.700000000001</v>
      </c>
      <c r="R172" s="199"/>
      <c r="S172" s="199"/>
      <c r="T172" s="199"/>
      <c r="U172" s="199"/>
      <c r="V172" s="199"/>
      <c r="W172" s="199">
        <f t="shared" si="7"/>
        <v>10086.700000000001</v>
      </c>
      <c r="X172" s="196" t="s">
        <v>1155</v>
      </c>
      <c r="Y172" s="199"/>
      <c r="Z172" s="200">
        <v>7230</v>
      </c>
      <c r="AA172" s="200">
        <v>0</v>
      </c>
      <c r="AB172" s="200">
        <f t="shared" si="6"/>
        <v>7230</v>
      </c>
      <c r="AC172" s="195" t="s">
        <v>879</v>
      </c>
      <c r="AD172" s="196" t="s">
        <v>59</v>
      </c>
      <c r="AE172" s="197">
        <v>42800</v>
      </c>
      <c r="AF172" s="197"/>
      <c r="AG172" s="197"/>
      <c r="AH172" s="199"/>
      <c r="AI172" s="196"/>
      <c r="AJ172" s="196" t="s">
        <v>2825</v>
      </c>
      <c r="AK172" s="196" t="s">
        <v>1169</v>
      </c>
    </row>
    <row r="173" spans="1:37" s="201" customFormat="1">
      <c r="A173" s="196" t="s">
        <v>880</v>
      </c>
      <c r="B173" s="196" t="s">
        <v>3083</v>
      </c>
      <c r="C173" s="196" t="s">
        <v>1919</v>
      </c>
      <c r="D173" s="196"/>
      <c r="E173" s="197"/>
      <c r="F173" s="196" t="s">
        <v>58</v>
      </c>
      <c r="G173" s="196" t="s">
        <v>2826</v>
      </c>
      <c r="H173" s="196" t="s">
        <v>2827</v>
      </c>
      <c r="I173" s="196"/>
      <c r="J173" s="196" t="s">
        <v>2828</v>
      </c>
      <c r="K173" s="196" t="s">
        <v>40</v>
      </c>
      <c r="L173" s="196" t="s">
        <v>1151</v>
      </c>
      <c r="M173" s="198" t="s">
        <v>2829</v>
      </c>
      <c r="N173" s="196" t="s">
        <v>2830</v>
      </c>
      <c r="O173" s="199">
        <v>1610.31</v>
      </c>
      <c r="P173" s="196" t="s">
        <v>1172</v>
      </c>
      <c r="Q173" s="199">
        <v>2481.7800000000002</v>
      </c>
      <c r="R173" s="199"/>
      <c r="S173" s="199"/>
      <c r="T173" s="199"/>
      <c r="U173" s="199"/>
      <c r="V173" s="199"/>
      <c r="W173" s="199">
        <f t="shared" si="7"/>
        <v>2481.7800000000002</v>
      </c>
      <c r="X173" s="196" t="s">
        <v>1155</v>
      </c>
      <c r="Y173" s="199"/>
      <c r="Z173" s="200">
        <v>994</v>
      </c>
      <c r="AA173" s="200"/>
      <c r="AB173" s="200">
        <f t="shared" si="6"/>
        <v>994</v>
      </c>
      <c r="AC173" s="196" t="s">
        <v>881</v>
      </c>
      <c r="AD173" s="196" t="s">
        <v>59</v>
      </c>
      <c r="AE173" s="197">
        <v>43682</v>
      </c>
      <c r="AF173" s="197"/>
      <c r="AG173" s="197"/>
      <c r="AH173" s="199"/>
      <c r="AI173" s="196"/>
      <c r="AJ173" s="196" t="s">
        <v>2831</v>
      </c>
      <c r="AK173" s="196" t="s">
        <v>1169</v>
      </c>
    </row>
    <row r="174" spans="1:37" s="201" customFormat="1">
      <c r="A174" s="196" t="s">
        <v>882</v>
      </c>
      <c r="B174" s="196" t="s">
        <v>3083</v>
      </c>
      <c r="C174" s="196" t="s">
        <v>1652</v>
      </c>
      <c r="D174" s="196"/>
      <c r="E174" s="197"/>
      <c r="F174" s="196" t="s">
        <v>58</v>
      </c>
      <c r="G174" s="196" t="s">
        <v>2833</v>
      </c>
      <c r="H174" s="196" t="s">
        <v>2832</v>
      </c>
      <c r="I174" s="196"/>
      <c r="J174" s="196" t="s">
        <v>2834</v>
      </c>
      <c r="K174" s="196" t="s">
        <v>40</v>
      </c>
      <c r="L174" s="196" t="s">
        <v>1151</v>
      </c>
      <c r="M174" s="198" t="s">
        <v>2301</v>
      </c>
      <c r="N174" s="196" t="s">
        <v>2835</v>
      </c>
      <c r="O174" s="199">
        <v>8112.63</v>
      </c>
      <c r="P174" s="196" t="s">
        <v>1161</v>
      </c>
      <c r="Q174" s="199"/>
      <c r="R174" s="199"/>
      <c r="S174" s="199"/>
      <c r="T174" s="199">
        <v>3782.99</v>
      </c>
      <c r="U174" s="199"/>
      <c r="V174" s="199"/>
      <c r="W174" s="199">
        <f t="shared" si="7"/>
        <v>3782.99</v>
      </c>
      <c r="X174" s="196" t="s">
        <v>1155</v>
      </c>
      <c r="Y174" s="199"/>
      <c r="Z174" s="200">
        <v>2030</v>
      </c>
      <c r="AA174" s="200"/>
      <c r="AB174" s="200">
        <f t="shared" si="6"/>
        <v>2030</v>
      </c>
      <c r="AC174" s="196" t="s">
        <v>680</v>
      </c>
      <c r="AD174" s="196" t="s">
        <v>59</v>
      </c>
      <c r="AE174" s="197">
        <v>44441</v>
      </c>
      <c r="AF174" s="197"/>
      <c r="AG174" s="197"/>
      <c r="AH174" s="199"/>
      <c r="AI174" s="196"/>
      <c r="AJ174" s="196" t="s">
        <v>2836</v>
      </c>
      <c r="AK174" s="196" t="s">
        <v>1169</v>
      </c>
    </row>
    <row r="175" spans="1:37" s="201" customFormat="1">
      <c r="A175" s="196" t="s">
        <v>883</v>
      </c>
      <c r="B175" s="196" t="s">
        <v>3083</v>
      </c>
      <c r="C175" s="196"/>
      <c r="D175" s="196" t="s">
        <v>1162</v>
      </c>
      <c r="E175" s="197"/>
      <c r="F175" s="196" t="s">
        <v>58</v>
      </c>
      <c r="G175" s="196" t="s">
        <v>1163</v>
      </c>
      <c r="H175" s="196" t="s">
        <v>1164</v>
      </c>
      <c r="I175" s="196"/>
      <c r="J175" s="196" t="s">
        <v>1165</v>
      </c>
      <c r="K175" s="196" t="s">
        <v>4</v>
      </c>
      <c r="L175" s="196" t="s">
        <v>1151</v>
      </c>
      <c r="M175" s="198" t="s">
        <v>1166</v>
      </c>
      <c r="N175" s="196" t="s">
        <v>1167</v>
      </c>
      <c r="O175" s="199">
        <v>3732.62</v>
      </c>
      <c r="P175" s="196" t="s">
        <v>1161</v>
      </c>
      <c r="Q175" s="199"/>
      <c r="R175" s="199"/>
      <c r="S175" s="199"/>
      <c r="T175" s="199">
        <v>7558.92</v>
      </c>
      <c r="U175" s="199"/>
      <c r="V175" s="199"/>
      <c r="W175" s="199">
        <f t="shared" si="7"/>
        <v>7558.92</v>
      </c>
      <c r="X175" s="196" t="s">
        <v>1155</v>
      </c>
      <c r="Y175" s="199"/>
      <c r="Z175" s="200">
        <v>3033</v>
      </c>
      <c r="AA175" s="200"/>
      <c r="AB175" s="200">
        <f t="shared" si="6"/>
        <v>3033</v>
      </c>
      <c r="AC175" s="196" t="s">
        <v>884</v>
      </c>
      <c r="AD175" s="196" t="s">
        <v>61</v>
      </c>
      <c r="AE175" s="197">
        <v>43077</v>
      </c>
      <c r="AF175" s="197"/>
      <c r="AG175" s="197"/>
      <c r="AH175" s="199"/>
      <c r="AI175" s="196"/>
      <c r="AJ175" s="196" t="s">
        <v>1168</v>
      </c>
      <c r="AK175" s="196" t="s">
        <v>1169</v>
      </c>
    </row>
    <row r="176" spans="1:37" s="201" customFormat="1" ht="30">
      <c r="A176" s="196" t="s">
        <v>883</v>
      </c>
      <c r="B176" s="196" t="s">
        <v>3083</v>
      </c>
      <c r="C176" s="196" t="s">
        <v>1170</v>
      </c>
      <c r="D176" s="196"/>
      <c r="E176" s="197"/>
      <c r="F176" s="196" t="s">
        <v>58</v>
      </c>
      <c r="G176" s="196" t="s">
        <v>1163</v>
      </c>
      <c r="H176" s="196" t="s">
        <v>1164</v>
      </c>
      <c r="I176" s="196"/>
      <c r="J176" s="196" t="s">
        <v>1171</v>
      </c>
      <c r="K176" s="196" t="s">
        <v>4</v>
      </c>
      <c r="L176" s="196" t="s">
        <v>1160</v>
      </c>
      <c r="M176" s="198" t="s">
        <v>1166</v>
      </c>
      <c r="N176" s="196" t="s">
        <v>1167</v>
      </c>
      <c r="O176" s="199">
        <v>3732.62</v>
      </c>
      <c r="P176" s="196" t="s">
        <v>1172</v>
      </c>
      <c r="Q176" s="199">
        <v>9834.11</v>
      </c>
      <c r="R176" s="199"/>
      <c r="S176" s="199"/>
      <c r="T176" s="199"/>
      <c r="U176" s="199"/>
      <c r="V176" s="199"/>
      <c r="W176" s="199">
        <f t="shared" si="7"/>
        <v>9834.11</v>
      </c>
      <c r="X176" s="196" t="s">
        <v>1155</v>
      </c>
      <c r="Y176" s="199"/>
      <c r="Z176" s="200">
        <v>4171</v>
      </c>
      <c r="AA176" s="200"/>
      <c r="AB176" s="200">
        <f t="shared" si="6"/>
        <v>4171</v>
      </c>
      <c r="AC176" s="196" t="s">
        <v>885</v>
      </c>
      <c r="AD176" s="196" t="s">
        <v>61</v>
      </c>
      <c r="AE176" s="197">
        <v>43493</v>
      </c>
      <c r="AF176" s="197"/>
      <c r="AG176" s="197"/>
      <c r="AH176" s="199"/>
      <c r="AI176" s="196"/>
      <c r="AJ176" s="138" t="s">
        <v>1173</v>
      </c>
      <c r="AK176" s="196" t="s">
        <v>1169</v>
      </c>
    </row>
    <row r="177" spans="1:37" s="201" customFormat="1">
      <c r="A177" s="196" t="s">
        <v>883</v>
      </c>
      <c r="B177" s="196" t="s">
        <v>3083</v>
      </c>
      <c r="C177" s="196" t="s">
        <v>1174</v>
      </c>
      <c r="D177" s="196"/>
      <c r="E177" s="197"/>
      <c r="F177" s="196" t="s">
        <v>58</v>
      </c>
      <c r="G177" s="196" t="s">
        <v>1163</v>
      </c>
      <c r="H177" s="196" t="s">
        <v>1164</v>
      </c>
      <c r="I177" s="196"/>
      <c r="J177" s="196" t="s">
        <v>1171</v>
      </c>
      <c r="K177" s="196" t="s">
        <v>4</v>
      </c>
      <c r="L177" s="196" t="s">
        <v>1160</v>
      </c>
      <c r="M177" s="198" t="s">
        <v>1166</v>
      </c>
      <c r="N177" s="196" t="s">
        <v>1167</v>
      </c>
      <c r="O177" s="199">
        <v>3732.62</v>
      </c>
      <c r="P177" s="196" t="s">
        <v>1172</v>
      </c>
      <c r="Q177" s="199">
        <v>9833.9599999999991</v>
      </c>
      <c r="R177" s="199"/>
      <c r="S177" s="199"/>
      <c r="T177" s="199"/>
      <c r="U177" s="199"/>
      <c r="V177" s="199"/>
      <c r="W177" s="199">
        <f t="shared" si="7"/>
        <v>9833.9599999999991</v>
      </c>
      <c r="X177" s="196" t="s">
        <v>1155</v>
      </c>
      <c r="Y177" s="199"/>
      <c r="Z177" s="200">
        <v>4171</v>
      </c>
      <c r="AA177" s="200">
        <v>1867</v>
      </c>
      <c r="AB177" s="200">
        <f t="shared" si="6"/>
        <v>6038</v>
      </c>
      <c r="AC177" s="196" t="s">
        <v>886</v>
      </c>
      <c r="AD177" s="196" t="s">
        <v>61</v>
      </c>
      <c r="AE177" s="197">
        <v>43984</v>
      </c>
      <c r="AF177" s="197"/>
      <c r="AG177" s="197"/>
      <c r="AH177" s="199"/>
      <c r="AI177" s="196"/>
      <c r="AJ177" s="196" t="s">
        <v>2837</v>
      </c>
      <c r="AK177" s="196" t="s">
        <v>1169</v>
      </c>
    </row>
    <row r="178" spans="1:37" s="201" customFormat="1">
      <c r="A178" s="196" t="s">
        <v>888</v>
      </c>
      <c r="B178" s="196" t="s">
        <v>3083</v>
      </c>
      <c r="C178" s="196" t="s">
        <v>1927</v>
      </c>
      <c r="D178" s="196"/>
      <c r="E178" s="197"/>
      <c r="F178" s="196" t="s">
        <v>58</v>
      </c>
      <c r="G178" s="196" t="s">
        <v>2838</v>
      </c>
      <c r="H178" s="196" t="s">
        <v>2839</v>
      </c>
      <c r="I178" s="196"/>
      <c r="J178" s="196" t="s">
        <v>2840</v>
      </c>
      <c r="K178" s="196" t="s">
        <v>2</v>
      </c>
      <c r="L178" s="196" t="s">
        <v>1151</v>
      </c>
      <c r="M178" s="198" t="s">
        <v>2841</v>
      </c>
      <c r="N178" s="196" t="s">
        <v>2842</v>
      </c>
      <c r="O178" s="199">
        <v>1600</v>
      </c>
      <c r="P178" s="196" t="s">
        <v>1172</v>
      </c>
      <c r="Q178" s="199"/>
      <c r="R178" s="199"/>
      <c r="S178" s="199"/>
      <c r="T178" s="199"/>
      <c r="U178" s="199"/>
      <c r="V178" s="199"/>
      <c r="W178" s="199">
        <f t="shared" si="7"/>
        <v>0</v>
      </c>
      <c r="X178" s="196" t="s">
        <v>1155</v>
      </c>
      <c r="Y178" s="199"/>
      <c r="Z178" s="200">
        <v>0</v>
      </c>
      <c r="AA178" s="200">
        <v>400</v>
      </c>
      <c r="AB178" s="200">
        <f t="shared" si="6"/>
        <v>400</v>
      </c>
      <c r="AC178" s="195" t="s">
        <v>889</v>
      </c>
      <c r="AD178" s="196" t="s">
        <v>61</v>
      </c>
      <c r="AE178" s="197">
        <v>43585</v>
      </c>
      <c r="AF178" s="197"/>
      <c r="AG178" s="197"/>
      <c r="AH178" s="199"/>
      <c r="AI178" s="196"/>
      <c r="AJ178" s="196" t="s">
        <v>2843</v>
      </c>
      <c r="AK178" s="196" t="s">
        <v>1169</v>
      </c>
    </row>
    <row r="179" spans="1:37" s="201" customFormat="1">
      <c r="A179" s="196" t="s">
        <v>888</v>
      </c>
      <c r="B179" s="196" t="s">
        <v>3083</v>
      </c>
      <c r="C179" s="196" t="s">
        <v>1928</v>
      </c>
      <c r="D179" s="196"/>
      <c r="E179" s="197"/>
      <c r="F179" s="196" t="s">
        <v>58</v>
      </c>
      <c r="G179" s="196" t="s">
        <v>2838</v>
      </c>
      <c r="H179" s="196" t="s">
        <v>2839</v>
      </c>
      <c r="I179" s="196"/>
      <c r="J179" s="196" t="s">
        <v>2844</v>
      </c>
      <c r="K179" s="196" t="s">
        <v>2</v>
      </c>
      <c r="L179" s="196" t="s">
        <v>1160</v>
      </c>
      <c r="M179" s="198" t="s">
        <v>2841</v>
      </c>
      <c r="N179" s="196" t="s">
        <v>2842</v>
      </c>
      <c r="O179" s="199">
        <v>1600</v>
      </c>
      <c r="P179" s="196" t="s">
        <v>1172</v>
      </c>
      <c r="Q179" s="199">
        <v>4800</v>
      </c>
      <c r="R179" s="199"/>
      <c r="S179" s="199"/>
      <c r="T179" s="199"/>
      <c r="U179" s="199"/>
      <c r="V179" s="199"/>
      <c r="W179" s="199">
        <f t="shared" si="7"/>
        <v>4800</v>
      </c>
      <c r="X179" s="196" t="s">
        <v>1155</v>
      </c>
      <c r="Y179" s="199"/>
      <c r="Z179" s="200">
        <v>3693</v>
      </c>
      <c r="AA179" s="200">
        <v>372</v>
      </c>
      <c r="AB179" s="200">
        <f t="shared" si="6"/>
        <v>4065</v>
      </c>
      <c r="AC179" s="196" t="s">
        <v>890</v>
      </c>
      <c r="AD179" s="196" t="s">
        <v>59</v>
      </c>
      <c r="AE179" s="197">
        <v>43805</v>
      </c>
      <c r="AF179" s="197"/>
      <c r="AG179" s="197"/>
      <c r="AH179" s="199"/>
      <c r="AI179" s="196"/>
      <c r="AJ179" s="196" t="s">
        <v>2845</v>
      </c>
      <c r="AK179" s="196" t="s">
        <v>1169</v>
      </c>
    </row>
    <row r="180" spans="1:37" s="201" customFormat="1">
      <c r="A180" s="196" t="s">
        <v>891</v>
      </c>
      <c r="B180" s="196" t="s">
        <v>3083</v>
      </c>
      <c r="C180" s="196"/>
      <c r="D180" s="196" t="s">
        <v>2846</v>
      </c>
      <c r="E180" s="197">
        <v>43089</v>
      </c>
      <c r="F180" s="196" t="s">
        <v>58</v>
      </c>
      <c r="G180" s="196" t="s">
        <v>2847</v>
      </c>
      <c r="H180" s="196" t="s">
        <v>2848</v>
      </c>
      <c r="I180" s="196"/>
      <c r="J180" s="196" t="s">
        <v>2849</v>
      </c>
      <c r="K180" s="196" t="s">
        <v>3</v>
      </c>
      <c r="L180" s="196" t="s">
        <v>1151</v>
      </c>
      <c r="M180" s="198" t="s">
        <v>2850</v>
      </c>
      <c r="N180" s="196" t="s">
        <v>2851</v>
      </c>
      <c r="O180" s="199">
        <v>2049.2399999999998</v>
      </c>
      <c r="P180" s="196" t="s">
        <v>1161</v>
      </c>
      <c r="Q180" s="199"/>
      <c r="R180" s="199"/>
      <c r="S180" s="199"/>
      <c r="T180" s="199"/>
      <c r="U180" s="199"/>
      <c r="V180" s="199"/>
      <c r="W180" s="199">
        <f t="shared" si="7"/>
        <v>0</v>
      </c>
      <c r="X180" s="196" t="s">
        <v>1155</v>
      </c>
      <c r="Y180" s="199"/>
      <c r="Z180" s="200"/>
      <c r="AA180" s="200">
        <v>13</v>
      </c>
      <c r="AB180" s="200">
        <f t="shared" si="6"/>
        <v>13</v>
      </c>
      <c r="AC180" s="196" t="s">
        <v>892</v>
      </c>
      <c r="AD180" s="196" t="s">
        <v>59</v>
      </c>
      <c r="AE180" s="197">
        <v>43187</v>
      </c>
      <c r="AF180" s="197"/>
      <c r="AG180" s="197"/>
      <c r="AH180" s="199"/>
      <c r="AI180" s="196"/>
      <c r="AJ180" s="196"/>
      <c r="AK180" s="196" t="s">
        <v>2852</v>
      </c>
    </row>
    <row r="181" spans="1:37" s="201" customFormat="1">
      <c r="A181" s="196" t="s">
        <v>893</v>
      </c>
      <c r="B181" s="196" t="s">
        <v>3083</v>
      </c>
      <c r="C181" s="196"/>
      <c r="D181" s="196" t="s">
        <v>2853</v>
      </c>
      <c r="E181" s="197">
        <v>42971</v>
      </c>
      <c r="F181" s="196" t="s">
        <v>58</v>
      </c>
      <c r="G181" s="196" t="s">
        <v>2854</v>
      </c>
      <c r="H181" s="196" t="s">
        <v>2855</v>
      </c>
      <c r="I181" s="196"/>
      <c r="J181" s="196" t="s">
        <v>2856</v>
      </c>
      <c r="K181" s="196" t="s">
        <v>40</v>
      </c>
      <c r="L181" s="196" t="s">
        <v>1151</v>
      </c>
      <c r="M181" s="198" t="s">
        <v>2857</v>
      </c>
      <c r="N181" s="196" t="s">
        <v>2858</v>
      </c>
      <c r="O181" s="199">
        <v>1419.78</v>
      </c>
      <c r="P181" s="196" t="s">
        <v>1172</v>
      </c>
      <c r="Q181" s="199">
        <v>2839.42</v>
      </c>
      <c r="R181" s="199"/>
      <c r="S181" s="199"/>
      <c r="T181" s="199"/>
      <c r="U181" s="199"/>
      <c r="V181" s="199"/>
      <c r="W181" s="199">
        <f t="shared" si="7"/>
        <v>2839.42</v>
      </c>
      <c r="X181" s="196" t="s">
        <v>1155</v>
      </c>
      <c r="Y181" s="199"/>
      <c r="Z181" s="200"/>
      <c r="AA181" s="200">
        <v>1136</v>
      </c>
      <c r="AB181" s="200">
        <f t="shared" si="6"/>
        <v>1136</v>
      </c>
      <c r="AC181" s="196" t="s">
        <v>894</v>
      </c>
      <c r="AD181" s="196" t="s">
        <v>61</v>
      </c>
      <c r="AE181" s="197">
        <v>43068</v>
      </c>
      <c r="AF181" s="197"/>
      <c r="AG181" s="197"/>
      <c r="AH181" s="199"/>
      <c r="AI181" s="196"/>
      <c r="AJ181" s="196" t="s">
        <v>2859</v>
      </c>
      <c r="AK181" s="196" t="s">
        <v>2852</v>
      </c>
    </row>
    <row r="182" spans="1:37" s="201" customFormat="1">
      <c r="A182" s="196" t="s">
        <v>893</v>
      </c>
      <c r="B182" s="196" t="s">
        <v>3083</v>
      </c>
      <c r="C182" s="196"/>
      <c r="D182" s="196" t="s">
        <v>2853</v>
      </c>
      <c r="E182" s="197">
        <v>42971</v>
      </c>
      <c r="F182" s="196" t="s">
        <v>58</v>
      </c>
      <c r="G182" s="196" t="s">
        <v>2854</v>
      </c>
      <c r="H182" s="196" t="s">
        <v>2855</v>
      </c>
      <c r="I182" s="196"/>
      <c r="J182" s="196" t="s">
        <v>2856</v>
      </c>
      <c r="K182" s="196" t="s">
        <v>40</v>
      </c>
      <c r="L182" s="196" t="s">
        <v>1151</v>
      </c>
      <c r="M182" s="198" t="s">
        <v>2857</v>
      </c>
      <c r="N182" s="196" t="s">
        <v>2858</v>
      </c>
      <c r="O182" s="199">
        <v>1419.78</v>
      </c>
      <c r="P182" s="196" t="s">
        <v>1172</v>
      </c>
      <c r="Q182" s="199">
        <v>2839.44</v>
      </c>
      <c r="R182" s="199"/>
      <c r="S182" s="199"/>
      <c r="T182" s="199"/>
      <c r="U182" s="199"/>
      <c r="V182" s="199"/>
      <c r="W182" s="199">
        <f t="shared" si="7"/>
        <v>2839.44</v>
      </c>
      <c r="X182" s="196" t="s">
        <v>1155</v>
      </c>
      <c r="Y182" s="199"/>
      <c r="Z182" s="200"/>
      <c r="AA182" s="200">
        <v>1136</v>
      </c>
      <c r="AB182" s="200">
        <f t="shared" ref="AB182:AB242" si="8">AA182+Z182</f>
        <v>1136</v>
      </c>
      <c r="AC182" s="196" t="s">
        <v>895</v>
      </c>
      <c r="AD182" s="196" t="s">
        <v>59</v>
      </c>
      <c r="AE182" s="197">
        <v>43122</v>
      </c>
      <c r="AF182" s="197"/>
      <c r="AG182" s="197"/>
      <c r="AH182" s="199"/>
      <c r="AI182" s="196"/>
      <c r="AJ182" s="196"/>
      <c r="AK182" s="196" t="s">
        <v>2852</v>
      </c>
    </row>
    <row r="183" spans="1:37" s="201" customFormat="1">
      <c r="A183" s="196" t="s">
        <v>896</v>
      </c>
      <c r="B183" s="196" t="s">
        <v>3083</v>
      </c>
      <c r="C183" s="196"/>
      <c r="D183" s="196" t="s">
        <v>2860</v>
      </c>
      <c r="E183" s="197">
        <v>43115</v>
      </c>
      <c r="F183" s="196" t="s">
        <v>58</v>
      </c>
      <c r="G183" s="196" t="s">
        <v>2861</v>
      </c>
      <c r="H183" s="196" t="s">
        <v>2862</v>
      </c>
      <c r="I183" s="196"/>
      <c r="J183" s="196" t="s">
        <v>2863</v>
      </c>
      <c r="K183" s="196" t="s">
        <v>2</v>
      </c>
      <c r="L183" s="196" t="s">
        <v>1151</v>
      </c>
      <c r="M183" s="198" t="s">
        <v>2157</v>
      </c>
      <c r="N183" s="196" t="s">
        <v>2864</v>
      </c>
      <c r="O183" s="199">
        <v>1125</v>
      </c>
      <c r="P183" s="196" t="s">
        <v>1172</v>
      </c>
      <c r="Q183" s="199">
        <v>3375</v>
      </c>
      <c r="R183" s="199"/>
      <c r="S183" s="199"/>
      <c r="T183" s="199"/>
      <c r="U183" s="199"/>
      <c r="V183" s="199"/>
      <c r="W183" s="199">
        <f t="shared" si="7"/>
        <v>3375</v>
      </c>
      <c r="X183" s="196" t="s">
        <v>1155</v>
      </c>
      <c r="Y183" s="199"/>
      <c r="Z183" s="200">
        <v>2597</v>
      </c>
      <c r="AA183" s="200">
        <v>750</v>
      </c>
      <c r="AB183" s="200">
        <f t="shared" si="8"/>
        <v>3347</v>
      </c>
      <c r="AC183" s="196" t="s">
        <v>897</v>
      </c>
      <c r="AD183" s="196" t="s">
        <v>59</v>
      </c>
      <c r="AE183" s="197">
        <v>43164</v>
      </c>
      <c r="AF183" s="197"/>
      <c r="AG183" s="197"/>
      <c r="AH183" s="199"/>
      <c r="AI183" s="196"/>
      <c r="AJ183" s="196"/>
      <c r="AK183" s="196" t="s">
        <v>2852</v>
      </c>
    </row>
    <row r="184" spans="1:37" s="201" customFormat="1">
      <c r="A184" s="196" t="s">
        <v>899</v>
      </c>
      <c r="B184" s="196" t="s">
        <v>3083</v>
      </c>
      <c r="C184" s="196" t="s">
        <v>1939</v>
      </c>
      <c r="D184" s="196"/>
      <c r="E184" s="197">
        <v>43426</v>
      </c>
      <c r="F184" s="196" t="s">
        <v>58</v>
      </c>
      <c r="G184" s="196" t="s">
        <v>2865</v>
      </c>
      <c r="H184" s="196" t="s">
        <v>2866</v>
      </c>
      <c r="I184" s="196"/>
      <c r="J184" s="196" t="s">
        <v>2867</v>
      </c>
      <c r="K184" s="196" t="s">
        <v>3</v>
      </c>
      <c r="L184" s="196" t="s">
        <v>1151</v>
      </c>
      <c r="M184" s="198" t="s">
        <v>2868</v>
      </c>
      <c r="N184" s="196" t="s">
        <v>2869</v>
      </c>
      <c r="O184" s="199">
        <v>2162</v>
      </c>
      <c r="P184" s="196" t="s">
        <v>1172</v>
      </c>
      <c r="Q184" s="199">
        <f>3*O184</f>
        <v>6486</v>
      </c>
      <c r="R184" s="199"/>
      <c r="S184" s="199"/>
      <c r="T184" s="199"/>
      <c r="U184" s="199"/>
      <c r="V184" s="199"/>
      <c r="W184" s="199">
        <f t="shared" si="7"/>
        <v>6486</v>
      </c>
      <c r="X184" s="196" t="s">
        <v>1155</v>
      </c>
      <c r="Y184" s="199"/>
      <c r="Z184" s="200">
        <v>4324</v>
      </c>
      <c r="AA184" s="200"/>
      <c r="AB184" s="200">
        <f t="shared" si="8"/>
        <v>4324</v>
      </c>
      <c r="AC184" s="196" t="s">
        <v>900</v>
      </c>
      <c r="AD184" s="196" t="s">
        <v>59</v>
      </c>
      <c r="AE184" s="197">
        <v>43585</v>
      </c>
      <c r="AF184" s="197"/>
      <c r="AG184" s="197"/>
      <c r="AH184" s="199"/>
      <c r="AI184" s="196"/>
      <c r="AJ184" s="196"/>
      <c r="AK184" s="196" t="s">
        <v>2852</v>
      </c>
    </row>
    <row r="185" spans="1:37" s="201" customFormat="1">
      <c r="A185" s="196" t="s">
        <v>901</v>
      </c>
      <c r="B185" s="196" t="s">
        <v>3083</v>
      </c>
      <c r="C185" s="196" t="s">
        <v>1942</v>
      </c>
      <c r="D185" s="196"/>
      <c r="E185" s="197">
        <v>43539</v>
      </c>
      <c r="F185" s="196" t="s">
        <v>58</v>
      </c>
      <c r="G185" s="196" t="s">
        <v>2870</v>
      </c>
      <c r="H185" s="196" t="s">
        <v>2871</v>
      </c>
      <c r="I185" s="196"/>
      <c r="J185" s="196" t="s">
        <v>2872</v>
      </c>
      <c r="K185" s="196" t="s">
        <v>40</v>
      </c>
      <c r="L185" s="196" t="s">
        <v>1151</v>
      </c>
      <c r="M185" s="198" t="s">
        <v>2873</v>
      </c>
      <c r="N185" s="196" t="s">
        <v>2874</v>
      </c>
      <c r="O185" s="199">
        <v>1558.78</v>
      </c>
      <c r="P185" s="196" t="s">
        <v>1172</v>
      </c>
      <c r="Q185" s="199">
        <v>520.47659999999996</v>
      </c>
      <c r="R185" s="199"/>
      <c r="S185" s="199"/>
      <c r="T185" s="199"/>
      <c r="U185" s="199"/>
      <c r="V185" s="199"/>
      <c r="W185" s="199">
        <f t="shared" si="7"/>
        <v>520.47659999999996</v>
      </c>
      <c r="X185" s="196" t="s">
        <v>1155</v>
      </c>
      <c r="Y185" s="199"/>
      <c r="Z185" s="200">
        <v>347</v>
      </c>
      <c r="AA185" s="200"/>
      <c r="AB185" s="200">
        <f t="shared" si="8"/>
        <v>347</v>
      </c>
      <c r="AC185" s="196" t="s">
        <v>902</v>
      </c>
      <c r="AD185" s="196" t="s">
        <v>61</v>
      </c>
      <c r="AE185" s="197">
        <v>43650</v>
      </c>
      <c r="AF185" s="197"/>
      <c r="AG185" s="197"/>
      <c r="AH185" s="199"/>
      <c r="AI185" s="196"/>
      <c r="AJ185" s="196" t="s">
        <v>2875</v>
      </c>
      <c r="AK185" s="196" t="s">
        <v>2852</v>
      </c>
    </row>
    <row r="186" spans="1:37" s="201" customFormat="1">
      <c r="A186" s="196" t="s">
        <v>901</v>
      </c>
      <c r="B186" s="196" t="s">
        <v>3083</v>
      </c>
      <c r="C186" s="196" t="s">
        <v>1944</v>
      </c>
      <c r="D186" s="196"/>
      <c r="E186" s="197">
        <v>43811</v>
      </c>
      <c r="F186" s="196" t="s">
        <v>58</v>
      </c>
      <c r="G186" s="196" t="s">
        <v>2870</v>
      </c>
      <c r="H186" s="196" t="s">
        <v>2871</v>
      </c>
      <c r="I186" s="196"/>
      <c r="J186" s="196" t="s">
        <v>2872</v>
      </c>
      <c r="K186" s="196" t="s">
        <v>40</v>
      </c>
      <c r="L186" s="196" t="s">
        <v>1151</v>
      </c>
      <c r="M186" s="198" t="s">
        <v>2873</v>
      </c>
      <c r="N186" s="196" t="s">
        <v>2874</v>
      </c>
      <c r="O186" s="199">
        <v>1558.78</v>
      </c>
      <c r="P186" s="196" t="s">
        <v>1172</v>
      </c>
      <c r="Q186" s="199">
        <v>4676.34</v>
      </c>
      <c r="R186" s="199"/>
      <c r="S186" s="199"/>
      <c r="T186" s="196"/>
      <c r="U186" s="196"/>
      <c r="V186" s="196"/>
      <c r="W186" s="199">
        <f t="shared" si="7"/>
        <v>4676.34</v>
      </c>
      <c r="X186" s="196" t="s">
        <v>1155</v>
      </c>
      <c r="Y186" s="196"/>
      <c r="Z186" s="200">
        <v>3118</v>
      </c>
      <c r="AA186" s="196"/>
      <c r="AB186" s="200">
        <f t="shared" si="8"/>
        <v>3118</v>
      </c>
      <c r="AC186" s="196" t="s">
        <v>903</v>
      </c>
      <c r="AD186" s="196" t="s">
        <v>61</v>
      </c>
      <c r="AE186" s="197">
        <v>43978</v>
      </c>
      <c r="AF186" s="197"/>
      <c r="AG186" s="197"/>
      <c r="AH186" s="199"/>
      <c r="AI186" s="196"/>
      <c r="AJ186" s="196" t="s">
        <v>2876</v>
      </c>
      <c r="AK186" s="196" t="s">
        <v>2852</v>
      </c>
    </row>
    <row r="187" spans="1:37" s="201" customFormat="1">
      <c r="A187" s="196" t="s">
        <v>901</v>
      </c>
      <c r="B187" s="196" t="s">
        <v>3083</v>
      </c>
      <c r="C187" s="196" t="s">
        <v>2877</v>
      </c>
      <c r="D187" s="196"/>
      <c r="E187" s="197">
        <v>43985</v>
      </c>
      <c r="F187" s="196" t="s">
        <v>58</v>
      </c>
      <c r="G187" s="196" t="s">
        <v>2870</v>
      </c>
      <c r="H187" s="196" t="s">
        <v>2871</v>
      </c>
      <c r="I187" s="196"/>
      <c r="J187" s="196" t="s">
        <v>2872</v>
      </c>
      <c r="K187" s="196" t="s">
        <v>40</v>
      </c>
      <c r="L187" s="196" t="s">
        <v>1151</v>
      </c>
      <c r="M187" s="198" t="s">
        <v>2873</v>
      </c>
      <c r="N187" s="196" t="s">
        <v>2874</v>
      </c>
      <c r="O187" s="199">
        <v>1558.78</v>
      </c>
      <c r="P187" s="196" t="s">
        <v>1172</v>
      </c>
      <c r="Q187" s="199">
        <v>4676.34</v>
      </c>
      <c r="R187" s="199"/>
      <c r="S187" s="199"/>
      <c r="T187" s="199"/>
      <c r="U187" s="199"/>
      <c r="V187" s="199"/>
      <c r="W187" s="199">
        <f t="shared" si="7"/>
        <v>4676.34</v>
      </c>
      <c r="X187" s="196" t="s">
        <v>1155</v>
      </c>
      <c r="Y187" s="199"/>
      <c r="Z187" s="200">
        <v>3118</v>
      </c>
      <c r="AA187" s="200">
        <v>1040</v>
      </c>
      <c r="AB187" s="200">
        <f t="shared" si="8"/>
        <v>4158</v>
      </c>
      <c r="AC187" s="196" t="s">
        <v>904</v>
      </c>
      <c r="AD187" s="196" t="s">
        <v>59</v>
      </c>
      <c r="AE187" s="197">
        <v>44090</v>
      </c>
      <c r="AF187" s="197"/>
      <c r="AG187" s="197"/>
      <c r="AH187" s="199"/>
      <c r="AI187" s="196"/>
      <c r="AJ187" s="196"/>
      <c r="AK187" s="196" t="s">
        <v>2852</v>
      </c>
    </row>
    <row r="188" spans="1:37" s="201" customFormat="1">
      <c r="A188" s="196" t="s">
        <v>905</v>
      </c>
      <c r="B188" s="196" t="s">
        <v>3083</v>
      </c>
      <c r="C188" s="196" t="s">
        <v>1948</v>
      </c>
      <c r="D188" s="196"/>
      <c r="E188" s="197">
        <v>43571</v>
      </c>
      <c r="F188" s="196" t="s">
        <v>58</v>
      </c>
      <c r="G188" s="196" t="s">
        <v>2878</v>
      </c>
      <c r="H188" s="196" t="s">
        <v>2879</v>
      </c>
      <c r="I188" s="196"/>
      <c r="J188" s="196" t="s">
        <v>2880</v>
      </c>
      <c r="K188" s="196" t="s">
        <v>40</v>
      </c>
      <c r="L188" s="196" t="s">
        <v>1151</v>
      </c>
      <c r="M188" s="198" t="s">
        <v>2881</v>
      </c>
      <c r="N188" s="196" t="s">
        <v>2882</v>
      </c>
      <c r="O188" s="199">
        <v>2874.25</v>
      </c>
      <c r="P188" s="196" t="s">
        <v>1172</v>
      </c>
      <c r="Q188" s="199">
        <v>3888.29</v>
      </c>
      <c r="R188" s="199"/>
      <c r="S188" s="199"/>
      <c r="T188" s="199"/>
      <c r="U188" s="199"/>
      <c r="V188" s="199"/>
      <c r="W188" s="199">
        <f t="shared" si="7"/>
        <v>3888.29</v>
      </c>
      <c r="X188" s="196" t="s">
        <v>1155</v>
      </c>
      <c r="Y188" s="199"/>
      <c r="Z188" s="200">
        <v>2209</v>
      </c>
      <c r="AA188" s="200">
        <v>1904</v>
      </c>
      <c r="AB188" s="200">
        <f t="shared" si="8"/>
        <v>4113</v>
      </c>
      <c r="AC188" s="196" t="s">
        <v>906</v>
      </c>
      <c r="AD188" s="196" t="s">
        <v>61</v>
      </c>
      <c r="AE188" s="197">
        <v>43826</v>
      </c>
      <c r="AF188" s="197"/>
      <c r="AG188" s="197"/>
      <c r="AH188" s="199"/>
      <c r="AI188" s="196"/>
      <c r="AJ188" s="196" t="s">
        <v>2883</v>
      </c>
      <c r="AK188" s="196" t="s">
        <v>2852</v>
      </c>
    </row>
    <row r="189" spans="1:37" s="201" customFormat="1">
      <c r="A189" s="196" t="s">
        <v>905</v>
      </c>
      <c r="B189" s="196" t="s">
        <v>3083</v>
      </c>
      <c r="C189" s="196" t="s">
        <v>1949</v>
      </c>
      <c r="D189" s="196"/>
      <c r="E189" s="197">
        <v>44069</v>
      </c>
      <c r="F189" s="196" t="s">
        <v>58</v>
      </c>
      <c r="G189" s="196" t="s">
        <v>2884</v>
      </c>
      <c r="H189" s="196" t="s">
        <v>2879</v>
      </c>
      <c r="I189" s="196" t="s">
        <v>2885</v>
      </c>
      <c r="J189" s="196" t="s">
        <v>2880</v>
      </c>
      <c r="K189" s="196" t="s">
        <v>40</v>
      </c>
      <c r="L189" s="196" t="s">
        <v>1151</v>
      </c>
      <c r="M189" s="198" t="s">
        <v>2881</v>
      </c>
      <c r="N189" s="196" t="s">
        <v>2882</v>
      </c>
      <c r="O189" s="199">
        <v>2855.8</v>
      </c>
      <c r="P189" s="196" t="s">
        <v>1172</v>
      </c>
      <c r="Q189" s="199">
        <v>5470</v>
      </c>
      <c r="R189" s="199"/>
      <c r="S189" s="199"/>
      <c r="T189" s="199"/>
      <c r="U189" s="199"/>
      <c r="V189" s="199"/>
      <c r="W189" s="199">
        <f t="shared" si="7"/>
        <v>5470</v>
      </c>
      <c r="X189" s="196" t="s">
        <v>1155</v>
      </c>
      <c r="Y189" s="199"/>
      <c r="Z189" s="200">
        <v>3266</v>
      </c>
      <c r="AA189" s="200">
        <v>1904</v>
      </c>
      <c r="AB189" s="200">
        <f t="shared" si="8"/>
        <v>5170</v>
      </c>
      <c r="AC189" s="196" t="s">
        <v>907</v>
      </c>
      <c r="AD189" s="196" t="s">
        <v>59</v>
      </c>
      <c r="AE189" s="197">
        <v>44144</v>
      </c>
      <c r="AF189" s="197"/>
      <c r="AG189" s="197"/>
      <c r="AH189" s="199"/>
      <c r="AI189" s="196"/>
      <c r="AJ189" s="196"/>
      <c r="AK189" s="196" t="s">
        <v>2852</v>
      </c>
    </row>
    <row r="190" spans="1:37" s="201" customFormat="1">
      <c r="A190" s="196" t="s">
        <v>908</v>
      </c>
      <c r="B190" s="196" t="s">
        <v>3083</v>
      </c>
      <c r="C190" s="196" t="s">
        <v>1952</v>
      </c>
      <c r="D190" s="196"/>
      <c r="E190" s="197">
        <v>43747</v>
      </c>
      <c r="F190" s="196" t="s">
        <v>58</v>
      </c>
      <c r="G190" s="196" t="s">
        <v>2886</v>
      </c>
      <c r="H190" s="196" t="s">
        <v>2887</v>
      </c>
      <c r="I190" s="196"/>
      <c r="J190" s="196" t="s">
        <v>2888</v>
      </c>
      <c r="K190" s="196" t="s">
        <v>40</v>
      </c>
      <c r="L190" s="196" t="s">
        <v>1151</v>
      </c>
      <c r="M190" s="198" t="s">
        <v>2889</v>
      </c>
      <c r="N190" s="196" t="s">
        <v>2890</v>
      </c>
      <c r="O190" s="199">
        <v>1280.19</v>
      </c>
      <c r="P190" s="196" t="s">
        <v>1172</v>
      </c>
      <c r="Q190" s="199">
        <v>3579.93</v>
      </c>
      <c r="R190" s="199"/>
      <c r="S190" s="199"/>
      <c r="T190" s="199"/>
      <c r="U190" s="199"/>
      <c r="V190" s="199"/>
      <c r="W190" s="199">
        <f t="shared" si="7"/>
        <v>3579.93</v>
      </c>
      <c r="X190" s="196" t="s">
        <v>1155</v>
      </c>
      <c r="Y190" s="199"/>
      <c r="Z190" s="200">
        <v>1433</v>
      </c>
      <c r="AA190" s="200"/>
      <c r="AB190" s="200">
        <f t="shared" si="8"/>
        <v>1433</v>
      </c>
      <c r="AC190" s="196" t="s">
        <v>909</v>
      </c>
      <c r="AD190" s="196" t="s">
        <v>61</v>
      </c>
      <c r="AE190" s="197">
        <v>43943</v>
      </c>
      <c r="AF190" s="197"/>
      <c r="AG190" s="197"/>
      <c r="AH190" s="199"/>
      <c r="AI190" s="196"/>
      <c r="AJ190" s="196" t="s">
        <v>2891</v>
      </c>
      <c r="AK190" s="196" t="s">
        <v>2892</v>
      </c>
    </row>
    <row r="191" spans="1:37" s="201" customFormat="1">
      <c r="A191" s="196" t="s">
        <v>908</v>
      </c>
      <c r="B191" s="196" t="s">
        <v>3083</v>
      </c>
      <c r="C191" s="196" t="s">
        <v>1953</v>
      </c>
      <c r="D191" s="196"/>
      <c r="E191" s="197">
        <v>44022</v>
      </c>
      <c r="F191" s="196" t="s">
        <v>58</v>
      </c>
      <c r="G191" s="196" t="s">
        <v>2886</v>
      </c>
      <c r="H191" s="196" t="s">
        <v>2887</v>
      </c>
      <c r="I191" s="196"/>
      <c r="J191" s="196" t="s">
        <v>2888</v>
      </c>
      <c r="K191" s="196" t="s">
        <v>40</v>
      </c>
      <c r="L191" s="196" t="s">
        <v>1151</v>
      </c>
      <c r="M191" s="198" t="s">
        <v>2889</v>
      </c>
      <c r="N191" s="196" t="s">
        <v>2890</v>
      </c>
      <c r="O191" s="199">
        <v>1280.19</v>
      </c>
      <c r="P191" s="196" t="s">
        <v>1172</v>
      </c>
      <c r="Q191" s="199">
        <v>3834.69</v>
      </c>
      <c r="R191" s="199"/>
      <c r="S191" s="199"/>
      <c r="T191" s="199"/>
      <c r="U191" s="199"/>
      <c r="V191" s="199"/>
      <c r="W191" s="199">
        <f t="shared" si="7"/>
        <v>3834.69</v>
      </c>
      <c r="X191" s="196" t="s">
        <v>1155</v>
      </c>
      <c r="Y191" s="199"/>
      <c r="Z191" s="200">
        <v>1535</v>
      </c>
      <c r="AA191" s="200"/>
      <c r="AB191" s="200">
        <f t="shared" si="8"/>
        <v>1535</v>
      </c>
      <c r="AC191" s="196" t="s">
        <v>910</v>
      </c>
      <c r="AD191" s="196" t="s">
        <v>59</v>
      </c>
      <c r="AE191" s="197">
        <v>44111</v>
      </c>
      <c r="AF191" s="197"/>
      <c r="AG191" s="197"/>
      <c r="AH191" s="199"/>
      <c r="AI191" s="196"/>
      <c r="AJ191" s="196" t="s">
        <v>2893</v>
      </c>
      <c r="AK191" s="196" t="s">
        <v>2892</v>
      </c>
    </row>
    <row r="192" spans="1:37" s="201" customFormat="1" ht="30">
      <c r="A192" s="196" t="s">
        <v>911</v>
      </c>
      <c r="B192" s="196" t="s">
        <v>3083</v>
      </c>
      <c r="C192" s="196" t="s">
        <v>1956</v>
      </c>
      <c r="D192" s="196"/>
      <c r="E192" s="197">
        <v>44316</v>
      </c>
      <c r="F192" s="196" t="s">
        <v>58</v>
      </c>
      <c r="G192" s="196" t="s">
        <v>2894</v>
      </c>
      <c r="H192" s="196" t="s">
        <v>2895</v>
      </c>
      <c r="I192" s="196"/>
      <c r="J192" s="138" t="s">
        <v>2896</v>
      </c>
      <c r="K192" s="196" t="s">
        <v>40</v>
      </c>
      <c r="L192" s="196" t="s">
        <v>1151</v>
      </c>
      <c r="M192" s="198" t="s">
        <v>2897</v>
      </c>
      <c r="N192" s="196" t="s">
        <v>2898</v>
      </c>
      <c r="O192" s="199">
        <v>3164.28</v>
      </c>
      <c r="P192" s="196" t="s">
        <v>1161</v>
      </c>
      <c r="Q192" s="199"/>
      <c r="R192" s="199"/>
      <c r="S192" s="199"/>
      <c r="T192" s="199">
        <v>1268.24</v>
      </c>
      <c r="U192" s="199"/>
      <c r="V192" s="199"/>
      <c r="W192" s="199">
        <f t="shared" si="7"/>
        <v>1268.24</v>
      </c>
      <c r="X192" s="196" t="s">
        <v>1155</v>
      </c>
      <c r="Y192" s="199"/>
      <c r="Z192" s="200">
        <v>4</v>
      </c>
      <c r="AA192" s="200"/>
      <c r="AB192" s="200">
        <f t="shared" si="8"/>
        <v>4</v>
      </c>
      <c r="AC192" s="196" t="s">
        <v>912</v>
      </c>
      <c r="AD192" s="196" t="s">
        <v>61</v>
      </c>
      <c r="AE192" s="197">
        <v>44546</v>
      </c>
      <c r="AF192" s="197"/>
      <c r="AG192" s="197"/>
      <c r="AH192" s="199"/>
      <c r="AI192" s="196"/>
      <c r="AJ192" s="196"/>
      <c r="AK192" s="196" t="s">
        <v>2899</v>
      </c>
    </row>
    <row r="193" spans="1:37" s="201" customFormat="1">
      <c r="A193" s="196" t="s">
        <v>913</v>
      </c>
      <c r="B193" s="196" t="s">
        <v>3083</v>
      </c>
      <c r="C193" s="196" t="s">
        <v>2900</v>
      </c>
      <c r="D193" s="196"/>
      <c r="E193" s="197">
        <v>43767</v>
      </c>
      <c r="F193" s="196" t="s">
        <v>58</v>
      </c>
      <c r="G193" s="196" t="s">
        <v>2901</v>
      </c>
      <c r="H193" s="196" t="s">
        <v>2902</v>
      </c>
      <c r="I193" s="196"/>
      <c r="J193" s="196" t="s">
        <v>2903</v>
      </c>
      <c r="K193" s="196" t="s">
        <v>2</v>
      </c>
      <c r="L193" s="196" t="s">
        <v>1151</v>
      </c>
      <c r="M193" s="198" t="s">
        <v>2904</v>
      </c>
      <c r="N193" s="196" t="s">
        <v>2905</v>
      </c>
      <c r="O193" s="199">
        <v>1200</v>
      </c>
      <c r="P193" s="196" t="s">
        <v>1172</v>
      </c>
      <c r="Q193" s="199">
        <v>3600</v>
      </c>
      <c r="R193" s="199"/>
      <c r="S193" s="199"/>
      <c r="T193" s="199"/>
      <c r="U193" s="199"/>
      <c r="V193" s="199"/>
      <c r="W193" s="199">
        <f t="shared" si="7"/>
        <v>3600</v>
      </c>
      <c r="X193" s="196" t="s">
        <v>1155</v>
      </c>
      <c r="Y193" s="199"/>
      <c r="Z193" s="200">
        <v>3273</v>
      </c>
      <c r="AA193" s="200">
        <v>800</v>
      </c>
      <c r="AB193" s="200">
        <f t="shared" si="8"/>
        <v>4073</v>
      </c>
      <c r="AC193" s="196" t="s">
        <v>914</v>
      </c>
      <c r="AD193" s="196" t="s">
        <v>59</v>
      </c>
      <c r="AE193" s="197">
        <v>43984</v>
      </c>
      <c r="AF193" s="197"/>
      <c r="AG193" s="197"/>
      <c r="AH193" s="199"/>
      <c r="AI193" s="196"/>
      <c r="AJ193" s="196"/>
      <c r="AK193" s="196" t="s">
        <v>2899</v>
      </c>
    </row>
    <row r="194" spans="1:37" s="201" customFormat="1">
      <c r="A194" s="196" t="s">
        <v>915</v>
      </c>
      <c r="B194" s="196" t="s">
        <v>3083</v>
      </c>
      <c r="C194" s="196" t="s">
        <v>1962</v>
      </c>
      <c r="D194" s="196"/>
      <c r="E194" s="197">
        <v>43768</v>
      </c>
      <c r="F194" s="196" t="s">
        <v>58</v>
      </c>
      <c r="G194" s="196" t="s">
        <v>2906</v>
      </c>
      <c r="H194" s="196" t="s">
        <v>2907</v>
      </c>
      <c r="I194" s="196"/>
      <c r="J194" s="196" t="s">
        <v>2908</v>
      </c>
      <c r="K194" s="196" t="s">
        <v>40</v>
      </c>
      <c r="L194" s="196" t="s">
        <v>1151</v>
      </c>
      <c r="M194" s="198" t="s">
        <v>2145</v>
      </c>
      <c r="N194" s="196" t="s">
        <v>2909</v>
      </c>
      <c r="O194" s="199">
        <v>1020.5</v>
      </c>
      <c r="P194" s="196" t="s">
        <v>1172</v>
      </c>
      <c r="Q194" s="213">
        <v>3226.86</v>
      </c>
      <c r="R194" s="213"/>
      <c r="S194" s="213"/>
      <c r="T194" s="199"/>
      <c r="U194" s="199"/>
      <c r="V194" s="199"/>
      <c r="W194" s="199">
        <f t="shared" si="7"/>
        <v>3226.86</v>
      </c>
      <c r="X194" s="196" t="s">
        <v>1155</v>
      </c>
      <c r="Y194" s="199"/>
      <c r="Z194" s="200">
        <v>1291</v>
      </c>
      <c r="AA194" s="200"/>
      <c r="AB194" s="200">
        <f t="shared" si="8"/>
        <v>1291</v>
      </c>
      <c r="AC194" s="196" t="s">
        <v>916</v>
      </c>
      <c r="AD194" s="196" t="s">
        <v>61</v>
      </c>
      <c r="AE194" s="197">
        <v>43938</v>
      </c>
      <c r="AF194" s="197"/>
      <c r="AG194" s="197"/>
      <c r="AH194" s="199"/>
      <c r="AI194" s="196"/>
      <c r="AJ194" s="196" t="s">
        <v>2910</v>
      </c>
      <c r="AK194" s="196" t="s">
        <v>2899</v>
      </c>
    </row>
    <row r="195" spans="1:37" s="201" customFormat="1">
      <c r="A195" s="196" t="s">
        <v>915</v>
      </c>
      <c r="B195" s="196" t="s">
        <v>3083</v>
      </c>
      <c r="C195" s="196" t="s">
        <v>1965</v>
      </c>
      <c r="D195" s="196"/>
      <c r="E195" s="197">
        <v>43998</v>
      </c>
      <c r="F195" s="196" t="s">
        <v>58</v>
      </c>
      <c r="G195" s="196" t="s">
        <v>2906</v>
      </c>
      <c r="H195" s="196" t="s">
        <v>2907</v>
      </c>
      <c r="I195" s="196"/>
      <c r="J195" s="196" t="s">
        <v>2908</v>
      </c>
      <c r="K195" s="196" t="s">
        <v>40</v>
      </c>
      <c r="L195" s="196" t="s">
        <v>1160</v>
      </c>
      <c r="M195" s="198" t="s">
        <v>2145</v>
      </c>
      <c r="N195" s="196" t="s">
        <v>2909</v>
      </c>
      <c r="O195" s="199">
        <v>1075.6199999999999</v>
      </c>
      <c r="P195" s="196" t="s">
        <v>1172</v>
      </c>
      <c r="Q195" s="199">
        <v>3226.86</v>
      </c>
      <c r="R195" s="199"/>
      <c r="S195" s="199"/>
      <c r="T195" s="199"/>
      <c r="U195" s="199"/>
      <c r="V195" s="199"/>
      <c r="W195" s="199">
        <f t="shared" si="7"/>
        <v>3226.86</v>
      </c>
      <c r="X195" s="196" t="s">
        <v>1155</v>
      </c>
      <c r="Y195" s="199"/>
      <c r="Z195" s="200">
        <v>1291</v>
      </c>
      <c r="AA195" s="200">
        <v>718</v>
      </c>
      <c r="AB195" s="200">
        <f t="shared" si="8"/>
        <v>2009</v>
      </c>
      <c r="AC195" s="196" t="s">
        <v>1963</v>
      </c>
      <c r="AD195" s="196" t="s">
        <v>61</v>
      </c>
      <c r="AE195" s="197">
        <v>44168</v>
      </c>
      <c r="AF195" s="197"/>
      <c r="AG195" s="197"/>
      <c r="AH195" s="199"/>
      <c r="AI195" s="196"/>
      <c r="AJ195" s="196" t="s">
        <v>2911</v>
      </c>
      <c r="AK195" s="196" t="s">
        <v>2899</v>
      </c>
    </row>
    <row r="196" spans="1:37" s="201" customFormat="1">
      <c r="A196" s="196" t="s">
        <v>915</v>
      </c>
      <c r="B196" s="196" t="s">
        <v>3083</v>
      </c>
      <c r="C196" s="196" t="s">
        <v>1965</v>
      </c>
      <c r="D196" s="196"/>
      <c r="E196" s="197">
        <v>43998</v>
      </c>
      <c r="F196" s="196" t="s">
        <v>58</v>
      </c>
      <c r="G196" s="196" t="s">
        <v>2906</v>
      </c>
      <c r="H196" s="196" t="s">
        <v>2907</v>
      </c>
      <c r="I196" s="196"/>
      <c r="J196" s="196" t="s">
        <v>2908</v>
      </c>
      <c r="K196" s="196" t="s">
        <v>40</v>
      </c>
      <c r="L196" s="196" t="s">
        <v>1160</v>
      </c>
      <c r="M196" s="198" t="s">
        <v>2145</v>
      </c>
      <c r="N196" s="196" t="s">
        <v>2909</v>
      </c>
      <c r="O196" s="199">
        <v>1075.6199999999999</v>
      </c>
      <c r="P196" s="196" t="s">
        <v>1172</v>
      </c>
      <c r="Q196" s="199">
        <v>3226.86</v>
      </c>
      <c r="R196" s="199"/>
      <c r="S196" s="199"/>
      <c r="T196" s="199"/>
      <c r="U196" s="199"/>
      <c r="V196" s="199"/>
      <c r="W196" s="199">
        <f t="shared" si="7"/>
        <v>3226.86</v>
      </c>
      <c r="X196" s="196" t="s">
        <v>1155</v>
      </c>
      <c r="Y196" s="199"/>
      <c r="Z196" s="200">
        <v>1291</v>
      </c>
      <c r="AA196" s="200">
        <v>718</v>
      </c>
      <c r="AB196" s="200">
        <f t="shared" si="8"/>
        <v>2009</v>
      </c>
      <c r="AC196" s="196" t="s">
        <v>918</v>
      </c>
      <c r="AD196" s="196" t="s">
        <v>59</v>
      </c>
      <c r="AE196" s="197">
        <v>44238</v>
      </c>
      <c r="AF196" s="197"/>
      <c r="AG196" s="197"/>
      <c r="AH196" s="199"/>
      <c r="AI196" s="196"/>
      <c r="AJ196" s="196" t="s">
        <v>2912</v>
      </c>
      <c r="AK196" s="196" t="s">
        <v>2899</v>
      </c>
    </row>
    <row r="197" spans="1:37" s="201" customFormat="1">
      <c r="A197" s="196" t="s">
        <v>919</v>
      </c>
      <c r="B197" s="196" t="s">
        <v>3083</v>
      </c>
      <c r="C197" s="196" t="s">
        <v>2913</v>
      </c>
      <c r="D197" s="196"/>
      <c r="E197" s="197">
        <v>43781</v>
      </c>
      <c r="F197" s="196" t="s">
        <v>58</v>
      </c>
      <c r="G197" s="196" t="s">
        <v>2914</v>
      </c>
      <c r="H197" s="196" t="s">
        <v>2915</v>
      </c>
      <c r="I197" s="196"/>
      <c r="J197" s="196" t="s">
        <v>2916</v>
      </c>
      <c r="K197" s="196" t="s">
        <v>40</v>
      </c>
      <c r="L197" s="196" t="s">
        <v>1151</v>
      </c>
      <c r="M197" s="198" t="s">
        <v>2917</v>
      </c>
      <c r="N197" s="196" t="s">
        <v>2918</v>
      </c>
      <c r="O197" s="199">
        <v>2110.5</v>
      </c>
      <c r="P197" s="196" t="s">
        <v>1161</v>
      </c>
      <c r="Q197" s="199"/>
      <c r="R197" s="199"/>
      <c r="S197" s="199"/>
      <c r="T197" s="199">
        <v>6331.5</v>
      </c>
      <c r="U197" s="199"/>
      <c r="V197" s="199"/>
      <c r="W197" s="199">
        <f t="shared" si="7"/>
        <v>6331.5</v>
      </c>
      <c r="X197" s="196" t="s">
        <v>1155</v>
      </c>
      <c r="Y197" s="199"/>
      <c r="Z197" s="200">
        <v>6332</v>
      </c>
      <c r="AA197" s="200"/>
      <c r="AB197" s="200">
        <f t="shared" si="8"/>
        <v>6332</v>
      </c>
      <c r="AC197" s="196" t="s">
        <v>920</v>
      </c>
      <c r="AD197" s="196" t="s">
        <v>59</v>
      </c>
      <c r="AE197" s="197">
        <v>43984</v>
      </c>
      <c r="AF197" s="197"/>
      <c r="AG197" s="197"/>
      <c r="AH197" s="199"/>
      <c r="AI197" s="196"/>
      <c r="AJ197" s="196"/>
      <c r="AK197" s="196" t="s">
        <v>2899</v>
      </c>
    </row>
    <row r="198" spans="1:37" s="201" customFormat="1">
      <c r="A198" s="196" t="s">
        <v>921</v>
      </c>
      <c r="B198" s="196" t="s">
        <v>3083</v>
      </c>
      <c r="C198" s="196" t="s">
        <v>2919</v>
      </c>
      <c r="D198" s="196"/>
      <c r="E198" s="197">
        <v>43994</v>
      </c>
      <c r="F198" s="196" t="s">
        <v>58</v>
      </c>
      <c r="G198" s="196" t="s">
        <v>2920</v>
      </c>
      <c r="H198" s="196" t="s">
        <v>2921</v>
      </c>
      <c r="I198" s="196"/>
      <c r="J198" s="196" t="s">
        <v>2922</v>
      </c>
      <c r="K198" s="196" t="s">
        <v>2</v>
      </c>
      <c r="L198" s="196" t="s">
        <v>1151</v>
      </c>
      <c r="M198" s="198" t="s">
        <v>2060</v>
      </c>
      <c r="N198" s="196" t="s">
        <v>2923</v>
      </c>
      <c r="O198" s="199">
        <v>2219.54</v>
      </c>
      <c r="P198" s="196" t="s">
        <v>1172</v>
      </c>
      <c r="Q198" s="199">
        <v>6658.62</v>
      </c>
      <c r="R198" s="199"/>
      <c r="S198" s="199"/>
      <c r="T198" s="199"/>
      <c r="U198" s="199"/>
      <c r="V198" s="199"/>
      <c r="W198" s="199">
        <f t="shared" si="7"/>
        <v>6658.62</v>
      </c>
      <c r="X198" s="196" t="s">
        <v>1155</v>
      </c>
      <c r="Y198" s="199"/>
      <c r="Z198" s="200">
        <v>5123</v>
      </c>
      <c r="AA198" s="200"/>
      <c r="AB198" s="200">
        <f t="shared" si="8"/>
        <v>5123</v>
      </c>
      <c r="AC198" s="196" t="s">
        <v>922</v>
      </c>
      <c r="AD198" s="196" t="s">
        <v>61</v>
      </c>
      <c r="AE198" s="197">
        <v>43994</v>
      </c>
      <c r="AF198" s="197"/>
      <c r="AG198" s="197"/>
      <c r="AH198" s="199"/>
      <c r="AI198" s="196"/>
      <c r="AJ198" s="196" t="s">
        <v>2924</v>
      </c>
      <c r="AK198" s="196" t="s">
        <v>2899</v>
      </c>
    </row>
    <row r="199" spans="1:37" s="201" customFormat="1">
      <c r="A199" s="196" t="s">
        <v>921</v>
      </c>
      <c r="B199" s="196" t="s">
        <v>3083</v>
      </c>
      <c r="C199" s="196" t="s">
        <v>1972</v>
      </c>
      <c r="D199" s="196"/>
      <c r="E199" s="197">
        <v>44489</v>
      </c>
      <c r="F199" s="196" t="s">
        <v>58</v>
      </c>
      <c r="G199" s="196" t="s">
        <v>2920</v>
      </c>
      <c r="H199" s="196" t="s">
        <v>2921</v>
      </c>
      <c r="I199" s="196"/>
      <c r="J199" s="196" t="s">
        <v>2922</v>
      </c>
      <c r="K199" s="196" t="s">
        <v>2</v>
      </c>
      <c r="L199" s="196" t="s">
        <v>1160</v>
      </c>
      <c r="M199" s="198" t="s">
        <v>2060</v>
      </c>
      <c r="N199" s="196" t="s">
        <v>2923</v>
      </c>
      <c r="O199" s="199">
        <v>2326.98</v>
      </c>
      <c r="P199" s="196" t="s">
        <v>1172</v>
      </c>
      <c r="Q199" s="199">
        <v>6609.45</v>
      </c>
      <c r="R199" s="199"/>
      <c r="S199" s="199"/>
      <c r="T199" s="199"/>
      <c r="U199" s="199"/>
      <c r="V199" s="199"/>
      <c r="W199" s="199">
        <f t="shared" si="7"/>
        <v>6609.45</v>
      </c>
      <c r="X199" s="196" t="s">
        <v>1155</v>
      </c>
      <c r="Y199" s="199"/>
      <c r="Z199" s="200">
        <v>5085</v>
      </c>
      <c r="AA199" s="200"/>
      <c r="AB199" s="200">
        <f t="shared" si="8"/>
        <v>5085</v>
      </c>
      <c r="AC199" s="195" t="s">
        <v>923</v>
      </c>
      <c r="AD199" s="196" t="s">
        <v>59</v>
      </c>
      <c r="AE199" s="197">
        <v>44628</v>
      </c>
      <c r="AF199" s="197"/>
      <c r="AG199" s="197"/>
      <c r="AH199" s="199"/>
      <c r="AI199" s="196"/>
      <c r="AJ199" s="196" t="s">
        <v>2925</v>
      </c>
      <c r="AK199" s="196" t="s">
        <v>2899</v>
      </c>
    </row>
    <row r="200" spans="1:37" s="201" customFormat="1">
      <c r="A200" s="196" t="s">
        <v>924</v>
      </c>
      <c r="B200" s="196" t="s">
        <v>3083</v>
      </c>
      <c r="C200" s="196" t="s">
        <v>1975</v>
      </c>
      <c r="D200" s="196"/>
      <c r="E200" s="197">
        <v>43811</v>
      </c>
      <c r="F200" s="196" t="s">
        <v>58</v>
      </c>
      <c r="G200" s="196" t="s">
        <v>2926</v>
      </c>
      <c r="H200" s="196" t="s">
        <v>2927</v>
      </c>
      <c r="I200" s="196"/>
      <c r="J200" s="196" t="s">
        <v>2928</v>
      </c>
      <c r="K200" s="196" t="s">
        <v>40</v>
      </c>
      <c r="L200" s="196" t="s">
        <v>1151</v>
      </c>
      <c r="M200" s="198" t="s">
        <v>2811</v>
      </c>
      <c r="N200" s="196" t="s">
        <v>2929</v>
      </c>
      <c r="O200" s="199">
        <v>16840.88</v>
      </c>
      <c r="P200" s="196" t="s">
        <v>1161</v>
      </c>
      <c r="Q200" s="199"/>
      <c r="R200" s="199"/>
      <c r="S200" s="199"/>
      <c r="T200" s="199">
        <v>30367.47</v>
      </c>
      <c r="U200" s="199"/>
      <c r="V200" s="199"/>
      <c r="W200" s="199">
        <f t="shared" si="7"/>
        <v>30367.47</v>
      </c>
      <c r="X200" s="196" t="s">
        <v>1155</v>
      </c>
      <c r="Y200" s="199"/>
      <c r="Z200" s="200">
        <v>27000</v>
      </c>
      <c r="AA200" s="200"/>
      <c r="AB200" s="200">
        <f t="shared" si="8"/>
        <v>27000</v>
      </c>
      <c r="AC200" s="195" t="s">
        <v>925</v>
      </c>
      <c r="AD200" s="196" t="s">
        <v>59</v>
      </c>
      <c r="AE200" s="197">
        <v>44194</v>
      </c>
      <c r="AF200" s="197"/>
      <c r="AG200" s="197"/>
      <c r="AH200" s="199"/>
      <c r="AI200" s="196"/>
      <c r="AJ200" s="196"/>
      <c r="AK200" s="196" t="s">
        <v>2899</v>
      </c>
    </row>
    <row r="201" spans="1:37" s="201" customFormat="1">
      <c r="A201" s="196" t="s">
        <v>926</v>
      </c>
      <c r="B201" s="196" t="s">
        <v>3083</v>
      </c>
      <c r="C201" s="196" t="s">
        <v>1978</v>
      </c>
      <c r="D201" s="196"/>
      <c r="E201" s="197">
        <v>43811</v>
      </c>
      <c r="F201" s="196" t="s">
        <v>58</v>
      </c>
      <c r="G201" s="196" t="s">
        <v>2930</v>
      </c>
      <c r="H201" s="196" t="s">
        <v>2931</v>
      </c>
      <c r="I201" s="196" t="s">
        <v>2932</v>
      </c>
      <c r="J201" s="196" t="s">
        <v>2933</v>
      </c>
      <c r="K201" s="196" t="s">
        <v>2</v>
      </c>
      <c r="L201" s="196" t="s">
        <v>1151</v>
      </c>
      <c r="M201" s="198" t="s">
        <v>2235</v>
      </c>
      <c r="N201" s="196" t="s">
        <v>2934</v>
      </c>
      <c r="O201" s="199">
        <v>1793.61</v>
      </c>
      <c r="P201" s="196" t="s">
        <v>1172</v>
      </c>
      <c r="Q201" s="199">
        <v>5380.83</v>
      </c>
      <c r="R201" s="199"/>
      <c r="S201" s="199"/>
      <c r="T201" s="199"/>
      <c r="U201" s="199"/>
      <c r="V201" s="199"/>
      <c r="W201" s="199">
        <f t="shared" si="7"/>
        <v>5380.83</v>
      </c>
      <c r="X201" s="196" t="s">
        <v>1155</v>
      </c>
      <c r="Y201" s="199"/>
      <c r="Z201" s="200">
        <v>4140</v>
      </c>
      <c r="AA201" s="200"/>
      <c r="AB201" s="200">
        <f t="shared" si="8"/>
        <v>4140</v>
      </c>
      <c r="AC201" s="196" t="s">
        <v>927</v>
      </c>
      <c r="AD201" s="196" t="s">
        <v>59</v>
      </c>
      <c r="AE201" s="197">
        <v>43977</v>
      </c>
      <c r="AF201" s="197"/>
      <c r="AG201" s="197"/>
      <c r="AH201" s="199"/>
      <c r="AI201" s="196"/>
      <c r="AJ201" s="196"/>
      <c r="AK201" s="196" t="s">
        <v>2899</v>
      </c>
    </row>
    <row r="202" spans="1:37" s="201" customFormat="1">
      <c r="A202" s="196" t="s">
        <v>928</v>
      </c>
      <c r="B202" s="196" t="s">
        <v>3083</v>
      </c>
      <c r="C202" s="196" t="s">
        <v>1981</v>
      </c>
      <c r="D202" s="196"/>
      <c r="E202" s="197">
        <v>43811</v>
      </c>
      <c r="F202" s="196" t="s">
        <v>58</v>
      </c>
      <c r="G202" s="196" t="s">
        <v>2935</v>
      </c>
      <c r="H202" s="196" t="s">
        <v>2936</v>
      </c>
      <c r="I202" s="196"/>
      <c r="J202" s="196" t="s">
        <v>2937</v>
      </c>
      <c r="K202" s="196" t="s">
        <v>40</v>
      </c>
      <c r="L202" s="196" t="s">
        <v>1151</v>
      </c>
      <c r="M202" s="198" t="s">
        <v>2881</v>
      </c>
      <c r="N202" s="196" t="s">
        <v>2938</v>
      </c>
      <c r="O202" s="199">
        <v>1173.5</v>
      </c>
      <c r="P202" s="196" t="s">
        <v>1172</v>
      </c>
      <c r="Q202" s="199">
        <v>2065.48</v>
      </c>
      <c r="R202" s="199"/>
      <c r="S202" s="199"/>
      <c r="T202" s="199"/>
      <c r="U202" s="199"/>
      <c r="V202" s="199"/>
      <c r="W202" s="199">
        <f t="shared" si="7"/>
        <v>2065.48</v>
      </c>
      <c r="X202" s="196" t="s">
        <v>1155</v>
      </c>
      <c r="Y202" s="199"/>
      <c r="Z202" s="200">
        <v>1377</v>
      </c>
      <c r="AA202" s="200">
        <v>783</v>
      </c>
      <c r="AB202" s="200">
        <f t="shared" si="8"/>
        <v>2160</v>
      </c>
      <c r="AC202" s="196" t="s">
        <v>929</v>
      </c>
      <c r="AD202" s="196" t="s">
        <v>61</v>
      </c>
      <c r="AE202" s="197">
        <v>44182</v>
      </c>
      <c r="AF202" s="197"/>
      <c r="AG202" s="197"/>
      <c r="AH202" s="199"/>
      <c r="AI202" s="196"/>
      <c r="AJ202" s="196" t="s">
        <v>2939</v>
      </c>
      <c r="AK202" s="196" t="s">
        <v>2899</v>
      </c>
    </row>
    <row r="203" spans="1:37" s="201" customFormat="1">
      <c r="A203" s="196" t="s">
        <v>928</v>
      </c>
      <c r="B203" s="196" t="s">
        <v>3083</v>
      </c>
      <c r="C203" s="196" t="s">
        <v>1982</v>
      </c>
      <c r="D203" s="196"/>
      <c r="E203" s="197">
        <v>44487</v>
      </c>
      <c r="F203" s="196" t="s">
        <v>58</v>
      </c>
      <c r="G203" s="196" t="s">
        <v>2935</v>
      </c>
      <c r="H203" s="196" t="s">
        <v>2936</v>
      </c>
      <c r="I203" s="196"/>
      <c r="J203" s="196" t="s">
        <v>2940</v>
      </c>
      <c r="K203" s="196" t="s">
        <v>40</v>
      </c>
      <c r="L203" s="196" t="s">
        <v>1160</v>
      </c>
      <c r="M203" s="198" t="s">
        <v>2881</v>
      </c>
      <c r="N203" s="196" t="s">
        <v>2938</v>
      </c>
      <c r="O203" s="199">
        <v>1173.5</v>
      </c>
      <c r="P203" s="196" t="s">
        <v>1172</v>
      </c>
      <c r="Q203" s="199">
        <v>3520.5</v>
      </c>
      <c r="R203" s="199"/>
      <c r="S203" s="199"/>
      <c r="T203" s="199"/>
      <c r="U203" s="199"/>
      <c r="V203" s="199"/>
      <c r="W203" s="199">
        <f t="shared" si="7"/>
        <v>3520.5</v>
      </c>
      <c r="X203" s="196" t="s">
        <v>1155</v>
      </c>
      <c r="Y203" s="199"/>
      <c r="Z203" s="200">
        <v>2347</v>
      </c>
      <c r="AA203" s="200">
        <v>783</v>
      </c>
      <c r="AB203" s="200">
        <f t="shared" si="8"/>
        <v>3130</v>
      </c>
      <c r="AC203" s="195" t="s">
        <v>930</v>
      </c>
      <c r="AD203" s="196" t="s">
        <v>59</v>
      </c>
      <c r="AE203" s="197">
        <v>44711</v>
      </c>
      <c r="AF203" s="197"/>
      <c r="AG203" s="197"/>
      <c r="AH203" s="199"/>
      <c r="AI203" s="196"/>
      <c r="AJ203" s="196" t="s">
        <v>2941</v>
      </c>
      <c r="AK203" s="196" t="s">
        <v>2899</v>
      </c>
    </row>
    <row r="204" spans="1:37" s="201" customFormat="1">
      <c r="A204" s="196" t="s">
        <v>931</v>
      </c>
      <c r="B204" s="196" t="s">
        <v>3083</v>
      </c>
      <c r="C204" s="196" t="s">
        <v>1985</v>
      </c>
      <c r="D204" s="196"/>
      <c r="E204" s="197"/>
      <c r="F204" s="196" t="s">
        <v>58</v>
      </c>
      <c r="G204" s="138" t="s">
        <v>2942</v>
      </c>
      <c r="H204" s="196" t="s">
        <v>2943</v>
      </c>
      <c r="I204" s="196"/>
      <c r="J204" s="196" t="s">
        <v>2944</v>
      </c>
      <c r="K204" s="196" t="s">
        <v>40</v>
      </c>
      <c r="L204" s="196" t="s">
        <v>1151</v>
      </c>
      <c r="M204" s="198" t="s">
        <v>2945</v>
      </c>
      <c r="N204" s="196" t="s">
        <v>2946</v>
      </c>
      <c r="O204" s="199">
        <v>3194.11</v>
      </c>
      <c r="P204" s="196" t="s">
        <v>1172</v>
      </c>
      <c r="Q204" s="199">
        <v>8076.31</v>
      </c>
      <c r="R204" s="199"/>
      <c r="S204" s="199"/>
      <c r="T204" s="199"/>
      <c r="U204" s="199"/>
      <c r="V204" s="199"/>
      <c r="W204" s="199">
        <f t="shared" si="7"/>
        <v>8076.31</v>
      </c>
      <c r="X204" s="196" t="s">
        <v>1155</v>
      </c>
      <c r="Y204" s="199"/>
      <c r="Z204" s="200">
        <v>2720</v>
      </c>
      <c r="AA204" s="200">
        <v>2130</v>
      </c>
      <c r="AB204" s="200">
        <f t="shared" si="8"/>
        <v>4850</v>
      </c>
      <c r="AC204" s="196" t="s">
        <v>932</v>
      </c>
      <c r="AD204" s="196" t="s">
        <v>59</v>
      </c>
      <c r="AE204" s="197">
        <v>43984</v>
      </c>
      <c r="AF204" s="197"/>
      <c r="AG204" s="197"/>
      <c r="AH204" s="199"/>
      <c r="AI204" s="196"/>
      <c r="AJ204" s="196" t="s">
        <v>2947</v>
      </c>
      <c r="AK204" s="196" t="s">
        <v>2715</v>
      </c>
    </row>
    <row r="205" spans="1:37" s="201" customFormat="1">
      <c r="A205" s="196" t="s">
        <v>933</v>
      </c>
      <c r="B205" s="196" t="s">
        <v>3083</v>
      </c>
      <c r="C205" s="196" t="s">
        <v>1988</v>
      </c>
      <c r="D205" s="196"/>
      <c r="E205" s="197"/>
      <c r="F205" s="196" t="s">
        <v>58</v>
      </c>
      <c r="G205" s="196" t="s">
        <v>2948</v>
      </c>
      <c r="H205" s="196" t="s">
        <v>2949</v>
      </c>
      <c r="I205" s="196"/>
      <c r="J205" s="196" t="s">
        <v>2950</v>
      </c>
      <c r="K205" s="196" t="s">
        <v>40</v>
      </c>
      <c r="L205" s="196" t="s">
        <v>1151</v>
      </c>
      <c r="M205" s="198" t="s">
        <v>2945</v>
      </c>
      <c r="N205" s="196" t="s">
        <v>2951</v>
      </c>
      <c r="O205" s="199">
        <v>2010.2</v>
      </c>
      <c r="P205" s="196" t="s">
        <v>1172</v>
      </c>
      <c r="Q205" s="199">
        <v>5725.05</v>
      </c>
      <c r="R205" s="199"/>
      <c r="S205" s="199"/>
      <c r="T205" s="199"/>
      <c r="U205" s="199"/>
      <c r="V205" s="199"/>
      <c r="W205" s="199">
        <f t="shared" si="7"/>
        <v>5725.05</v>
      </c>
      <c r="X205" s="196" t="s">
        <v>1155</v>
      </c>
      <c r="Y205" s="199"/>
      <c r="Z205" s="200">
        <v>2130</v>
      </c>
      <c r="AA205" s="200">
        <v>1341</v>
      </c>
      <c r="AB205" s="200">
        <f t="shared" si="8"/>
        <v>3471</v>
      </c>
      <c r="AC205" s="196" t="s">
        <v>934</v>
      </c>
      <c r="AD205" s="196" t="s">
        <v>59</v>
      </c>
      <c r="AE205" s="197">
        <v>44012</v>
      </c>
      <c r="AF205" s="197"/>
      <c r="AG205" s="197"/>
      <c r="AH205" s="199"/>
      <c r="AI205" s="196"/>
      <c r="AJ205" s="196"/>
      <c r="AK205" s="196" t="s">
        <v>2715</v>
      </c>
    </row>
    <row r="206" spans="1:37" s="201" customFormat="1">
      <c r="A206" s="196" t="s">
        <v>935</v>
      </c>
      <c r="B206" s="196" t="s">
        <v>3083</v>
      </c>
      <c r="C206" s="196" t="s">
        <v>1991</v>
      </c>
      <c r="D206" s="196"/>
      <c r="E206" s="197"/>
      <c r="F206" s="196" t="s">
        <v>58</v>
      </c>
      <c r="G206" s="196" t="s">
        <v>2952</v>
      </c>
      <c r="H206" s="196" t="s">
        <v>2953</v>
      </c>
      <c r="I206" s="196"/>
      <c r="J206" s="196" t="s">
        <v>2954</v>
      </c>
      <c r="K206" s="196" t="s">
        <v>40</v>
      </c>
      <c r="L206" s="196" t="s">
        <v>1151</v>
      </c>
      <c r="M206" s="198" t="s">
        <v>2955</v>
      </c>
      <c r="N206" s="196" t="s">
        <v>2956</v>
      </c>
      <c r="O206" s="199">
        <v>1031.31</v>
      </c>
      <c r="P206" s="196" t="s">
        <v>1172</v>
      </c>
      <c r="Q206" s="199">
        <v>1944.95</v>
      </c>
      <c r="R206" s="199"/>
      <c r="S206" s="199"/>
      <c r="T206" s="199"/>
      <c r="U206" s="199"/>
      <c r="V206" s="199"/>
      <c r="W206" s="199">
        <f t="shared" si="7"/>
        <v>1944.95</v>
      </c>
      <c r="X206" s="196" t="s">
        <v>1155</v>
      </c>
      <c r="Y206" s="199"/>
      <c r="Z206" s="200">
        <v>778</v>
      </c>
      <c r="AA206" s="200"/>
      <c r="AB206" s="200">
        <f t="shared" si="8"/>
        <v>778</v>
      </c>
      <c r="AC206" s="196" t="s">
        <v>936</v>
      </c>
      <c r="AD206" s="196" t="s">
        <v>59</v>
      </c>
      <c r="AE206" s="197">
        <v>44074</v>
      </c>
      <c r="AF206" s="197"/>
      <c r="AG206" s="197"/>
      <c r="AH206" s="199"/>
      <c r="AI206" s="196"/>
      <c r="AJ206" s="196" t="s">
        <v>2957</v>
      </c>
      <c r="AK206" s="196" t="s">
        <v>2715</v>
      </c>
    </row>
    <row r="207" spans="1:37" s="201" customFormat="1">
      <c r="A207" s="196" t="s">
        <v>935</v>
      </c>
      <c r="B207" s="196" t="s">
        <v>3083</v>
      </c>
      <c r="C207" s="196" t="s">
        <v>1992</v>
      </c>
      <c r="D207" s="196"/>
      <c r="E207" s="197"/>
      <c r="F207" s="196" t="s">
        <v>58</v>
      </c>
      <c r="G207" s="196" t="s">
        <v>2952</v>
      </c>
      <c r="H207" s="196" t="s">
        <v>2953</v>
      </c>
      <c r="I207" s="196"/>
      <c r="J207" s="196" t="s">
        <v>2954</v>
      </c>
      <c r="K207" s="196" t="s">
        <v>40</v>
      </c>
      <c r="L207" s="196" t="s">
        <v>1160</v>
      </c>
      <c r="M207" s="198" t="s">
        <v>2955</v>
      </c>
      <c r="N207" s="196" t="s">
        <v>2956</v>
      </c>
      <c r="O207" s="199">
        <v>1031.31</v>
      </c>
      <c r="P207" s="196" t="s">
        <v>1172</v>
      </c>
      <c r="Q207" s="199">
        <v>1150</v>
      </c>
      <c r="R207" s="199"/>
      <c r="S207" s="199"/>
      <c r="T207" s="199"/>
      <c r="U207" s="199"/>
      <c r="V207" s="199"/>
      <c r="W207" s="199">
        <f t="shared" si="7"/>
        <v>1150</v>
      </c>
      <c r="X207" s="196" t="s">
        <v>1155</v>
      </c>
      <c r="Y207" s="199"/>
      <c r="Z207" s="200">
        <v>460</v>
      </c>
      <c r="AA207" s="200">
        <v>688</v>
      </c>
      <c r="AB207" s="200">
        <f t="shared" si="8"/>
        <v>1148</v>
      </c>
      <c r="AC207" s="196" t="s">
        <v>937</v>
      </c>
      <c r="AD207" s="196" t="s">
        <v>59</v>
      </c>
      <c r="AE207" s="197">
        <v>44613</v>
      </c>
      <c r="AF207" s="197"/>
      <c r="AG207" s="197"/>
      <c r="AH207" s="199"/>
      <c r="AI207" s="196"/>
      <c r="AJ207" s="196" t="s">
        <v>2958</v>
      </c>
      <c r="AK207" s="196" t="s">
        <v>2715</v>
      </c>
    </row>
    <row r="208" spans="1:37" s="201" customFormat="1">
      <c r="A208" s="196" t="s">
        <v>938</v>
      </c>
      <c r="B208" s="196" t="s">
        <v>3083</v>
      </c>
      <c r="C208" s="196" t="s">
        <v>1995</v>
      </c>
      <c r="D208" s="196"/>
      <c r="E208" s="197"/>
      <c r="F208" s="196" t="s">
        <v>58</v>
      </c>
      <c r="G208" s="138" t="s">
        <v>2959</v>
      </c>
      <c r="H208" s="196" t="s">
        <v>2960</v>
      </c>
      <c r="I208" s="196"/>
      <c r="J208" s="196" t="s">
        <v>2961</v>
      </c>
      <c r="K208" s="196" t="s">
        <v>2</v>
      </c>
      <c r="L208" s="196" t="s">
        <v>1151</v>
      </c>
      <c r="M208" s="198" t="s">
        <v>2244</v>
      </c>
      <c r="N208" s="196" t="s">
        <v>2962</v>
      </c>
      <c r="O208" s="199">
        <v>2945.65</v>
      </c>
      <c r="P208" s="196" t="s">
        <v>1172</v>
      </c>
      <c r="Q208" s="199">
        <v>6636.84</v>
      </c>
      <c r="R208" s="199"/>
      <c r="S208" s="199"/>
      <c r="T208" s="199"/>
      <c r="U208" s="199"/>
      <c r="V208" s="199"/>
      <c r="W208" s="199">
        <f t="shared" si="7"/>
        <v>6636.84</v>
      </c>
      <c r="X208" s="196" t="s">
        <v>1155</v>
      </c>
      <c r="Y208" s="199"/>
      <c r="Z208" s="200">
        <v>5498</v>
      </c>
      <c r="AA208" s="200"/>
      <c r="AB208" s="200">
        <f t="shared" si="8"/>
        <v>5498</v>
      </c>
      <c r="AC208" s="196" t="s">
        <v>939</v>
      </c>
      <c r="AD208" s="196" t="s">
        <v>61</v>
      </c>
      <c r="AE208" s="197">
        <v>43997</v>
      </c>
      <c r="AF208" s="197"/>
      <c r="AG208" s="197"/>
      <c r="AH208" s="199"/>
      <c r="AI208" s="196"/>
      <c r="AJ208" s="196" t="s">
        <v>2963</v>
      </c>
      <c r="AK208" s="196" t="s">
        <v>2715</v>
      </c>
    </row>
    <row r="209" spans="1:37" s="201" customFormat="1">
      <c r="A209" s="196" t="s">
        <v>938</v>
      </c>
      <c r="B209" s="196" t="s">
        <v>3083</v>
      </c>
      <c r="C209" s="196" t="s">
        <v>1996</v>
      </c>
      <c r="D209" s="196"/>
      <c r="E209" s="197"/>
      <c r="F209" s="196" t="s">
        <v>58</v>
      </c>
      <c r="G209" s="138" t="s">
        <v>2959</v>
      </c>
      <c r="H209" s="196" t="s">
        <v>2960</v>
      </c>
      <c r="I209" s="196"/>
      <c r="J209" s="196" t="s">
        <v>2961</v>
      </c>
      <c r="K209" s="196" t="s">
        <v>2</v>
      </c>
      <c r="L209" s="196" t="s">
        <v>1160</v>
      </c>
      <c r="M209" s="198" t="s">
        <v>2244</v>
      </c>
      <c r="N209" s="196" t="s">
        <v>2962</v>
      </c>
      <c r="O209" s="199">
        <v>2945.65</v>
      </c>
      <c r="P209" s="196" t="s">
        <v>1172</v>
      </c>
      <c r="Q209" s="199">
        <v>6716.08</v>
      </c>
      <c r="R209" s="199"/>
      <c r="S209" s="199"/>
      <c r="T209" s="199"/>
      <c r="U209" s="199"/>
      <c r="V209" s="199"/>
      <c r="W209" s="199">
        <f t="shared" si="7"/>
        <v>6716.08</v>
      </c>
      <c r="X209" s="196" t="s">
        <v>1155</v>
      </c>
      <c r="Y209" s="199"/>
      <c r="Z209" s="200">
        <v>5570</v>
      </c>
      <c r="AA209" s="200"/>
      <c r="AB209" s="200">
        <f t="shared" si="8"/>
        <v>5570</v>
      </c>
      <c r="AC209" s="196" t="s">
        <v>940</v>
      </c>
      <c r="AD209" s="196" t="s">
        <v>59</v>
      </c>
      <c r="AE209" s="197">
        <v>44803</v>
      </c>
      <c r="AF209" s="197"/>
      <c r="AG209" s="197"/>
      <c r="AH209" s="199"/>
      <c r="AI209" s="196"/>
      <c r="AJ209" s="196" t="s">
        <v>2964</v>
      </c>
      <c r="AK209" s="196" t="s">
        <v>2715</v>
      </c>
    </row>
    <row r="210" spans="1:37" s="201" customFormat="1" ht="30">
      <c r="A210" s="196" t="s">
        <v>941</v>
      </c>
      <c r="B210" s="196" t="s">
        <v>3083</v>
      </c>
      <c r="C210" s="196" t="s">
        <v>1999</v>
      </c>
      <c r="D210" s="196"/>
      <c r="E210" s="197"/>
      <c r="F210" s="196" t="s">
        <v>58</v>
      </c>
      <c r="G210" s="138" t="s">
        <v>2965</v>
      </c>
      <c r="H210" s="196" t="s">
        <v>2966</v>
      </c>
      <c r="I210" s="196"/>
      <c r="J210" s="196" t="s">
        <v>2967</v>
      </c>
      <c r="K210" s="196" t="s">
        <v>40</v>
      </c>
      <c r="L210" s="196" t="s">
        <v>1151</v>
      </c>
      <c r="M210" s="198" t="s">
        <v>2281</v>
      </c>
      <c r="N210" s="196" t="s">
        <v>2968</v>
      </c>
      <c r="O210" s="199">
        <v>1808</v>
      </c>
      <c r="P210" s="196" t="s">
        <v>1161</v>
      </c>
      <c r="Q210" s="199"/>
      <c r="R210" s="199"/>
      <c r="S210" s="199"/>
      <c r="T210" s="199">
        <v>5003.82</v>
      </c>
      <c r="U210" s="199"/>
      <c r="V210" s="199"/>
      <c r="W210" s="199">
        <f t="shared" si="7"/>
        <v>5003.82</v>
      </c>
      <c r="X210" s="196" t="s">
        <v>1155</v>
      </c>
      <c r="Y210" s="199"/>
      <c r="Z210" s="200">
        <v>5004</v>
      </c>
      <c r="AA210" s="200"/>
      <c r="AB210" s="200">
        <f t="shared" si="8"/>
        <v>5004</v>
      </c>
      <c r="AC210" s="196" t="s">
        <v>942</v>
      </c>
      <c r="AD210" s="196" t="s">
        <v>59</v>
      </c>
      <c r="AE210" s="197">
        <v>43938</v>
      </c>
      <c r="AF210" s="197"/>
      <c r="AG210" s="197"/>
      <c r="AH210" s="199"/>
      <c r="AI210" s="196"/>
      <c r="AJ210" s="196"/>
      <c r="AK210" s="196" t="s">
        <v>2715</v>
      </c>
    </row>
    <row r="211" spans="1:37" s="201" customFormat="1" ht="30">
      <c r="A211" s="196" t="s">
        <v>943</v>
      </c>
      <c r="B211" s="196" t="s">
        <v>3083</v>
      </c>
      <c r="C211" s="196" t="s">
        <v>2001</v>
      </c>
      <c r="D211" s="196"/>
      <c r="E211" s="197"/>
      <c r="F211" s="196" t="s">
        <v>58</v>
      </c>
      <c r="G211" s="138" t="s">
        <v>2969</v>
      </c>
      <c r="H211" s="196" t="s">
        <v>2970</v>
      </c>
      <c r="I211" s="196" t="s">
        <v>2971</v>
      </c>
      <c r="J211" s="196" t="s">
        <v>2972</v>
      </c>
      <c r="K211" s="196" t="s">
        <v>40</v>
      </c>
      <c r="L211" s="196" t="s">
        <v>1151</v>
      </c>
      <c r="M211" s="198" t="s">
        <v>2641</v>
      </c>
      <c r="N211" s="196" t="s">
        <v>2973</v>
      </c>
      <c r="O211" s="199">
        <v>3045</v>
      </c>
      <c r="P211" s="196" t="s">
        <v>1161</v>
      </c>
      <c r="Q211" s="199"/>
      <c r="R211" s="199"/>
      <c r="S211" s="199"/>
      <c r="T211" s="199">
        <v>5999.87</v>
      </c>
      <c r="U211" s="199"/>
      <c r="V211" s="199"/>
      <c r="W211" s="199">
        <f t="shared" si="7"/>
        <v>5999.87</v>
      </c>
      <c r="X211" s="196" t="s">
        <v>1155</v>
      </c>
      <c r="Y211" s="199"/>
      <c r="Z211" s="200">
        <v>6000</v>
      </c>
      <c r="AA211" s="200"/>
      <c r="AB211" s="200">
        <f t="shared" si="8"/>
        <v>6000</v>
      </c>
      <c r="AC211" s="196" t="s">
        <v>944</v>
      </c>
      <c r="AD211" s="196" t="s">
        <v>61</v>
      </c>
      <c r="AE211" s="197">
        <v>43938</v>
      </c>
      <c r="AF211" s="197"/>
      <c r="AG211" s="197"/>
      <c r="AH211" s="199"/>
      <c r="AI211" s="196"/>
      <c r="AJ211" s="196"/>
      <c r="AK211" s="196" t="s">
        <v>2715</v>
      </c>
    </row>
    <row r="212" spans="1:37" s="201" customFormat="1" ht="45">
      <c r="A212" s="196" t="s">
        <v>943</v>
      </c>
      <c r="B212" s="196" t="s">
        <v>3083</v>
      </c>
      <c r="C212" s="196" t="s">
        <v>2002</v>
      </c>
      <c r="D212" s="196"/>
      <c r="E212" s="197"/>
      <c r="F212" s="196" t="s">
        <v>58</v>
      </c>
      <c r="G212" s="138" t="s">
        <v>2974</v>
      </c>
      <c r="H212" s="196" t="s">
        <v>2970</v>
      </c>
      <c r="I212" s="196" t="s">
        <v>2975</v>
      </c>
      <c r="J212" s="196" t="s">
        <v>2972</v>
      </c>
      <c r="K212" s="196" t="s">
        <v>40</v>
      </c>
      <c r="L212" s="196" t="s">
        <v>1160</v>
      </c>
      <c r="M212" s="198" t="s">
        <v>2641</v>
      </c>
      <c r="N212" s="196" t="s">
        <v>2973</v>
      </c>
      <c r="O212" s="199">
        <v>3045</v>
      </c>
      <c r="P212" s="196" t="s">
        <v>1161</v>
      </c>
      <c r="Q212" s="199"/>
      <c r="R212" s="199"/>
      <c r="S212" s="199"/>
      <c r="T212" s="199">
        <v>7319.88</v>
      </c>
      <c r="U212" s="199"/>
      <c r="V212" s="199"/>
      <c r="W212" s="199">
        <f t="shared" si="7"/>
        <v>7319.88</v>
      </c>
      <c r="X212" s="196" t="s">
        <v>1155</v>
      </c>
      <c r="Y212" s="199"/>
      <c r="Z212" s="200">
        <v>7320</v>
      </c>
      <c r="AA212" s="200"/>
      <c r="AB212" s="200">
        <f t="shared" si="8"/>
        <v>7320</v>
      </c>
      <c r="AC212" s="196" t="s">
        <v>945</v>
      </c>
      <c r="AD212" s="196" t="s">
        <v>61</v>
      </c>
      <c r="AE212" s="197">
        <v>44111</v>
      </c>
      <c r="AF212" s="197"/>
      <c r="AG212" s="197"/>
      <c r="AH212" s="199"/>
      <c r="AI212" s="196"/>
      <c r="AJ212" s="196" t="s">
        <v>2976</v>
      </c>
      <c r="AK212" s="196" t="s">
        <v>2715</v>
      </c>
    </row>
    <row r="213" spans="1:37" s="201" customFormat="1" ht="30">
      <c r="A213" s="196" t="s">
        <v>943</v>
      </c>
      <c r="B213" s="196" t="s">
        <v>3083</v>
      </c>
      <c r="C213" s="196" t="s">
        <v>2004</v>
      </c>
      <c r="D213" s="196"/>
      <c r="E213" s="197"/>
      <c r="F213" s="196" t="s">
        <v>58</v>
      </c>
      <c r="G213" s="138" t="s">
        <v>2977</v>
      </c>
      <c r="H213" s="196" t="s">
        <v>2970</v>
      </c>
      <c r="I213" s="196" t="s">
        <v>2978</v>
      </c>
      <c r="J213" s="196" t="s">
        <v>2979</v>
      </c>
      <c r="K213" s="196" t="s">
        <v>40</v>
      </c>
      <c r="L213" s="196" t="s">
        <v>1160</v>
      </c>
      <c r="M213" s="198" t="s">
        <v>2641</v>
      </c>
      <c r="N213" s="196" t="s">
        <v>2980</v>
      </c>
      <c r="O213" s="199">
        <v>3776.4</v>
      </c>
      <c r="P213" s="196" t="s">
        <v>1161</v>
      </c>
      <c r="Q213" s="199"/>
      <c r="R213" s="199"/>
      <c r="S213" s="199"/>
      <c r="T213" s="199">
        <v>5855.69</v>
      </c>
      <c r="U213" s="199"/>
      <c r="V213" s="199"/>
      <c r="W213" s="199">
        <f t="shared" si="7"/>
        <v>5855.69</v>
      </c>
      <c r="X213" s="196" t="s">
        <v>1155</v>
      </c>
      <c r="Y213" s="199"/>
      <c r="Z213" s="200">
        <v>7320</v>
      </c>
      <c r="AA213" s="200"/>
      <c r="AB213" s="200">
        <f t="shared" si="8"/>
        <v>7320</v>
      </c>
      <c r="AC213" s="196" t="s">
        <v>946</v>
      </c>
      <c r="AD213" s="196" t="s">
        <v>61</v>
      </c>
      <c r="AE213" s="197">
        <v>44512</v>
      </c>
      <c r="AF213" s="197"/>
      <c r="AG213" s="197"/>
      <c r="AH213" s="199"/>
      <c r="AI213" s="196"/>
      <c r="AJ213" s="196" t="s">
        <v>2981</v>
      </c>
      <c r="AK213" s="196" t="s">
        <v>2715</v>
      </c>
    </row>
    <row r="214" spans="1:37" s="201" customFormat="1" ht="45">
      <c r="A214" s="196" t="s">
        <v>943</v>
      </c>
      <c r="B214" s="196" t="s">
        <v>3083</v>
      </c>
      <c r="C214" s="196" t="s">
        <v>2006</v>
      </c>
      <c r="D214" s="196"/>
      <c r="E214" s="197"/>
      <c r="F214" s="196" t="s">
        <v>58</v>
      </c>
      <c r="G214" s="138" t="s">
        <v>2974</v>
      </c>
      <c r="H214" s="196" t="s">
        <v>2970</v>
      </c>
      <c r="I214" s="196" t="s">
        <v>2975</v>
      </c>
      <c r="J214" s="196" t="s">
        <v>2979</v>
      </c>
      <c r="K214" s="196" t="s">
        <v>40</v>
      </c>
      <c r="L214" s="196" t="s">
        <v>1160</v>
      </c>
      <c r="M214" s="198" t="s">
        <v>2641</v>
      </c>
      <c r="N214" s="196" t="s">
        <v>2982</v>
      </c>
      <c r="O214" s="199">
        <v>3776.4</v>
      </c>
      <c r="P214" s="196" t="s">
        <v>1161</v>
      </c>
      <c r="Q214" s="199"/>
      <c r="R214" s="199"/>
      <c r="S214" s="199"/>
      <c r="T214" s="199">
        <v>9319.7800000000007</v>
      </c>
      <c r="U214" s="199"/>
      <c r="V214" s="199"/>
      <c r="W214" s="199">
        <f t="shared" si="7"/>
        <v>9319.7800000000007</v>
      </c>
      <c r="X214" s="196" t="s">
        <v>1155</v>
      </c>
      <c r="Y214" s="199"/>
      <c r="Z214" s="200">
        <v>9320</v>
      </c>
      <c r="AA214" s="200"/>
      <c r="AB214" s="200">
        <f t="shared" si="8"/>
        <v>9320</v>
      </c>
      <c r="AC214" s="196" t="s">
        <v>947</v>
      </c>
      <c r="AD214" s="196" t="s">
        <v>59</v>
      </c>
      <c r="AE214" s="197">
        <v>44859</v>
      </c>
      <c r="AF214" s="197"/>
      <c r="AG214" s="197"/>
      <c r="AH214" s="199"/>
      <c r="AI214" s="196"/>
      <c r="AJ214" s="196" t="s">
        <v>2983</v>
      </c>
      <c r="AK214" s="196" t="s">
        <v>2715</v>
      </c>
    </row>
    <row r="215" spans="1:37" s="201" customFormat="1">
      <c r="A215" s="196" t="s">
        <v>949</v>
      </c>
      <c r="B215" s="196" t="s">
        <v>3083</v>
      </c>
      <c r="C215" s="196" t="s">
        <v>2009</v>
      </c>
      <c r="D215" s="196"/>
      <c r="E215" s="197"/>
      <c r="F215" s="196" t="s">
        <v>58</v>
      </c>
      <c r="G215" s="196" t="s">
        <v>2984</v>
      </c>
      <c r="H215" s="196" t="s">
        <v>2985</v>
      </c>
      <c r="I215" s="196"/>
      <c r="J215" s="196" t="s">
        <v>2986</v>
      </c>
      <c r="K215" s="196" t="s">
        <v>40</v>
      </c>
      <c r="L215" s="196" t="s">
        <v>1151</v>
      </c>
      <c r="M215" s="198" t="s">
        <v>2987</v>
      </c>
      <c r="N215" s="196" t="s">
        <v>2988</v>
      </c>
      <c r="O215" s="199">
        <v>1280</v>
      </c>
      <c r="P215" s="196" t="s">
        <v>1172</v>
      </c>
      <c r="Q215" s="199">
        <v>3404.8</v>
      </c>
      <c r="R215" s="199"/>
      <c r="S215" s="199"/>
      <c r="T215" s="199"/>
      <c r="U215" s="199"/>
      <c r="V215" s="199"/>
      <c r="W215" s="199">
        <f t="shared" si="7"/>
        <v>3404.8</v>
      </c>
      <c r="X215" s="196" t="s">
        <v>1155</v>
      </c>
      <c r="Y215" s="199"/>
      <c r="Z215" s="200">
        <v>2270</v>
      </c>
      <c r="AA215" s="200"/>
      <c r="AB215" s="200">
        <f t="shared" si="8"/>
        <v>2270</v>
      </c>
      <c r="AC215" s="196" t="s">
        <v>950</v>
      </c>
      <c r="AD215" s="196" t="s">
        <v>59</v>
      </c>
      <c r="AE215" s="197">
        <v>44697</v>
      </c>
      <c r="AF215" s="197"/>
      <c r="AG215" s="197"/>
      <c r="AH215" s="199"/>
      <c r="AI215" s="196"/>
      <c r="AJ215" s="196"/>
      <c r="AK215" s="196" t="s">
        <v>2715</v>
      </c>
    </row>
    <row r="216" spans="1:37" s="201" customFormat="1">
      <c r="A216" s="196" t="s">
        <v>951</v>
      </c>
      <c r="B216" s="196" t="s">
        <v>3083</v>
      </c>
      <c r="C216" s="196" t="s">
        <v>2012</v>
      </c>
      <c r="D216" s="196"/>
      <c r="E216" s="197"/>
      <c r="F216" s="196" t="s">
        <v>58</v>
      </c>
      <c r="G216" s="196" t="s">
        <v>2989</v>
      </c>
      <c r="H216" s="196" t="s">
        <v>2990</v>
      </c>
      <c r="I216" s="196"/>
      <c r="J216" s="196" t="s">
        <v>2991</v>
      </c>
      <c r="K216" s="196" t="s">
        <v>2</v>
      </c>
      <c r="L216" s="196" t="s">
        <v>1151</v>
      </c>
      <c r="M216" s="198" t="s">
        <v>2584</v>
      </c>
      <c r="N216" s="196" t="s">
        <v>2992</v>
      </c>
      <c r="O216" s="199">
        <v>2591.13</v>
      </c>
      <c r="P216" s="196" t="s">
        <v>1172</v>
      </c>
      <c r="Q216" s="199">
        <v>4966.68</v>
      </c>
      <c r="R216" s="199"/>
      <c r="S216" s="199"/>
      <c r="T216" s="199"/>
      <c r="U216" s="199"/>
      <c r="V216" s="199"/>
      <c r="W216" s="199">
        <f t="shared" si="7"/>
        <v>4966.68</v>
      </c>
      <c r="X216" s="196" t="s">
        <v>1155</v>
      </c>
      <c r="Y216" s="199"/>
      <c r="Z216" s="200">
        <v>3422</v>
      </c>
      <c r="AA216" s="200">
        <v>648</v>
      </c>
      <c r="AB216" s="200">
        <f t="shared" si="8"/>
        <v>4070</v>
      </c>
      <c r="AC216" s="195" t="s">
        <v>952</v>
      </c>
      <c r="AD216" s="196" t="s">
        <v>61</v>
      </c>
      <c r="AE216" s="197">
        <v>44634</v>
      </c>
      <c r="AF216" s="197"/>
      <c r="AG216" s="197"/>
      <c r="AH216" s="199"/>
      <c r="AI216" s="196"/>
      <c r="AJ216" s="196" t="s">
        <v>2993</v>
      </c>
      <c r="AK216" s="196" t="s">
        <v>2715</v>
      </c>
    </row>
    <row r="217" spans="1:37" s="201" customFormat="1">
      <c r="A217" s="196" t="s">
        <v>951</v>
      </c>
      <c r="B217" s="196" t="s">
        <v>3083</v>
      </c>
      <c r="C217" s="196" t="s">
        <v>2013</v>
      </c>
      <c r="D217" s="196"/>
      <c r="E217" s="197"/>
      <c r="F217" s="196" t="s">
        <v>58</v>
      </c>
      <c r="G217" s="196" t="s">
        <v>2989</v>
      </c>
      <c r="H217" s="196" t="s">
        <v>2990</v>
      </c>
      <c r="I217" s="196"/>
      <c r="J217" s="196" t="s">
        <v>2991</v>
      </c>
      <c r="K217" s="196" t="s">
        <v>2</v>
      </c>
      <c r="L217" s="196" t="s">
        <v>1160</v>
      </c>
      <c r="M217" s="198" t="s">
        <v>2584</v>
      </c>
      <c r="N217" s="196" t="s">
        <v>2992</v>
      </c>
      <c r="O217" s="199">
        <v>2591.13</v>
      </c>
      <c r="P217" s="196" t="s">
        <v>1172</v>
      </c>
      <c r="Q217" s="199">
        <v>7773.39</v>
      </c>
      <c r="R217" s="199"/>
      <c r="S217" s="199"/>
      <c r="T217" s="199"/>
      <c r="U217" s="199"/>
      <c r="V217" s="199"/>
      <c r="W217" s="199">
        <f t="shared" si="7"/>
        <v>7773.39</v>
      </c>
      <c r="X217" s="196" t="s">
        <v>1155</v>
      </c>
      <c r="Y217" s="199"/>
      <c r="Z217" s="200">
        <v>5581</v>
      </c>
      <c r="AA217" s="200">
        <v>648</v>
      </c>
      <c r="AB217" s="200">
        <f t="shared" si="8"/>
        <v>6229</v>
      </c>
      <c r="AC217" s="195" t="s">
        <v>953</v>
      </c>
      <c r="AD217" s="196" t="s">
        <v>59</v>
      </c>
      <c r="AE217" s="197">
        <v>44742</v>
      </c>
      <c r="AF217" s="197"/>
      <c r="AG217" s="197"/>
      <c r="AH217" s="199"/>
      <c r="AI217" s="196"/>
      <c r="AJ217" s="196" t="s">
        <v>2994</v>
      </c>
      <c r="AK217" s="196" t="s">
        <v>2715</v>
      </c>
    </row>
    <row r="218" spans="1:37" s="201" customFormat="1">
      <c r="A218" s="196" t="s">
        <v>954</v>
      </c>
      <c r="B218" s="196" t="s">
        <v>3083</v>
      </c>
      <c r="C218" s="196" t="s">
        <v>2016</v>
      </c>
      <c r="D218" s="196"/>
      <c r="E218" s="197"/>
      <c r="F218" s="196" t="s">
        <v>58</v>
      </c>
      <c r="G218" s="196" t="s">
        <v>2995</v>
      </c>
      <c r="H218" s="196" t="s">
        <v>2996</v>
      </c>
      <c r="I218" s="196"/>
      <c r="J218" s="196" t="s">
        <v>2997</v>
      </c>
      <c r="K218" s="196" t="s">
        <v>40</v>
      </c>
      <c r="L218" s="196" t="s">
        <v>1151</v>
      </c>
      <c r="M218" s="198" t="s">
        <v>2955</v>
      </c>
      <c r="N218" s="196" t="s">
        <v>2998</v>
      </c>
      <c r="O218" s="199">
        <v>2840</v>
      </c>
      <c r="P218" s="196" t="s">
        <v>1172</v>
      </c>
      <c r="Q218" s="199">
        <v>1136</v>
      </c>
      <c r="R218" s="199"/>
      <c r="S218" s="199"/>
      <c r="T218" s="199"/>
      <c r="U218" s="199"/>
      <c r="V218" s="199"/>
      <c r="W218" s="199">
        <f t="shared" si="7"/>
        <v>1136</v>
      </c>
      <c r="X218" s="196" t="s">
        <v>1155</v>
      </c>
      <c r="Y218" s="199"/>
      <c r="Z218" s="200">
        <v>0</v>
      </c>
      <c r="AA218" s="200">
        <v>0</v>
      </c>
      <c r="AB218" s="200">
        <f t="shared" si="8"/>
        <v>0</v>
      </c>
      <c r="AC218" s="196" t="s">
        <v>955</v>
      </c>
      <c r="AD218" s="196" t="s">
        <v>59</v>
      </c>
      <c r="AE218" s="197">
        <v>45035</v>
      </c>
      <c r="AF218" s="197"/>
      <c r="AG218" s="197"/>
      <c r="AH218" s="199"/>
      <c r="AI218" s="196"/>
      <c r="AJ218" s="196" t="s">
        <v>2999</v>
      </c>
      <c r="AK218" s="196" t="s">
        <v>2715</v>
      </c>
    </row>
    <row r="219" spans="1:37" s="201" customFormat="1">
      <c r="A219" s="196" t="s">
        <v>615</v>
      </c>
      <c r="B219" s="196" t="s">
        <v>3083</v>
      </c>
      <c r="C219" s="196"/>
      <c r="D219" s="196" t="s">
        <v>3000</v>
      </c>
      <c r="E219" s="197"/>
      <c r="F219" s="196" t="s">
        <v>58</v>
      </c>
      <c r="G219" s="196" t="s">
        <v>3001</v>
      </c>
      <c r="H219" s="196" t="s">
        <v>3002</v>
      </c>
      <c r="I219" s="196"/>
      <c r="J219" s="196" t="s">
        <v>3003</v>
      </c>
      <c r="K219" s="196" t="s">
        <v>3</v>
      </c>
      <c r="L219" s="196" t="s">
        <v>1151</v>
      </c>
      <c r="M219" s="198" t="s">
        <v>2706</v>
      </c>
      <c r="N219" s="196" t="s">
        <v>3004</v>
      </c>
      <c r="O219" s="199">
        <v>1200.55</v>
      </c>
      <c r="P219" s="196" t="s">
        <v>1161</v>
      </c>
      <c r="Q219" s="199"/>
      <c r="R219" s="199"/>
      <c r="S219" s="199"/>
      <c r="T219" s="199"/>
      <c r="U219" s="199"/>
      <c r="V219" s="199"/>
      <c r="W219" s="199">
        <f t="shared" si="7"/>
        <v>0</v>
      </c>
      <c r="X219" s="196" t="s">
        <v>1155</v>
      </c>
      <c r="Y219" s="199"/>
      <c r="Z219" s="200">
        <v>0</v>
      </c>
      <c r="AA219" s="200">
        <v>601</v>
      </c>
      <c r="AB219" s="200">
        <f t="shared" si="8"/>
        <v>601</v>
      </c>
      <c r="AC219" s="196" t="s">
        <v>616</v>
      </c>
      <c r="AD219" s="196" t="s">
        <v>59</v>
      </c>
      <c r="AE219" s="197">
        <v>39253</v>
      </c>
      <c r="AF219" s="197"/>
      <c r="AG219" s="197"/>
      <c r="AH219" s="199"/>
      <c r="AI219" s="196"/>
      <c r="AJ219" s="196"/>
      <c r="AK219" s="196" t="s">
        <v>3005</v>
      </c>
    </row>
    <row r="220" spans="1:37" s="201" customFormat="1">
      <c r="A220" s="196" t="s">
        <v>617</v>
      </c>
      <c r="B220" s="196" t="s">
        <v>3083</v>
      </c>
      <c r="C220" s="196"/>
      <c r="D220" s="196" t="s">
        <v>3006</v>
      </c>
      <c r="E220" s="197"/>
      <c r="F220" s="196" t="s">
        <v>58</v>
      </c>
      <c r="G220" s="196" t="s">
        <v>3007</v>
      </c>
      <c r="H220" s="196" t="s">
        <v>3008</v>
      </c>
      <c r="I220" s="196"/>
      <c r="J220" s="196" t="s">
        <v>3009</v>
      </c>
      <c r="K220" s="196" t="s">
        <v>2</v>
      </c>
      <c r="L220" s="196" t="s">
        <v>1151</v>
      </c>
      <c r="M220" s="198" t="s">
        <v>3010</v>
      </c>
      <c r="N220" s="196" t="s">
        <v>3011</v>
      </c>
      <c r="O220" s="199">
        <v>1364.5</v>
      </c>
      <c r="P220" s="196" t="s">
        <v>1172</v>
      </c>
      <c r="Q220" s="199">
        <v>4086.3</v>
      </c>
      <c r="R220" s="199"/>
      <c r="S220" s="199"/>
      <c r="T220" s="199"/>
      <c r="U220" s="199"/>
      <c r="V220" s="199"/>
      <c r="W220" s="199">
        <f t="shared" si="7"/>
        <v>4086.3</v>
      </c>
      <c r="X220" s="196" t="s">
        <v>1155</v>
      </c>
      <c r="Y220" s="199"/>
      <c r="Z220" s="200">
        <v>3715</v>
      </c>
      <c r="AA220" s="200">
        <v>0</v>
      </c>
      <c r="AB220" s="200">
        <f t="shared" si="8"/>
        <v>3715</v>
      </c>
      <c r="AC220" s="196" t="s">
        <v>618</v>
      </c>
      <c r="AD220" s="196" t="s">
        <v>59</v>
      </c>
      <c r="AE220" s="197">
        <v>39303</v>
      </c>
      <c r="AF220" s="197"/>
      <c r="AG220" s="197"/>
      <c r="AH220" s="199"/>
      <c r="AI220" s="196"/>
      <c r="AJ220" s="196"/>
      <c r="AK220" s="196" t="s">
        <v>3005</v>
      </c>
    </row>
    <row r="221" spans="1:37" s="201" customFormat="1">
      <c r="A221" s="196" t="s">
        <v>619</v>
      </c>
      <c r="B221" s="196" t="s">
        <v>3083</v>
      </c>
      <c r="C221" s="196"/>
      <c r="D221" s="196" t="s">
        <v>3012</v>
      </c>
      <c r="E221" s="197"/>
      <c r="F221" s="196" t="s">
        <v>58</v>
      </c>
      <c r="G221" s="196" t="s">
        <v>3013</v>
      </c>
      <c r="H221" s="196" t="s">
        <v>3014</v>
      </c>
      <c r="I221" s="196"/>
      <c r="J221" s="196" t="s">
        <v>3015</v>
      </c>
      <c r="K221" s="196" t="s">
        <v>2</v>
      </c>
      <c r="L221" s="196" t="s">
        <v>1151</v>
      </c>
      <c r="M221" s="198" t="s">
        <v>2073</v>
      </c>
      <c r="N221" s="196" t="s">
        <v>3016</v>
      </c>
      <c r="O221" s="199">
        <v>2257.61</v>
      </c>
      <c r="P221" s="196" t="s">
        <v>1161</v>
      </c>
      <c r="Q221" s="199"/>
      <c r="R221" s="199"/>
      <c r="S221" s="199"/>
      <c r="T221" s="199"/>
      <c r="U221" s="199"/>
      <c r="V221" s="199"/>
      <c r="W221" s="199">
        <f t="shared" si="7"/>
        <v>0</v>
      </c>
      <c r="X221" s="196" t="s">
        <v>1155</v>
      </c>
      <c r="Y221" s="199"/>
      <c r="Z221" s="200">
        <v>0</v>
      </c>
      <c r="AA221" s="200">
        <v>1461</v>
      </c>
      <c r="AB221" s="200">
        <f t="shared" si="8"/>
        <v>1461</v>
      </c>
      <c r="AC221" s="195" t="s">
        <v>620</v>
      </c>
      <c r="AD221" s="196" t="s">
        <v>59</v>
      </c>
      <c r="AE221" s="197">
        <v>39315</v>
      </c>
      <c r="AF221" s="197"/>
      <c r="AG221" s="197"/>
      <c r="AH221" s="199"/>
      <c r="AI221" s="196"/>
      <c r="AJ221" s="196"/>
      <c r="AK221" s="196" t="s">
        <v>3005</v>
      </c>
    </row>
    <row r="222" spans="1:37" s="201" customFormat="1">
      <c r="A222" s="196" t="s">
        <v>619</v>
      </c>
      <c r="B222" s="196" t="s">
        <v>3083</v>
      </c>
      <c r="C222" s="196"/>
      <c r="D222" s="196" t="s">
        <v>3012</v>
      </c>
      <c r="E222" s="197"/>
      <c r="F222" s="196" t="s">
        <v>58</v>
      </c>
      <c r="G222" s="196" t="s">
        <v>3013</v>
      </c>
      <c r="H222" s="196" t="s">
        <v>3014</v>
      </c>
      <c r="I222" s="196"/>
      <c r="J222" s="196" t="s">
        <v>3015</v>
      </c>
      <c r="K222" s="196" t="s">
        <v>2</v>
      </c>
      <c r="L222" s="196" t="s">
        <v>1151</v>
      </c>
      <c r="M222" s="198" t="s">
        <v>2073</v>
      </c>
      <c r="N222" s="196" t="s">
        <v>3016</v>
      </c>
      <c r="O222" s="199">
        <v>2257.61</v>
      </c>
      <c r="P222" s="196" t="s">
        <v>1161</v>
      </c>
      <c r="Q222" s="199"/>
      <c r="R222" s="199"/>
      <c r="S222" s="199"/>
      <c r="T222" s="199">
        <v>4564.3100000000004</v>
      </c>
      <c r="U222" s="199"/>
      <c r="V222" s="199"/>
      <c r="W222" s="199">
        <f t="shared" si="7"/>
        <v>4564.3100000000004</v>
      </c>
      <c r="X222" s="196" t="s">
        <v>1155</v>
      </c>
      <c r="Y222" s="199"/>
      <c r="Z222" s="200">
        <v>3804</v>
      </c>
      <c r="AA222" s="200"/>
      <c r="AB222" s="200">
        <f t="shared" si="8"/>
        <v>3804</v>
      </c>
      <c r="AC222" s="195" t="s">
        <v>621</v>
      </c>
      <c r="AD222" s="196" t="s">
        <v>59</v>
      </c>
      <c r="AE222" s="197">
        <v>39387</v>
      </c>
      <c r="AF222" s="197"/>
      <c r="AG222" s="197"/>
      <c r="AH222" s="199"/>
      <c r="AI222" s="196"/>
      <c r="AJ222" s="196"/>
      <c r="AK222" s="196" t="s">
        <v>3005</v>
      </c>
    </row>
    <row r="223" spans="1:37" s="201" customFormat="1">
      <c r="A223" s="196" t="s">
        <v>622</v>
      </c>
      <c r="B223" s="196" t="s">
        <v>3083</v>
      </c>
      <c r="C223" s="196"/>
      <c r="D223" s="196" t="s">
        <v>3017</v>
      </c>
      <c r="E223" s="197"/>
      <c r="F223" s="196" t="s">
        <v>58</v>
      </c>
      <c r="G223" s="196" t="s">
        <v>3018</v>
      </c>
      <c r="H223" s="196" t="s">
        <v>3019</v>
      </c>
      <c r="I223" s="196"/>
      <c r="J223" s="196" t="s">
        <v>3020</v>
      </c>
      <c r="K223" s="196" t="s">
        <v>4</v>
      </c>
      <c r="L223" s="196" t="s">
        <v>1151</v>
      </c>
      <c r="M223" s="198" t="s">
        <v>3021</v>
      </c>
      <c r="N223" s="196" t="s">
        <v>3022</v>
      </c>
      <c r="O223" s="199">
        <v>1322.86</v>
      </c>
      <c r="P223" s="196" t="s">
        <v>1161</v>
      </c>
      <c r="Q223" s="199"/>
      <c r="R223" s="199"/>
      <c r="S223" s="199"/>
      <c r="T223" s="199">
        <v>1977.54</v>
      </c>
      <c r="U223" s="199"/>
      <c r="V223" s="199"/>
      <c r="W223" s="199">
        <f t="shared" si="7"/>
        <v>1977.54</v>
      </c>
      <c r="X223" s="196" t="s">
        <v>1155</v>
      </c>
      <c r="Y223" s="199"/>
      <c r="Z223" s="200">
        <v>2198</v>
      </c>
      <c r="AA223" s="200">
        <v>230</v>
      </c>
      <c r="AB223" s="200">
        <f t="shared" si="8"/>
        <v>2428</v>
      </c>
      <c r="AC223" s="195" t="s">
        <v>623</v>
      </c>
      <c r="AD223" s="196" t="s">
        <v>61</v>
      </c>
      <c r="AE223" s="197">
        <v>39542</v>
      </c>
      <c r="AF223" s="197"/>
      <c r="AG223" s="197"/>
      <c r="AH223" s="199"/>
      <c r="AI223" s="196"/>
      <c r="AJ223" s="196" t="s">
        <v>3023</v>
      </c>
      <c r="AK223" s="196" t="s">
        <v>3005</v>
      </c>
    </row>
    <row r="224" spans="1:37" s="201" customFormat="1">
      <c r="A224" s="196" t="s">
        <v>622</v>
      </c>
      <c r="B224" s="196" t="s">
        <v>3083</v>
      </c>
      <c r="C224" s="196"/>
      <c r="D224" s="196" t="s">
        <v>2783</v>
      </c>
      <c r="E224" s="197"/>
      <c r="F224" s="196" t="s">
        <v>58</v>
      </c>
      <c r="G224" s="196" t="s">
        <v>3018</v>
      </c>
      <c r="H224" s="196" t="s">
        <v>3019</v>
      </c>
      <c r="I224" s="196"/>
      <c r="J224" s="196" t="s">
        <v>3024</v>
      </c>
      <c r="K224" s="196" t="s">
        <v>4</v>
      </c>
      <c r="L224" s="196" t="s">
        <v>1160</v>
      </c>
      <c r="M224" s="198" t="s">
        <v>3021</v>
      </c>
      <c r="N224" s="196" t="s">
        <v>3025</v>
      </c>
      <c r="O224" s="199">
        <v>1888.66</v>
      </c>
      <c r="P224" s="196" t="s">
        <v>1161</v>
      </c>
      <c r="Q224" s="199"/>
      <c r="R224" s="199"/>
      <c r="S224" s="199"/>
      <c r="T224" s="199">
        <v>1977.43</v>
      </c>
      <c r="U224" s="199"/>
      <c r="V224" s="199"/>
      <c r="W224" s="199">
        <f t="shared" si="7"/>
        <v>1977.43</v>
      </c>
      <c r="X224" s="196" t="s">
        <v>1155</v>
      </c>
      <c r="Y224" s="199"/>
      <c r="Z224" s="200">
        <v>2198</v>
      </c>
      <c r="AA224" s="200">
        <v>56</v>
      </c>
      <c r="AB224" s="200">
        <f t="shared" si="8"/>
        <v>2254</v>
      </c>
      <c r="AC224" s="195" t="s">
        <v>624</v>
      </c>
      <c r="AD224" s="196" t="s">
        <v>61</v>
      </c>
      <c r="AE224" s="197">
        <v>42537</v>
      </c>
      <c r="AF224" s="197"/>
      <c r="AG224" s="197"/>
      <c r="AH224" s="199">
        <v>0.11</v>
      </c>
      <c r="AI224" s="196">
        <v>174</v>
      </c>
      <c r="AJ224" s="196" t="s">
        <v>3026</v>
      </c>
      <c r="AK224" s="196" t="s">
        <v>3005</v>
      </c>
    </row>
    <row r="225" spans="1:37" s="201" customFormat="1">
      <c r="A225" s="196" t="s">
        <v>622</v>
      </c>
      <c r="B225" s="196" t="s">
        <v>3083</v>
      </c>
      <c r="C225" s="196" t="s">
        <v>1583</v>
      </c>
      <c r="D225" s="196"/>
      <c r="E225" s="197"/>
      <c r="F225" s="196" t="s">
        <v>58</v>
      </c>
      <c r="G225" s="196" t="s">
        <v>3018</v>
      </c>
      <c r="H225" s="196" t="s">
        <v>3019</v>
      </c>
      <c r="I225" s="196"/>
      <c r="J225" s="196" t="s">
        <v>3027</v>
      </c>
      <c r="K225" s="196" t="s">
        <v>4</v>
      </c>
      <c r="L225" s="196" t="s">
        <v>1160</v>
      </c>
      <c r="M225" s="198" t="s">
        <v>3021</v>
      </c>
      <c r="N225" s="196" t="s">
        <v>3025</v>
      </c>
      <c r="O225" s="199">
        <v>1888.66</v>
      </c>
      <c r="P225" s="196" t="s">
        <v>1161</v>
      </c>
      <c r="Q225" s="199"/>
      <c r="R225" s="199"/>
      <c r="S225" s="199"/>
      <c r="T225" s="199">
        <v>1977.43</v>
      </c>
      <c r="U225" s="199"/>
      <c r="V225" s="199"/>
      <c r="W225" s="199">
        <f t="shared" si="7"/>
        <v>1977.43</v>
      </c>
      <c r="X225" s="196" t="s">
        <v>1155</v>
      </c>
      <c r="Y225" s="199"/>
      <c r="Z225" s="200">
        <v>2198</v>
      </c>
      <c r="AA225" s="200">
        <v>56</v>
      </c>
      <c r="AB225" s="200">
        <f t="shared" si="8"/>
        <v>2254</v>
      </c>
      <c r="AC225" s="195" t="s">
        <v>625</v>
      </c>
      <c r="AD225" s="196" t="s">
        <v>59</v>
      </c>
      <c r="AE225" s="197">
        <v>44644</v>
      </c>
      <c r="AF225" s="197"/>
      <c r="AG225" s="197"/>
      <c r="AH225" s="199"/>
      <c r="AI225" s="196"/>
      <c r="AJ225" s="196" t="s">
        <v>3028</v>
      </c>
      <c r="AK225" s="196" t="s">
        <v>3005</v>
      </c>
    </row>
    <row r="226" spans="1:37" s="201" customFormat="1">
      <c r="A226" s="196" t="s">
        <v>622</v>
      </c>
      <c r="B226" s="196" t="s">
        <v>3083</v>
      </c>
      <c r="C226" s="196" t="s">
        <v>1583</v>
      </c>
      <c r="D226" s="196"/>
      <c r="E226" s="197"/>
      <c r="F226" s="196" t="s">
        <v>58</v>
      </c>
      <c r="G226" s="196" t="s">
        <v>3018</v>
      </c>
      <c r="H226" s="196" t="s">
        <v>3019</v>
      </c>
      <c r="I226" s="196"/>
      <c r="J226" s="196" t="s">
        <v>3027</v>
      </c>
      <c r="K226" s="196" t="s">
        <v>4</v>
      </c>
      <c r="L226" s="196" t="s">
        <v>1195</v>
      </c>
      <c r="M226" s="198" t="s">
        <v>3021</v>
      </c>
      <c r="N226" s="196" t="s">
        <v>3025</v>
      </c>
      <c r="O226" s="199">
        <v>1888.66</v>
      </c>
      <c r="P226" s="196" t="s">
        <v>1161</v>
      </c>
      <c r="Q226" s="199"/>
      <c r="R226" s="199"/>
      <c r="S226" s="199"/>
      <c r="T226" s="199"/>
      <c r="U226" s="199"/>
      <c r="V226" s="199"/>
      <c r="W226" s="199">
        <f t="shared" si="7"/>
        <v>0</v>
      </c>
      <c r="X226" s="196" t="s">
        <v>1155</v>
      </c>
      <c r="Y226" s="199"/>
      <c r="Z226" s="200">
        <v>174</v>
      </c>
      <c r="AA226" s="200"/>
      <c r="AB226" s="200">
        <f t="shared" si="8"/>
        <v>174</v>
      </c>
      <c r="AC226" s="195" t="s">
        <v>3029</v>
      </c>
      <c r="AD226" s="196" t="s">
        <v>59</v>
      </c>
      <c r="AE226" s="197">
        <v>44643</v>
      </c>
      <c r="AF226" s="197"/>
      <c r="AG226" s="197"/>
      <c r="AH226" s="199"/>
      <c r="AI226" s="196"/>
      <c r="AJ226" s="196" t="s">
        <v>3030</v>
      </c>
      <c r="AK226" s="196" t="s">
        <v>3005</v>
      </c>
    </row>
    <row r="227" spans="1:37" s="201" customFormat="1">
      <c r="A227" s="196" t="s">
        <v>626</v>
      </c>
      <c r="B227" s="196" t="s">
        <v>3083</v>
      </c>
      <c r="C227" s="196"/>
      <c r="D227" s="196" t="s">
        <v>3031</v>
      </c>
      <c r="E227" s="197"/>
      <c r="F227" s="196" t="s">
        <v>58</v>
      </c>
      <c r="G227" s="196" t="s">
        <v>3032</v>
      </c>
      <c r="H227" s="196" t="s">
        <v>3033</v>
      </c>
      <c r="I227" s="196"/>
      <c r="J227" s="196" t="s">
        <v>3034</v>
      </c>
      <c r="K227" s="196" t="s">
        <v>4</v>
      </c>
      <c r="L227" s="196" t="s">
        <v>1151</v>
      </c>
      <c r="M227" s="198" t="s">
        <v>2829</v>
      </c>
      <c r="N227" s="196" t="s">
        <v>3035</v>
      </c>
      <c r="O227" s="199">
        <v>1688</v>
      </c>
      <c r="P227" s="196" t="s">
        <v>1161</v>
      </c>
      <c r="Q227" s="199"/>
      <c r="R227" s="199"/>
      <c r="S227" s="199"/>
      <c r="T227" s="199">
        <v>3372.73</v>
      </c>
      <c r="U227" s="199"/>
      <c r="V227" s="199"/>
      <c r="W227" s="199">
        <f t="shared" si="7"/>
        <v>3372.73</v>
      </c>
      <c r="X227" s="196" t="s">
        <v>1155</v>
      </c>
      <c r="Y227" s="199"/>
      <c r="Z227" s="200">
        <v>1350</v>
      </c>
      <c r="AA227" s="200"/>
      <c r="AB227" s="200">
        <f t="shared" si="8"/>
        <v>1350</v>
      </c>
      <c r="AC227" s="196" t="s">
        <v>627</v>
      </c>
      <c r="AD227" s="196" t="s">
        <v>59</v>
      </c>
      <c r="AE227" s="197">
        <v>39407</v>
      </c>
      <c r="AF227" s="197"/>
      <c r="AG227" s="197"/>
      <c r="AH227" s="199"/>
      <c r="AI227" s="196"/>
      <c r="AJ227" s="196"/>
      <c r="AK227" s="196" t="s">
        <v>3005</v>
      </c>
    </row>
    <row r="228" spans="1:37" s="201" customFormat="1">
      <c r="A228" s="196" t="s">
        <v>691</v>
      </c>
      <c r="B228" s="196" t="s">
        <v>3083</v>
      </c>
      <c r="C228" s="196"/>
      <c r="D228" s="196" t="s">
        <v>3036</v>
      </c>
      <c r="E228" s="197"/>
      <c r="F228" s="196" t="s">
        <v>58</v>
      </c>
      <c r="G228" s="196" t="s">
        <v>3037</v>
      </c>
      <c r="H228" s="196" t="s">
        <v>3038</v>
      </c>
      <c r="I228" s="196"/>
      <c r="J228" s="196" t="s">
        <v>3039</v>
      </c>
      <c r="K228" s="196" t="s">
        <v>2</v>
      </c>
      <c r="L228" s="196" t="s">
        <v>1151</v>
      </c>
      <c r="M228" s="198" t="s">
        <v>3040</v>
      </c>
      <c r="N228" s="196" t="s">
        <v>3041</v>
      </c>
      <c r="O228" s="199">
        <v>2203.77</v>
      </c>
      <c r="P228" s="196" t="s">
        <v>1161</v>
      </c>
      <c r="Q228" s="199"/>
      <c r="R228" s="199"/>
      <c r="S228" s="199"/>
      <c r="T228" s="199">
        <v>6611.31</v>
      </c>
      <c r="U228" s="199"/>
      <c r="V228" s="199"/>
      <c r="W228" s="199">
        <f t="shared" si="7"/>
        <v>6611.31</v>
      </c>
      <c r="X228" s="196" t="s">
        <v>1155</v>
      </c>
      <c r="Y228" s="199"/>
      <c r="Z228" s="200">
        <v>13223</v>
      </c>
      <c r="AA228" s="200">
        <v>0</v>
      </c>
      <c r="AB228" s="200">
        <f t="shared" si="8"/>
        <v>13223</v>
      </c>
      <c r="AC228" s="195" t="s">
        <v>692</v>
      </c>
      <c r="AD228" s="196" t="s">
        <v>61</v>
      </c>
      <c r="AE228" s="197">
        <v>39862</v>
      </c>
      <c r="AF228" s="197"/>
      <c r="AG228" s="197"/>
      <c r="AH228" s="199"/>
      <c r="AI228" s="196"/>
      <c r="AJ228" s="196" t="s">
        <v>3042</v>
      </c>
      <c r="AK228" s="196" t="s">
        <v>3043</v>
      </c>
    </row>
    <row r="229" spans="1:37" s="201" customFormat="1">
      <c r="A229" s="196" t="s">
        <v>691</v>
      </c>
      <c r="B229" s="196" t="s">
        <v>3083</v>
      </c>
      <c r="C229" s="196"/>
      <c r="D229" s="196" t="s">
        <v>3036</v>
      </c>
      <c r="E229" s="197"/>
      <c r="F229" s="196" t="s">
        <v>58</v>
      </c>
      <c r="G229" s="196" t="s">
        <v>3037</v>
      </c>
      <c r="H229" s="196" t="s">
        <v>3038</v>
      </c>
      <c r="I229" s="196"/>
      <c r="J229" s="196" t="s">
        <v>3039</v>
      </c>
      <c r="K229" s="196" t="s">
        <v>2</v>
      </c>
      <c r="L229" s="196" t="s">
        <v>1160</v>
      </c>
      <c r="M229" s="198" t="s">
        <v>3040</v>
      </c>
      <c r="N229" s="196" t="s">
        <v>3044</v>
      </c>
      <c r="O229" s="199">
        <v>2330.87</v>
      </c>
      <c r="P229" s="196" t="s">
        <v>1161</v>
      </c>
      <c r="Q229" s="199"/>
      <c r="R229" s="199"/>
      <c r="S229" s="199"/>
      <c r="T229" s="199">
        <v>6992.61</v>
      </c>
      <c r="U229" s="199"/>
      <c r="V229" s="199"/>
      <c r="W229" s="199">
        <f t="shared" ref="W229:W242" si="9">T229+Q229</f>
        <v>6992.61</v>
      </c>
      <c r="X229" s="196" t="s">
        <v>1155</v>
      </c>
      <c r="Y229" s="199"/>
      <c r="Z229" s="200">
        <v>13986</v>
      </c>
      <c r="AA229" s="200">
        <v>0</v>
      </c>
      <c r="AB229" s="200">
        <f t="shared" si="8"/>
        <v>13986</v>
      </c>
      <c r="AC229" s="195" t="s">
        <v>693</v>
      </c>
      <c r="AD229" s="196" t="s">
        <v>61</v>
      </c>
      <c r="AE229" s="197">
        <v>40157</v>
      </c>
      <c r="AF229" s="197"/>
      <c r="AG229" s="197"/>
      <c r="AH229" s="199"/>
      <c r="AI229" s="196"/>
      <c r="AJ229" s="196" t="s">
        <v>3045</v>
      </c>
      <c r="AK229" s="196" t="s">
        <v>3043</v>
      </c>
    </row>
    <row r="230" spans="1:37" s="201" customFormat="1" ht="45">
      <c r="A230" s="196" t="s">
        <v>691</v>
      </c>
      <c r="B230" s="196" t="s">
        <v>3083</v>
      </c>
      <c r="C230" s="196"/>
      <c r="D230" s="196" t="s">
        <v>3036</v>
      </c>
      <c r="E230" s="197"/>
      <c r="F230" s="196" t="s">
        <v>58</v>
      </c>
      <c r="G230" s="196" t="s">
        <v>3046</v>
      </c>
      <c r="H230" s="138" t="s">
        <v>3047</v>
      </c>
      <c r="I230" s="196"/>
      <c r="J230" s="196" t="s">
        <v>3039</v>
      </c>
      <c r="K230" s="196" t="s">
        <v>2</v>
      </c>
      <c r="L230" s="196" t="s">
        <v>1160</v>
      </c>
      <c r="M230" s="198" t="s">
        <v>3040</v>
      </c>
      <c r="N230" s="196" t="s">
        <v>3048</v>
      </c>
      <c r="O230" s="199">
        <v>2654.87</v>
      </c>
      <c r="P230" s="196" t="s">
        <v>1161</v>
      </c>
      <c r="Q230" s="199"/>
      <c r="R230" s="199"/>
      <c r="S230" s="199"/>
      <c r="T230" s="199">
        <f>7938.06-T229</f>
        <v>945.45000000000073</v>
      </c>
      <c r="U230" s="199"/>
      <c r="V230" s="199"/>
      <c r="W230" s="199">
        <f t="shared" si="9"/>
        <v>945.45000000000073</v>
      </c>
      <c r="X230" s="196" t="s">
        <v>1155</v>
      </c>
      <c r="Y230" s="199"/>
      <c r="Z230" s="200">
        <v>829</v>
      </c>
      <c r="AA230" s="200">
        <v>0</v>
      </c>
      <c r="AB230" s="200">
        <f t="shared" si="8"/>
        <v>829</v>
      </c>
      <c r="AC230" s="195" t="s">
        <v>694</v>
      </c>
      <c r="AD230" s="196" t="s">
        <v>61</v>
      </c>
      <c r="AE230" s="197">
        <v>40268</v>
      </c>
      <c r="AF230" s="197"/>
      <c r="AG230" s="197"/>
      <c r="AH230" s="199"/>
      <c r="AI230" s="196"/>
      <c r="AJ230" s="196" t="s">
        <v>3049</v>
      </c>
      <c r="AK230" s="196" t="s">
        <v>3043</v>
      </c>
    </row>
    <row r="231" spans="1:37" s="201" customFormat="1">
      <c r="A231" s="196" t="s">
        <v>691</v>
      </c>
      <c r="B231" s="196" t="s">
        <v>3083</v>
      </c>
      <c r="C231" s="196"/>
      <c r="D231" s="196" t="s">
        <v>3050</v>
      </c>
      <c r="E231" s="197"/>
      <c r="F231" s="196" t="s">
        <v>58</v>
      </c>
      <c r="G231" s="196" t="s">
        <v>3037</v>
      </c>
      <c r="H231" s="196" t="s">
        <v>3038</v>
      </c>
      <c r="I231" s="196"/>
      <c r="J231" s="196" t="s">
        <v>3039</v>
      </c>
      <c r="K231" s="196" t="s">
        <v>2</v>
      </c>
      <c r="L231" s="196" t="s">
        <v>1160</v>
      </c>
      <c r="M231" s="198" t="s">
        <v>3040</v>
      </c>
      <c r="N231" s="196" t="s">
        <v>3051</v>
      </c>
      <c r="O231" s="199">
        <v>3264.75</v>
      </c>
      <c r="P231" s="196" t="s">
        <v>1161</v>
      </c>
      <c r="Q231" s="199"/>
      <c r="R231" s="199"/>
      <c r="S231" s="199"/>
      <c r="T231" s="199">
        <v>7938.06</v>
      </c>
      <c r="U231" s="199"/>
      <c r="V231" s="199"/>
      <c r="W231" s="199">
        <f t="shared" si="9"/>
        <v>7938.06</v>
      </c>
      <c r="X231" s="196" t="s">
        <v>1155</v>
      </c>
      <c r="Y231" s="199"/>
      <c r="Z231" s="200">
        <v>14257</v>
      </c>
      <c r="AA231" s="200">
        <v>0</v>
      </c>
      <c r="AB231" s="200">
        <f t="shared" si="8"/>
        <v>14257</v>
      </c>
      <c r="AC231" s="195" t="s">
        <v>695</v>
      </c>
      <c r="AD231" s="196" t="s">
        <v>61</v>
      </c>
      <c r="AE231" s="197">
        <v>42551</v>
      </c>
      <c r="AF231" s="197"/>
      <c r="AG231" s="199"/>
      <c r="AH231" s="199"/>
      <c r="AI231" s="196">
        <v>558</v>
      </c>
      <c r="AJ231" s="196" t="s">
        <v>3052</v>
      </c>
      <c r="AK231" s="196" t="s">
        <v>3043</v>
      </c>
    </row>
    <row r="232" spans="1:37" s="201" customFormat="1" ht="60">
      <c r="A232" s="196" t="s">
        <v>691</v>
      </c>
      <c r="B232" s="196" t="s">
        <v>3083</v>
      </c>
      <c r="C232" s="196"/>
      <c r="D232" s="196" t="s">
        <v>3053</v>
      </c>
      <c r="E232" s="197"/>
      <c r="F232" s="196" t="s">
        <v>58</v>
      </c>
      <c r="G232" s="196" t="s">
        <v>3054</v>
      </c>
      <c r="H232" s="138" t="s">
        <v>3055</v>
      </c>
      <c r="I232" s="196" t="s">
        <v>3056</v>
      </c>
      <c r="J232" s="196" t="s">
        <v>3039</v>
      </c>
      <c r="K232" s="196" t="s">
        <v>2</v>
      </c>
      <c r="L232" s="196" t="s">
        <v>1160</v>
      </c>
      <c r="M232" s="198" t="s">
        <v>3040</v>
      </c>
      <c r="N232" s="196" t="s">
        <v>3051</v>
      </c>
      <c r="O232" s="199">
        <v>3264.75</v>
      </c>
      <c r="P232" s="196" t="s">
        <v>1161</v>
      </c>
      <c r="Q232" s="199"/>
      <c r="R232" s="199"/>
      <c r="S232" s="199"/>
      <c r="T232" s="199">
        <v>7938.06</v>
      </c>
      <c r="U232" s="199"/>
      <c r="V232" s="199"/>
      <c r="W232" s="199">
        <f t="shared" si="9"/>
        <v>7938.06</v>
      </c>
      <c r="X232" s="196" t="s">
        <v>1155</v>
      </c>
      <c r="Y232" s="199"/>
      <c r="Z232" s="200">
        <v>14257</v>
      </c>
      <c r="AA232" s="200">
        <v>0</v>
      </c>
      <c r="AB232" s="200">
        <f t="shared" si="8"/>
        <v>14257</v>
      </c>
      <c r="AC232" s="196" t="s">
        <v>696</v>
      </c>
      <c r="AD232" s="196" t="s">
        <v>61</v>
      </c>
      <c r="AE232" s="197">
        <v>42916</v>
      </c>
      <c r="AF232" s="197"/>
      <c r="AG232" s="197"/>
      <c r="AH232" s="199"/>
      <c r="AI232" s="196"/>
      <c r="AJ232" s="196" t="s">
        <v>3057</v>
      </c>
      <c r="AK232" s="196" t="s">
        <v>3043</v>
      </c>
    </row>
    <row r="233" spans="1:37" s="201" customFormat="1" ht="60">
      <c r="A233" s="196" t="s">
        <v>691</v>
      </c>
      <c r="B233" s="196" t="s">
        <v>3083</v>
      </c>
      <c r="C233" s="196"/>
      <c r="D233" s="196" t="s">
        <v>3053</v>
      </c>
      <c r="E233" s="197"/>
      <c r="F233" s="196" t="s">
        <v>58</v>
      </c>
      <c r="G233" s="196" t="s">
        <v>3054</v>
      </c>
      <c r="H233" s="138" t="s">
        <v>3055</v>
      </c>
      <c r="I233" s="196" t="s">
        <v>3056</v>
      </c>
      <c r="J233" s="196" t="s">
        <v>3039</v>
      </c>
      <c r="K233" s="196" t="s">
        <v>2</v>
      </c>
      <c r="L233" s="196" t="s">
        <v>1195</v>
      </c>
      <c r="M233" s="198" t="s">
        <v>3040</v>
      </c>
      <c r="N233" s="196" t="s">
        <v>3051</v>
      </c>
      <c r="O233" s="199">
        <v>3264.75</v>
      </c>
      <c r="P233" s="196" t="s">
        <v>1161</v>
      </c>
      <c r="Q233" s="199"/>
      <c r="R233" s="199"/>
      <c r="S233" s="199"/>
      <c r="T233" s="199"/>
      <c r="U233" s="199"/>
      <c r="V233" s="199"/>
      <c r="W233" s="199">
        <f t="shared" si="9"/>
        <v>0</v>
      </c>
      <c r="X233" s="196" t="s">
        <v>1155</v>
      </c>
      <c r="Y233" s="199"/>
      <c r="Z233" s="200">
        <v>558</v>
      </c>
      <c r="AA233" s="200"/>
      <c r="AB233" s="200">
        <f t="shared" si="8"/>
        <v>558</v>
      </c>
      <c r="AC233" s="196" t="s">
        <v>3058</v>
      </c>
      <c r="AD233" s="196" t="s">
        <v>59</v>
      </c>
      <c r="AE233" s="197">
        <v>42916</v>
      </c>
      <c r="AF233" s="197"/>
      <c r="AG233" s="197"/>
      <c r="AH233" s="199"/>
      <c r="AI233" s="196"/>
      <c r="AJ233" s="196" t="s">
        <v>3059</v>
      </c>
      <c r="AK233" s="196" t="s">
        <v>3043</v>
      </c>
    </row>
    <row r="234" spans="1:37" s="201" customFormat="1" ht="75">
      <c r="A234" s="196" t="s">
        <v>691</v>
      </c>
      <c r="B234" s="196" t="s">
        <v>3083</v>
      </c>
      <c r="C234" s="196" t="s">
        <v>1672</v>
      </c>
      <c r="D234" s="196"/>
      <c r="E234" s="197"/>
      <c r="F234" s="196" t="s">
        <v>58</v>
      </c>
      <c r="G234" s="196" t="s">
        <v>3060</v>
      </c>
      <c r="H234" s="138" t="s">
        <v>3061</v>
      </c>
      <c r="I234" s="196" t="s">
        <v>3056</v>
      </c>
      <c r="J234" s="196" t="s">
        <v>3039</v>
      </c>
      <c r="K234" s="196" t="s">
        <v>2</v>
      </c>
      <c r="L234" s="196" t="s">
        <v>1160</v>
      </c>
      <c r="M234" s="198" t="s">
        <v>3040</v>
      </c>
      <c r="N234" s="196" t="s">
        <v>3062</v>
      </c>
      <c r="O234" s="199">
        <v>3264.75</v>
      </c>
      <c r="P234" s="196" t="s">
        <v>1161</v>
      </c>
      <c r="Q234" s="199"/>
      <c r="R234" s="199"/>
      <c r="S234" s="199"/>
      <c r="T234" s="199">
        <v>7938.06</v>
      </c>
      <c r="U234" s="199"/>
      <c r="V234" s="199"/>
      <c r="W234" s="199">
        <f t="shared" si="9"/>
        <v>7938.06</v>
      </c>
      <c r="X234" s="196" t="s">
        <v>1155</v>
      </c>
      <c r="Y234" s="199"/>
      <c r="Z234" s="200">
        <v>11054</v>
      </c>
      <c r="AA234" s="200">
        <v>992</v>
      </c>
      <c r="AB234" s="200">
        <f t="shared" si="8"/>
        <v>12046</v>
      </c>
      <c r="AC234" s="195" t="s">
        <v>697</v>
      </c>
      <c r="AD234" s="196" t="s">
        <v>61</v>
      </c>
      <c r="AE234" s="197">
        <v>43727</v>
      </c>
      <c r="AF234" s="197"/>
      <c r="AG234" s="197"/>
      <c r="AH234" s="199"/>
      <c r="AI234" s="196"/>
      <c r="AJ234" s="196" t="s">
        <v>3063</v>
      </c>
      <c r="AK234" s="196" t="s">
        <v>3043</v>
      </c>
    </row>
    <row r="235" spans="1:37" s="201" customFormat="1" ht="75">
      <c r="A235" s="196" t="s">
        <v>691</v>
      </c>
      <c r="B235" s="196" t="s">
        <v>3083</v>
      </c>
      <c r="C235" s="196" t="s">
        <v>1672</v>
      </c>
      <c r="D235" s="196"/>
      <c r="E235" s="197"/>
      <c r="F235" s="196" t="s">
        <v>58</v>
      </c>
      <c r="G235" s="196" t="s">
        <v>3060</v>
      </c>
      <c r="H235" s="138" t="s">
        <v>3061</v>
      </c>
      <c r="I235" s="196" t="s">
        <v>3056</v>
      </c>
      <c r="J235" s="196" t="s">
        <v>3039</v>
      </c>
      <c r="K235" s="196" t="s">
        <v>2</v>
      </c>
      <c r="L235" s="196" t="s">
        <v>1195</v>
      </c>
      <c r="M235" s="198" t="s">
        <v>3040</v>
      </c>
      <c r="N235" s="196" t="s">
        <v>3062</v>
      </c>
      <c r="O235" s="199">
        <v>3264.75</v>
      </c>
      <c r="P235" s="196" t="s">
        <v>1161</v>
      </c>
      <c r="Q235" s="199"/>
      <c r="R235" s="199"/>
      <c r="S235" s="199"/>
      <c r="T235" s="199"/>
      <c r="U235" s="199"/>
      <c r="V235" s="199"/>
      <c r="W235" s="199">
        <f t="shared" si="9"/>
        <v>0</v>
      </c>
      <c r="X235" s="196" t="s">
        <v>1155</v>
      </c>
      <c r="Y235" s="199"/>
      <c r="Z235" s="200">
        <v>2211</v>
      </c>
      <c r="AA235" s="200"/>
      <c r="AB235" s="200">
        <f t="shared" si="8"/>
        <v>2211</v>
      </c>
      <c r="AC235" s="196" t="s">
        <v>3064</v>
      </c>
      <c r="AD235" s="196" t="s">
        <v>59</v>
      </c>
      <c r="AE235" s="197">
        <v>43727</v>
      </c>
      <c r="AF235" s="197"/>
      <c r="AG235" s="197"/>
      <c r="AH235" s="199"/>
      <c r="AI235" s="196"/>
      <c r="AJ235" s="196" t="s">
        <v>3065</v>
      </c>
      <c r="AK235" s="196" t="s">
        <v>3043</v>
      </c>
    </row>
    <row r="236" spans="1:37" s="201" customFormat="1" ht="75">
      <c r="A236" s="196" t="s">
        <v>691</v>
      </c>
      <c r="B236" s="196" t="s">
        <v>3083</v>
      </c>
      <c r="C236" s="196" t="s">
        <v>3066</v>
      </c>
      <c r="D236" s="196"/>
      <c r="E236" s="197"/>
      <c r="F236" s="196" t="s">
        <v>58</v>
      </c>
      <c r="G236" s="196" t="s">
        <v>3060</v>
      </c>
      <c r="H236" s="138" t="s">
        <v>3061</v>
      </c>
      <c r="I236" s="196" t="s">
        <v>3056</v>
      </c>
      <c r="J236" s="196" t="s">
        <v>3039</v>
      </c>
      <c r="K236" s="196" t="s">
        <v>2</v>
      </c>
      <c r="L236" s="196" t="s">
        <v>1160</v>
      </c>
      <c r="M236" s="198" t="s">
        <v>3040</v>
      </c>
      <c r="N236" s="196" t="s">
        <v>3067</v>
      </c>
      <c r="O236" s="199">
        <v>3801.23</v>
      </c>
      <c r="P236" s="196" t="s">
        <v>1161</v>
      </c>
      <c r="Q236" s="199"/>
      <c r="R236" s="199"/>
      <c r="S236" s="199"/>
      <c r="T236" s="199">
        <v>7938.06</v>
      </c>
      <c r="U236" s="199"/>
      <c r="V236" s="199"/>
      <c r="W236" s="199">
        <f t="shared" si="9"/>
        <v>7938.06</v>
      </c>
      <c r="X236" s="196" t="s">
        <v>1155</v>
      </c>
      <c r="Y236" s="199"/>
      <c r="Z236" s="200">
        <v>11054</v>
      </c>
      <c r="AA236" s="200">
        <v>992</v>
      </c>
      <c r="AB236" s="200">
        <f t="shared" si="8"/>
        <v>12046</v>
      </c>
      <c r="AC236" s="196" t="s">
        <v>698</v>
      </c>
      <c r="AD236" s="196" t="s">
        <v>59</v>
      </c>
      <c r="AE236" s="197">
        <v>44886</v>
      </c>
      <c r="AF236" s="197"/>
      <c r="AG236" s="197"/>
      <c r="AH236" s="199"/>
      <c r="AI236" s="196"/>
      <c r="AJ236" s="196" t="s">
        <v>3068</v>
      </c>
      <c r="AK236" s="196" t="s">
        <v>3043</v>
      </c>
    </row>
    <row r="237" spans="1:37" s="201" customFormat="1">
      <c r="A237" s="196" t="s">
        <v>367</v>
      </c>
      <c r="B237" s="196" t="s">
        <v>3083</v>
      </c>
      <c r="C237" s="196"/>
      <c r="D237" s="196" t="s">
        <v>3069</v>
      </c>
      <c r="E237" s="197"/>
      <c r="F237" s="196" t="s">
        <v>58</v>
      </c>
      <c r="G237" s="196" t="s">
        <v>3070</v>
      </c>
      <c r="H237" s="196" t="s">
        <v>3071</v>
      </c>
      <c r="I237" s="196"/>
      <c r="J237" s="196" t="s">
        <v>3072</v>
      </c>
      <c r="K237" s="196" t="s">
        <v>4</v>
      </c>
      <c r="L237" s="196" t="s">
        <v>1151</v>
      </c>
      <c r="M237" s="198" t="s">
        <v>3073</v>
      </c>
      <c r="N237" s="196" t="s">
        <v>3074</v>
      </c>
      <c r="O237" s="199"/>
      <c r="P237" s="196" t="s">
        <v>1161</v>
      </c>
      <c r="Q237" s="199"/>
      <c r="R237" s="199"/>
      <c r="S237" s="199"/>
      <c r="T237" s="199">
        <v>48214.75</v>
      </c>
      <c r="U237" s="199"/>
      <c r="V237" s="199"/>
      <c r="W237" s="199">
        <f t="shared" si="9"/>
        <v>48214.75</v>
      </c>
      <c r="X237" s="196" t="s">
        <v>1155</v>
      </c>
      <c r="Y237" s="199"/>
      <c r="Z237" s="200">
        <v>53572</v>
      </c>
      <c r="AA237" s="200"/>
      <c r="AB237" s="200">
        <f t="shared" si="8"/>
        <v>53572</v>
      </c>
      <c r="AC237" s="195" t="s">
        <v>370</v>
      </c>
      <c r="AD237" s="196" t="s">
        <v>59</v>
      </c>
      <c r="AE237" s="197">
        <v>39553</v>
      </c>
      <c r="AF237" s="197"/>
      <c r="AG237" s="197"/>
      <c r="AH237" s="199"/>
      <c r="AI237" s="196"/>
      <c r="AJ237" s="196"/>
      <c r="AK237" s="196" t="s">
        <v>3043</v>
      </c>
    </row>
    <row r="238" spans="1:37" s="201" customFormat="1">
      <c r="A238" s="196" t="s">
        <v>367</v>
      </c>
      <c r="B238" s="196" t="s">
        <v>3083</v>
      </c>
      <c r="C238" s="196" t="s">
        <v>1437</v>
      </c>
      <c r="D238" s="196"/>
      <c r="E238" s="197"/>
      <c r="F238" s="196" t="s">
        <v>58</v>
      </c>
      <c r="G238" s="196" t="s">
        <v>3075</v>
      </c>
      <c r="H238" s="196"/>
      <c r="I238" s="196"/>
      <c r="J238" s="196" t="s">
        <v>3076</v>
      </c>
      <c r="K238" s="196" t="s">
        <v>4</v>
      </c>
      <c r="L238" s="196" t="s">
        <v>1151</v>
      </c>
      <c r="M238" s="198" t="s">
        <v>3077</v>
      </c>
      <c r="N238" s="196" t="s">
        <v>3078</v>
      </c>
      <c r="O238" s="199">
        <v>59524.38</v>
      </c>
      <c r="P238" s="196" t="s">
        <v>1172</v>
      </c>
      <c r="Q238" s="199">
        <v>15994.2</v>
      </c>
      <c r="R238" s="199"/>
      <c r="S238" s="199"/>
      <c r="T238" s="199"/>
      <c r="U238" s="199"/>
      <c r="V238" s="199"/>
      <c r="W238" s="199">
        <f t="shared" si="9"/>
        <v>15994.2</v>
      </c>
      <c r="X238" s="196" t="s">
        <v>1155</v>
      </c>
      <c r="Y238" s="199"/>
      <c r="Z238" s="200">
        <v>7998</v>
      </c>
      <c r="AA238" s="200"/>
      <c r="AB238" s="200">
        <f t="shared" si="8"/>
        <v>7998</v>
      </c>
      <c r="AC238" s="195" t="s">
        <v>371</v>
      </c>
      <c r="AD238" s="196" t="s">
        <v>59</v>
      </c>
      <c r="AE238" s="197">
        <v>44448</v>
      </c>
      <c r="AF238" s="197"/>
      <c r="AG238" s="197"/>
      <c r="AH238" s="199"/>
      <c r="AI238" s="196"/>
      <c r="AJ238" s="196"/>
      <c r="AK238" s="196" t="s">
        <v>3043</v>
      </c>
    </row>
    <row r="239" spans="1:37" s="227" customFormat="1" ht="39.950000000000003" customHeight="1">
      <c r="A239" s="165"/>
      <c r="B239" s="165" t="s">
        <v>3083</v>
      </c>
      <c r="C239" s="165"/>
      <c r="D239" s="165"/>
      <c r="E239" s="181"/>
      <c r="F239" s="165" t="s">
        <v>60</v>
      </c>
      <c r="G239" s="228" t="s">
        <v>3098</v>
      </c>
      <c r="H239" s="165"/>
      <c r="I239" s="165"/>
      <c r="J239" s="165"/>
      <c r="K239" s="165" t="s">
        <v>4</v>
      </c>
      <c r="L239" s="165"/>
      <c r="M239" s="182"/>
      <c r="N239" s="165"/>
      <c r="O239" s="183"/>
      <c r="P239" s="165"/>
      <c r="Q239" s="183"/>
      <c r="R239" s="183"/>
      <c r="S239" s="183"/>
      <c r="T239" s="183"/>
      <c r="U239" s="183"/>
      <c r="V239" s="183"/>
      <c r="W239" s="183">
        <f t="shared" si="9"/>
        <v>0</v>
      </c>
      <c r="X239" s="165"/>
      <c r="Y239" s="183"/>
      <c r="Z239" s="184"/>
      <c r="AA239" s="184"/>
      <c r="AB239" s="184">
        <f t="shared" si="8"/>
        <v>0</v>
      </c>
      <c r="AC239" s="165"/>
      <c r="AD239" s="165"/>
      <c r="AE239" s="181"/>
      <c r="AF239" s="181"/>
      <c r="AG239" s="181"/>
      <c r="AH239" s="183"/>
      <c r="AI239" s="165"/>
      <c r="AJ239" s="165"/>
      <c r="AK239" s="165"/>
    </row>
    <row r="240" spans="1:37" s="227" customFormat="1" ht="39.950000000000003" customHeight="1">
      <c r="A240" s="165"/>
      <c r="B240" s="165" t="s">
        <v>3083</v>
      </c>
      <c r="C240" s="165"/>
      <c r="D240" s="165"/>
      <c r="E240" s="181"/>
      <c r="F240" s="165" t="s">
        <v>60</v>
      </c>
      <c r="G240" s="228" t="s">
        <v>3098</v>
      </c>
      <c r="H240" s="165"/>
      <c r="I240" s="165"/>
      <c r="J240" s="165"/>
      <c r="K240" s="165" t="s">
        <v>3</v>
      </c>
      <c r="L240" s="165"/>
      <c r="M240" s="182"/>
      <c r="N240" s="165"/>
      <c r="O240" s="183"/>
      <c r="P240" s="165"/>
      <c r="Q240" s="183"/>
      <c r="R240" s="183"/>
      <c r="S240" s="183"/>
      <c r="T240" s="183"/>
      <c r="U240" s="183"/>
      <c r="V240" s="183"/>
      <c r="W240" s="183">
        <f t="shared" si="9"/>
        <v>0</v>
      </c>
      <c r="X240" s="165"/>
      <c r="Y240" s="183"/>
      <c r="Z240" s="184"/>
      <c r="AA240" s="184"/>
      <c r="AB240" s="184">
        <f t="shared" si="8"/>
        <v>0</v>
      </c>
      <c r="AC240" s="180"/>
      <c r="AD240" s="165"/>
      <c r="AE240" s="181"/>
      <c r="AF240" s="181"/>
      <c r="AG240" s="181"/>
      <c r="AH240" s="183"/>
      <c r="AI240" s="165"/>
      <c r="AJ240" s="165"/>
      <c r="AK240" s="165"/>
    </row>
    <row r="241" spans="1:37" s="227" customFormat="1" ht="39.950000000000003" customHeight="1">
      <c r="A241" s="165"/>
      <c r="B241" s="165" t="s">
        <v>3083</v>
      </c>
      <c r="C241" s="165"/>
      <c r="D241" s="165"/>
      <c r="E241" s="181"/>
      <c r="F241" s="165" t="s">
        <v>60</v>
      </c>
      <c r="G241" s="228" t="s">
        <v>3098</v>
      </c>
      <c r="H241" s="165"/>
      <c r="I241" s="165"/>
      <c r="J241" s="165"/>
      <c r="K241" s="165" t="s">
        <v>2</v>
      </c>
      <c r="L241" s="165"/>
      <c r="M241" s="182"/>
      <c r="N241" s="165"/>
      <c r="O241" s="183"/>
      <c r="P241" s="165"/>
      <c r="Q241" s="183"/>
      <c r="R241" s="183"/>
      <c r="S241" s="183"/>
      <c r="T241" s="183"/>
      <c r="U241" s="183"/>
      <c r="V241" s="183"/>
      <c r="W241" s="183">
        <f t="shared" si="9"/>
        <v>0</v>
      </c>
      <c r="X241" s="165"/>
      <c r="Y241" s="183"/>
      <c r="Z241" s="184"/>
      <c r="AA241" s="184"/>
      <c r="AB241" s="184">
        <f t="shared" si="8"/>
        <v>0</v>
      </c>
      <c r="AC241" s="165"/>
      <c r="AD241" s="165"/>
      <c r="AE241" s="181"/>
      <c r="AF241" s="181"/>
      <c r="AG241" s="181"/>
      <c r="AH241" s="183"/>
      <c r="AI241" s="165"/>
      <c r="AJ241" s="165"/>
      <c r="AK241" s="165"/>
    </row>
    <row r="242" spans="1:37" s="227" customFormat="1" ht="39.950000000000003" customHeight="1">
      <c r="A242" s="165"/>
      <c r="B242" s="165" t="s">
        <v>3083</v>
      </c>
      <c r="C242" s="165"/>
      <c r="D242" s="165"/>
      <c r="E242" s="181"/>
      <c r="F242" s="165" t="s">
        <v>60</v>
      </c>
      <c r="G242" s="228" t="s">
        <v>3098</v>
      </c>
      <c r="H242" s="165"/>
      <c r="I242" s="165"/>
      <c r="J242" s="165"/>
      <c r="K242" s="165" t="s">
        <v>40</v>
      </c>
      <c r="L242" s="165"/>
      <c r="M242" s="182"/>
      <c r="N242" s="165"/>
      <c r="O242" s="183"/>
      <c r="P242" s="165"/>
      <c r="Q242" s="183"/>
      <c r="R242" s="183"/>
      <c r="S242" s="183"/>
      <c r="T242" s="183"/>
      <c r="U242" s="183"/>
      <c r="V242" s="183"/>
      <c r="W242" s="183">
        <f t="shared" si="9"/>
        <v>0</v>
      </c>
      <c r="X242" s="165"/>
      <c r="Y242" s="183"/>
      <c r="Z242" s="184"/>
      <c r="AA242" s="184"/>
      <c r="AB242" s="184">
        <f t="shared" si="8"/>
        <v>0</v>
      </c>
      <c r="AC242" s="165"/>
      <c r="AD242" s="165"/>
      <c r="AE242" s="181"/>
      <c r="AF242" s="181"/>
      <c r="AG242" s="181"/>
      <c r="AH242" s="183"/>
      <c r="AI242" s="165"/>
      <c r="AJ242" s="165"/>
      <c r="AK242" s="165"/>
    </row>
    <row r="243" spans="1:37" s="227" customFormat="1">
      <c r="A243" s="165"/>
      <c r="B243" s="165" t="s">
        <v>3084</v>
      </c>
      <c r="C243" s="165"/>
      <c r="D243" s="165"/>
      <c r="E243" s="181"/>
      <c r="F243" s="165" t="s">
        <v>60</v>
      </c>
      <c r="G243" s="228" t="s">
        <v>3098</v>
      </c>
      <c r="H243" s="165"/>
      <c r="I243" s="165"/>
      <c r="J243" s="165"/>
      <c r="K243" s="165" t="s">
        <v>3</v>
      </c>
      <c r="L243" s="165" t="s">
        <v>1151</v>
      </c>
      <c r="M243" s="182"/>
      <c r="N243" s="165"/>
      <c r="O243" s="183"/>
      <c r="P243" s="165"/>
      <c r="Q243" s="183"/>
      <c r="R243" s="183"/>
      <c r="S243" s="183"/>
      <c r="T243" s="183"/>
      <c r="U243" s="183"/>
      <c r="V243" s="183"/>
      <c r="W243" s="183"/>
      <c r="X243" s="165"/>
      <c r="Y243" s="183"/>
      <c r="Z243" s="184"/>
      <c r="AA243" s="184"/>
      <c r="AB243" s="184"/>
      <c r="AC243" s="165"/>
      <c r="AD243" s="165" t="s">
        <v>59</v>
      </c>
      <c r="AE243" s="181"/>
      <c r="AF243" s="181"/>
      <c r="AG243" s="181"/>
      <c r="AH243" s="183"/>
      <c r="AI243" s="165"/>
      <c r="AJ243" s="165"/>
      <c r="AK243" s="165"/>
    </row>
    <row r="244" spans="1:37" s="227" customFormat="1">
      <c r="A244" s="165"/>
      <c r="B244" s="165" t="s">
        <v>3084</v>
      </c>
      <c r="C244" s="165"/>
      <c r="D244" s="165"/>
      <c r="E244" s="181"/>
      <c r="F244" s="165" t="s">
        <v>60</v>
      </c>
      <c r="G244" s="228" t="s">
        <v>3098</v>
      </c>
      <c r="H244" s="165"/>
      <c r="I244" s="165"/>
      <c r="J244" s="165"/>
      <c r="K244" s="165" t="s">
        <v>2</v>
      </c>
      <c r="L244" s="165" t="s">
        <v>1151</v>
      </c>
      <c r="M244" s="182"/>
      <c r="N244" s="165"/>
      <c r="O244" s="183"/>
      <c r="P244" s="165"/>
      <c r="Q244" s="183"/>
      <c r="R244" s="183"/>
      <c r="S244" s="183"/>
      <c r="T244" s="183"/>
      <c r="U244" s="183"/>
      <c r="V244" s="183"/>
      <c r="W244" s="183"/>
      <c r="X244" s="165"/>
      <c r="Y244" s="183"/>
      <c r="Z244" s="184"/>
      <c r="AA244" s="184"/>
      <c r="AB244" s="184"/>
      <c r="AC244" s="165"/>
      <c r="AD244" s="165" t="s">
        <v>59</v>
      </c>
      <c r="AE244" s="181"/>
      <c r="AF244" s="181"/>
      <c r="AG244" s="181"/>
      <c r="AH244" s="183"/>
      <c r="AI244" s="165"/>
      <c r="AJ244" s="165"/>
      <c r="AK244" s="165"/>
    </row>
    <row r="245" spans="1:37" s="227" customFormat="1">
      <c r="A245" s="165"/>
      <c r="B245" s="165" t="s">
        <v>3084</v>
      </c>
      <c r="C245" s="165"/>
      <c r="D245" s="165"/>
      <c r="E245" s="181"/>
      <c r="F245" s="165" t="s">
        <v>60</v>
      </c>
      <c r="G245" s="228" t="s">
        <v>3098</v>
      </c>
      <c r="H245" s="165"/>
      <c r="I245" s="165"/>
      <c r="J245" s="165"/>
      <c r="K245" s="165" t="s">
        <v>40</v>
      </c>
      <c r="L245" s="165" t="s">
        <v>1151</v>
      </c>
      <c r="M245" s="182"/>
      <c r="N245" s="165"/>
      <c r="O245" s="183"/>
      <c r="P245" s="165"/>
      <c r="Q245" s="183"/>
      <c r="R245" s="183"/>
      <c r="S245" s="183"/>
      <c r="T245" s="183"/>
      <c r="U245" s="183"/>
      <c r="V245" s="183"/>
      <c r="W245" s="183"/>
      <c r="X245" s="165"/>
      <c r="Y245" s="183"/>
      <c r="Z245" s="184"/>
      <c r="AA245" s="184"/>
      <c r="AB245" s="184"/>
      <c r="AC245" s="165"/>
      <c r="AD245" s="165" t="s">
        <v>59</v>
      </c>
      <c r="AE245" s="181"/>
      <c r="AF245" s="181"/>
      <c r="AG245" s="181"/>
      <c r="AH245" s="183"/>
      <c r="AI245" s="165"/>
      <c r="AJ245" s="165"/>
      <c r="AK245" s="165"/>
    </row>
    <row r="246" spans="1:37" s="227" customFormat="1">
      <c r="A246" s="165"/>
      <c r="B246" s="165" t="s">
        <v>3084</v>
      </c>
      <c r="C246" s="165"/>
      <c r="D246" s="165"/>
      <c r="E246" s="181"/>
      <c r="F246" s="165" t="s">
        <v>60</v>
      </c>
      <c r="G246" s="228" t="s">
        <v>3098</v>
      </c>
      <c r="H246" s="165"/>
      <c r="I246" s="165"/>
      <c r="J246" s="165"/>
      <c r="K246" s="165" t="s">
        <v>4</v>
      </c>
      <c r="L246" s="165" t="s">
        <v>1151</v>
      </c>
      <c r="M246" s="182"/>
      <c r="N246" s="165"/>
      <c r="O246" s="183"/>
      <c r="P246" s="165"/>
      <c r="Q246" s="183"/>
      <c r="R246" s="183"/>
      <c r="S246" s="183"/>
      <c r="T246" s="183"/>
      <c r="U246" s="183"/>
      <c r="V246" s="183"/>
      <c r="W246" s="183"/>
      <c r="X246" s="165"/>
      <c r="Y246" s="183"/>
      <c r="Z246" s="184"/>
      <c r="AA246" s="184"/>
      <c r="AB246" s="184"/>
      <c r="AC246" s="165"/>
      <c r="AD246" s="165" t="s">
        <v>59</v>
      </c>
      <c r="AE246" s="181"/>
      <c r="AF246" s="181"/>
      <c r="AG246" s="181"/>
      <c r="AH246" s="183"/>
      <c r="AI246" s="165"/>
      <c r="AJ246" s="165"/>
      <c r="AK246" s="165"/>
    </row>
    <row r="247" spans="1:37" s="201" customFormat="1" ht="45">
      <c r="A247" s="196" t="s">
        <v>846</v>
      </c>
      <c r="B247" s="196" t="s">
        <v>3083</v>
      </c>
      <c r="C247" s="196" t="s">
        <v>1130</v>
      </c>
      <c r="D247" s="196"/>
      <c r="E247" s="197"/>
      <c r="F247" s="196" t="s">
        <v>58</v>
      </c>
      <c r="G247" s="240" t="s">
        <v>1148</v>
      </c>
      <c r="H247" s="240" t="s">
        <v>1149</v>
      </c>
      <c r="I247" s="192"/>
      <c r="J247" s="244" t="s">
        <v>1159</v>
      </c>
      <c r="K247" s="240" t="s">
        <v>2</v>
      </c>
      <c r="L247" s="240" t="s">
        <v>1160</v>
      </c>
      <c r="M247" s="240" t="s">
        <v>1152</v>
      </c>
      <c r="N247" s="240" t="s">
        <v>1153</v>
      </c>
      <c r="O247" s="245">
        <v>2657.45</v>
      </c>
      <c r="P247" s="192" t="s">
        <v>1161</v>
      </c>
      <c r="Q247" s="264"/>
      <c r="R247" s="264"/>
      <c r="S247" s="264"/>
      <c r="T247" s="264">
        <v>3627.57</v>
      </c>
      <c r="U247" s="264"/>
      <c r="V247" s="264"/>
      <c r="W247" s="264">
        <f>SUM(Q247:T247)</f>
        <v>3627.57</v>
      </c>
      <c r="X247" s="192" t="s">
        <v>1155</v>
      </c>
      <c r="Y247" s="264"/>
      <c r="Z247" s="265">
        <v>5400</v>
      </c>
      <c r="AA247" s="265"/>
      <c r="AB247" s="265">
        <f>SUM(Z247:AA247)</f>
        <v>5400</v>
      </c>
      <c r="AC247" s="192" t="s">
        <v>849</v>
      </c>
      <c r="AD247" s="192" t="s">
        <v>61</v>
      </c>
      <c r="AE247" s="266">
        <v>45835</v>
      </c>
      <c r="AF247" s="266"/>
      <c r="AG247" s="266"/>
      <c r="AH247" s="264">
        <f>SUM(AF247:AG247)</f>
        <v>0</v>
      </c>
      <c r="AI247" s="265"/>
      <c r="AJ247" s="192" t="s">
        <v>3106</v>
      </c>
      <c r="AK247" s="240" t="s">
        <v>3085</v>
      </c>
    </row>
    <row r="248" spans="1:37" s="201" customFormat="1" ht="45">
      <c r="A248" s="196" t="s">
        <v>846</v>
      </c>
      <c r="B248" s="196" t="s">
        <v>3084</v>
      </c>
      <c r="C248" s="196" t="s">
        <v>1130</v>
      </c>
      <c r="D248" s="196"/>
      <c r="E248" s="197"/>
      <c r="F248" s="196" t="s">
        <v>58</v>
      </c>
      <c r="G248" s="240" t="s">
        <v>1148</v>
      </c>
      <c r="H248" s="240" t="s">
        <v>1149</v>
      </c>
      <c r="I248" s="192"/>
      <c r="J248" s="244" t="s">
        <v>1159</v>
      </c>
      <c r="K248" s="240" t="s">
        <v>2</v>
      </c>
      <c r="L248" s="240" t="s">
        <v>1160</v>
      </c>
      <c r="M248" s="240" t="s">
        <v>1152</v>
      </c>
      <c r="N248" s="240" t="s">
        <v>1153</v>
      </c>
      <c r="O248" s="245">
        <v>2657.45</v>
      </c>
      <c r="P248" s="192" t="s">
        <v>1161</v>
      </c>
      <c r="Q248" s="264"/>
      <c r="R248" s="264"/>
      <c r="S248" s="264"/>
      <c r="T248" s="264">
        <v>3051.4</v>
      </c>
      <c r="U248" s="264"/>
      <c r="V248" s="264"/>
      <c r="W248" s="264">
        <f>SUM(Q248:T248)</f>
        <v>3051.4</v>
      </c>
      <c r="X248" s="192" t="s">
        <v>1155</v>
      </c>
      <c r="Y248" s="264"/>
      <c r="Z248" s="265">
        <v>0</v>
      </c>
      <c r="AA248" s="265"/>
      <c r="AB248" s="265">
        <f>SUM(Z248:AA248)</f>
        <v>0</v>
      </c>
      <c r="AC248" s="192" t="s">
        <v>849</v>
      </c>
      <c r="AD248" s="192" t="s">
        <v>61</v>
      </c>
      <c r="AE248" s="266">
        <v>45835</v>
      </c>
      <c r="AF248" s="266"/>
      <c r="AG248" s="266"/>
      <c r="AH248" s="264">
        <f>SUM(AF248:AG248)</f>
        <v>0</v>
      </c>
      <c r="AI248" s="265"/>
      <c r="AJ248" s="192" t="s">
        <v>3107</v>
      </c>
      <c r="AK248" s="240" t="s">
        <v>3085</v>
      </c>
    </row>
    <row r="249" spans="1:37" s="201" customFormat="1" ht="45">
      <c r="A249" s="196" t="s">
        <v>846</v>
      </c>
      <c r="B249" s="196" t="s">
        <v>3083</v>
      </c>
      <c r="C249" s="196" t="s">
        <v>1130</v>
      </c>
      <c r="D249" s="196"/>
      <c r="E249" s="197"/>
      <c r="F249" s="196" t="s">
        <v>58</v>
      </c>
      <c r="G249" s="240" t="s">
        <v>1148</v>
      </c>
      <c r="H249" s="240" t="s">
        <v>1149</v>
      </c>
      <c r="I249" s="192"/>
      <c r="J249" s="244" t="s">
        <v>1159</v>
      </c>
      <c r="K249" s="240" t="s">
        <v>2</v>
      </c>
      <c r="L249" s="240" t="s">
        <v>1195</v>
      </c>
      <c r="M249" s="240" t="s">
        <v>1152</v>
      </c>
      <c r="N249" s="240" t="s">
        <v>1153</v>
      </c>
      <c r="O249" s="245">
        <v>2657.45</v>
      </c>
      <c r="P249" s="192" t="s">
        <v>1172</v>
      </c>
      <c r="Q249" s="264">
        <v>7002.23</v>
      </c>
      <c r="R249" s="264"/>
      <c r="S249" s="264"/>
      <c r="T249" s="264"/>
      <c r="U249" s="264"/>
      <c r="V249" s="264"/>
      <c r="W249" s="264"/>
      <c r="X249" s="192" t="s">
        <v>1155</v>
      </c>
      <c r="Y249" s="264"/>
      <c r="Z249" s="265">
        <v>0</v>
      </c>
      <c r="AA249" s="265"/>
      <c r="AB249" s="265">
        <v>0</v>
      </c>
      <c r="AC249" s="192" t="s">
        <v>849</v>
      </c>
      <c r="AD249" s="192" t="s">
        <v>59</v>
      </c>
      <c r="AE249" s="266">
        <v>45835</v>
      </c>
      <c r="AF249" s="266"/>
      <c r="AG249" s="266"/>
      <c r="AH249" s="264">
        <f>SUM(AF249:AG249)</f>
        <v>0</v>
      </c>
      <c r="AI249" s="265"/>
      <c r="AJ249" s="288" t="s">
        <v>3327</v>
      </c>
      <c r="AK249" s="240" t="s">
        <v>3097</v>
      </c>
    </row>
    <row r="250" spans="1:37" ht="45">
      <c r="A250" s="137" t="s">
        <v>883</v>
      </c>
      <c r="B250" s="137" t="s">
        <v>3083</v>
      </c>
      <c r="C250" s="139" t="s">
        <v>1133</v>
      </c>
      <c r="D250" s="139"/>
      <c r="E250" s="193"/>
      <c r="F250" s="139" t="s">
        <v>58</v>
      </c>
      <c r="G250" s="101" t="s">
        <v>1163</v>
      </c>
      <c r="H250" s="101" t="s">
        <v>1164</v>
      </c>
      <c r="I250" s="101"/>
      <c r="J250" s="101" t="s">
        <v>1171</v>
      </c>
      <c r="K250" s="101" t="s">
        <v>4</v>
      </c>
      <c r="L250" s="101" t="s">
        <v>1160</v>
      </c>
      <c r="M250" s="101" t="s">
        <v>1166</v>
      </c>
      <c r="N250" s="101" t="s">
        <v>1167</v>
      </c>
      <c r="O250" s="189">
        <v>3732.62</v>
      </c>
      <c r="P250" s="101" t="s">
        <v>1172</v>
      </c>
      <c r="Q250" s="189">
        <v>9833.9599999999991</v>
      </c>
      <c r="R250" s="189"/>
      <c r="S250" s="189"/>
      <c r="T250" s="101"/>
      <c r="U250" s="101"/>
      <c r="V250" s="101"/>
      <c r="W250" s="189">
        <v>9833.9599999999991</v>
      </c>
      <c r="X250" s="101" t="s">
        <v>1155</v>
      </c>
      <c r="Y250" s="101"/>
      <c r="Z250" s="194">
        <v>3209</v>
      </c>
      <c r="AA250" s="194"/>
      <c r="AB250" s="194">
        <v>3209</v>
      </c>
      <c r="AC250" s="101" t="s">
        <v>887</v>
      </c>
      <c r="AD250" s="101" t="s">
        <v>61</v>
      </c>
      <c r="AE250" s="193">
        <v>45835</v>
      </c>
      <c r="AF250" s="193"/>
      <c r="AG250" s="193"/>
      <c r="AH250" s="190">
        <f>SUM(AF250:AG250)</f>
        <v>0</v>
      </c>
      <c r="AI250" s="191">
        <v>2829</v>
      </c>
      <c r="AJ250" s="140" t="s">
        <v>3087</v>
      </c>
      <c r="AK250" s="101" t="s">
        <v>3085</v>
      </c>
    </row>
    <row r="251" spans="1:37" ht="60">
      <c r="A251" s="137" t="s">
        <v>1136</v>
      </c>
      <c r="B251" s="137" t="s">
        <v>3084</v>
      </c>
      <c r="C251" s="139" t="s">
        <v>1135</v>
      </c>
      <c r="D251" s="139"/>
      <c r="E251" s="193">
        <v>45540</v>
      </c>
      <c r="F251" s="139" t="s">
        <v>58</v>
      </c>
      <c r="G251" s="230" t="s">
        <v>3088</v>
      </c>
      <c r="H251" s="230" t="s">
        <v>2305</v>
      </c>
      <c r="I251" s="139"/>
      <c r="J251" s="230" t="s">
        <v>3089</v>
      </c>
      <c r="K251" s="101" t="s">
        <v>40</v>
      </c>
      <c r="L251" s="139" t="s">
        <v>1160</v>
      </c>
      <c r="M251" s="231" t="s">
        <v>2301</v>
      </c>
      <c r="N251" s="230" t="s">
        <v>3090</v>
      </c>
      <c r="O251" s="190">
        <v>8095.41</v>
      </c>
      <c r="P251" s="139" t="s">
        <v>1161</v>
      </c>
      <c r="Q251" s="190"/>
      <c r="R251" s="190"/>
      <c r="S251" s="190"/>
      <c r="T251" s="190">
        <v>259</v>
      </c>
      <c r="U251" s="190"/>
      <c r="V251" s="190"/>
      <c r="W251" s="190">
        <f>SUM(Q251:T251)</f>
        <v>259</v>
      </c>
      <c r="X251" s="139" t="s">
        <v>1155</v>
      </c>
      <c r="Y251" s="190"/>
      <c r="Z251" s="191">
        <v>259</v>
      </c>
      <c r="AA251" s="191"/>
      <c r="AB251" s="191">
        <f>SUM(Z251:AA251)</f>
        <v>259</v>
      </c>
      <c r="AC251" s="139" t="s">
        <v>681</v>
      </c>
      <c r="AD251" s="139" t="s">
        <v>59</v>
      </c>
      <c r="AE251" s="193">
        <v>45856</v>
      </c>
      <c r="AF251" s="193"/>
      <c r="AG251" s="193"/>
      <c r="AH251" s="190">
        <f>SUM(AF251:AG251)</f>
        <v>0</v>
      </c>
      <c r="AI251" s="191"/>
      <c r="AJ251" s="140" t="s">
        <v>3092</v>
      </c>
      <c r="AK251" s="139" t="s">
        <v>3091</v>
      </c>
    </row>
    <row r="252" spans="1:37" s="101" customFormat="1" ht="45">
      <c r="A252" s="139" t="s">
        <v>803</v>
      </c>
      <c r="B252" s="139" t="s">
        <v>3083</v>
      </c>
      <c r="C252" s="139" t="s">
        <v>1175</v>
      </c>
      <c r="D252" s="139"/>
      <c r="E252" s="193">
        <v>45520</v>
      </c>
      <c r="F252" s="139" t="s">
        <v>58</v>
      </c>
      <c r="G252" s="230" t="s">
        <v>3093</v>
      </c>
      <c r="H252" s="139" t="s">
        <v>1178</v>
      </c>
      <c r="I252" s="139"/>
      <c r="J252" s="230" t="s">
        <v>3095</v>
      </c>
      <c r="K252" s="139" t="s">
        <v>3</v>
      </c>
      <c r="L252" s="139" t="s">
        <v>1160</v>
      </c>
      <c r="M252" s="231" t="s">
        <v>1181</v>
      </c>
      <c r="N252" s="139" t="s">
        <v>3094</v>
      </c>
      <c r="O252" s="190">
        <v>15540.05</v>
      </c>
      <c r="P252" s="139" t="s">
        <v>1172</v>
      </c>
      <c r="Q252" s="190">
        <v>34278.239999999998</v>
      </c>
      <c r="R252" s="190"/>
      <c r="S252" s="190"/>
      <c r="T252" s="190"/>
      <c r="U252" s="190"/>
      <c r="V252" s="190"/>
      <c r="W252" s="190">
        <f>T252+Q252</f>
        <v>34278.239999999998</v>
      </c>
      <c r="X252" s="139" t="s">
        <v>1155</v>
      </c>
      <c r="Y252" s="190"/>
      <c r="Z252" s="191">
        <v>7852</v>
      </c>
      <c r="AA252" s="191">
        <v>0</v>
      </c>
      <c r="AB252" s="191">
        <f>AA252+Z252</f>
        <v>7852</v>
      </c>
      <c r="AC252" s="139" t="s">
        <v>1139</v>
      </c>
      <c r="AD252" s="139" t="s">
        <v>61</v>
      </c>
      <c r="AE252" s="193">
        <v>45876</v>
      </c>
      <c r="AF252" s="193"/>
      <c r="AG252" s="193"/>
      <c r="AH252" s="190"/>
      <c r="AI252" s="139">
        <v>3292</v>
      </c>
      <c r="AJ252" s="230" t="s">
        <v>3329</v>
      </c>
      <c r="AK252" s="139" t="s">
        <v>3322</v>
      </c>
    </row>
    <row r="253" spans="1:37" s="227" customFormat="1" ht="39.950000000000003" customHeight="1">
      <c r="A253" s="165"/>
      <c r="B253" s="165" t="s">
        <v>3084</v>
      </c>
      <c r="C253" s="165"/>
      <c r="D253" s="165"/>
      <c r="E253" s="181"/>
      <c r="F253" s="165" t="s">
        <v>60</v>
      </c>
      <c r="G253" s="228" t="s">
        <v>3098</v>
      </c>
      <c r="H253" s="165"/>
      <c r="I253" s="165"/>
      <c r="J253" s="165"/>
      <c r="K253" s="165" t="s">
        <v>4</v>
      </c>
      <c r="L253" s="165"/>
      <c r="M253" s="182"/>
      <c r="N253" s="165"/>
      <c r="O253" s="183"/>
      <c r="P253" s="165"/>
      <c r="Q253" s="183"/>
      <c r="R253" s="183"/>
      <c r="S253" s="183"/>
      <c r="T253" s="183"/>
      <c r="U253" s="183"/>
      <c r="V253" s="183"/>
      <c r="W253" s="183">
        <f>T253+Q253</f>
        <v>0</v>
      </c>
      <c r="X253" s="165"/>
      <c r="Y253" s="183"/>
      <c r="Z253" s="184"/>
      <c r="AA253" s="184"/>
      <c r="AB253" s="184">
        <f>AA253+Z253</f>
        <v>0</v>
      </c>
      <c r="AC253" s="165"/>
      <c r="AD253" s="165"/>
      <c r="AE253" s="181"/>
      <c r="AF253" s="181"/>
      <c r="AG253" s="181"/>
      <c r="AH253" s="183"/>
      <c r="AI253" s="165"/>
      <c r="AJ253" s="165"/>
      <c r="AK253" s="165"/>
    </row>
    <row r="254" spans="1:37" s="227" customFormat="1" ht="39.950000000000003" customHeight="1">
      <c r="A254" s="165"/>
      <c r="B254" s="165" t="s">
        <v>3084</v>
      </c>
      <c r="C254" s="165"/>
      <c r="D254" s="165"/>
      <c r="E254" s="181"/>
      <c r="F254" s="165" t="s">
        <v>60</v>
      </c>
      <c r="G254" s="228" t="s">
        <v>3098</v>
      </c>
      <c r="H254" s="165"/>
      <c r="I254" s="165"/>
      <c r="J254" s="165"/>
      <c r="K254" s="165" t="s">
        <v>3</v>
      </c>
      <c r="L254" s="165"/>
      <c r="M254" s="182"/>
      <c r="N254" s="165"/>
      <c r="O254" s="183"/>
      <c r="P254" s="165"/>
      <c r="Q254" s="183"/>
      <c r="R254" s="183"/>
      <c r="S254" s="183"/>
      <c r="T254" s="183"/>
      <c r="U254" s="183"/>
      <c r="V254" s="183"/>
      <c r="W254" s="183">
        <f>T254+Q254</f>
        <v>0</v>
      </c>
      <c r="X254" s="165"/>
      <c r="Y254" s="183"/>
      <c r="Z254" s="184"/>
      <c r="AA254" s="184"/>
      <c r="AB254" s="184">
        <f>AA254+Z254</f>
        <v>0</v>
      </c>
      <c r="AC254" s="180"/>
      <c r="AD254" s="165"/>
      <c r="AE254" s="181"/>
      <c r="AF254" s="181"/>
      <c r="AG254" s="181"/>
      <c r="AH254" s="183"/>
      <c r="AI254" s="165"/>
      <c r="AJ254" s="165"/>
      <c r="AK254" s="165"/>
    </row>
    <row r="255" spans="1:37" s="227" customFormat="1" ht="39.950000000000003" customHeight="1">
      <c r="A255" s="165"/>
      <c r="B255" s="165" t="s">
        <v>3084</v>
      </c>
      <c r="C255" s="165"/>
      <c r="D255" s="165"/>
      <c r="E255" s="181"/>
      <c r="F255" s="165" t="s">
        <v>60</v>
      </c>
      <c r="G255" s="228" t="s">
        <v>3098</v>
      </c>
      <c r="H255" s="165"/>
      <c r="I255" s="165"/>
      <c r="J255" s="165"/>
      <c r="K255" s="165" t="s">
        <v>2</v>
      </c>
      <c r="L255" s="165"/>
      <c r="M255" s="182"/>
      <c r="N255" s="165"/>
      <c r="O255" s="183"/>
      <c r="P255" s="165"/>
      <c r="Q255" s="183"/>
      <c r="R255" s="183"/>
      <c r="S255" s="183"/>
      <c r="T255" s="183"/>
      <c r="U255" s="183"/>
      <c r="V255" s="183"/>
      <c r="W255" s="183">
        <f>T255+Q255</f>
        <v>0</v>
      </c>
      <c r="X255" s="165"/>
      <c r="Y255" s="183"/>
      <c r="Z255" s="184"/>
      <c r="AA255" s="184"/>
      <c r="AB255" s="184">
        <f>AA255+Z255</f>
        <v>0</v>
      </c>
      <c r="AC255" s="165"/>
      <c r="AD255" s="165"/>
      <c r="AE255" s="181"/>
      <c r="AF255" s="181"/>
      <c r="AG255" s="181"/>
      <c r="AH255" s="183"/>
      <c r="AI255" s="165"/>
      <c r="AJ255" s="165"/>
      <c r="AK255" s="165"/>
    </row>
    <row r="256" spans="1:37" s="227" customFormat="1" ht="39.950000000000003" customHeight="1">
      <c r="A256" s="165"/>
      <c r="B256" s="165" t="s">
        <v>3084</v>
      </c>
      <c r="C256" s="165"/>
      <c r="D256" s="165"/>
      <c r="E256" s="181"/>
      <c r="F256" s="165" t="s">
        <v>60</v>
      </c>
      <c r="G256" s="228" t="s">
        <v>3098</v>
      </c>
      <c r="H256" s="165"/>
      <c r="I256" s="165"/>
      <c r="J256" s="165"/>
      <c r="K256" s="165" t="s">
        <v>40</v>
      </c>
      <c r="L256" s="165"/>
      <c r="M256" s="182"/>
      <c r="N256" s="165"/>
      <c r="O256" s="183"/>
      <c r="P256" s="165"/>
      <c r="Q256" s="183"/>
      <c r="R256" s="183"/>
      <c r="S256" s="183"/>
      <c r="T256" s="183"/>
      <c r="U256" s="183"/>
      <c r="V256" s="183"/>
      <c r="W256" s="183">
        <f>T256+Q256</f>
        <v>0</v>
      </c>
      <c r="X256" s="165"/>
      <c r="Y256" s="183"/>
      <c r="Z256" s="184"/>
      <c r="AA256" s="184"/>
      <c r="AB256" s="184">
        <f>AA256+Z256</f>
        <v>0</v>
      </c>
      <c r="AC256" s="165"/>
      <c r="AD256" s="165"/>
      <c r="AE256" s="181"/>
      <c r="AF256" s="181"/>
      <c r="AG256" s="181"/>
      <c r="AH256" s="183"/>
      <c r="AI256" s="165"/>
      <c r="AJ256" s="165"/>
      <c r="AK256" s="165"/>
    </row>
    <row r="257" spans="1:37" s="227" customFormat="1">
      <c r="A257" s="165"/>
      <c r="B257" s="165" t="s">
        <v>3084</v>
      </c>
      <c r="C257" s="165"/>
      <c r="D257" s="165"/>
      <c r="E257" s="181"/>
      <c r="F257" s="165" t="s">
        <v>58</v>
      </c>
      <c r="G257" s="228" t="s">
        <v>3098</v>
      </c>
      <c r="H257" s="165"/>
      <c r="I257" s="165"/>
      <c r="J257" s="165"/>
      <c r="K257" s="165"/>
      <c r="L257" s="165"/>
      <c r="M257" s="182"/>
      <c r="N257" s="165"/>
      <c r="O257" s="183"/>
      <c r="P257" s="165"/>
      <c r="Q257" s="183"/>
      <c r="R257" s="183"/>
      <c r="S257" s="183"/>
      <c r="T257" s="183"/>
      <c r="U257" s="183"/>
      <c r="V257" s="183"/>
      <c r="W257" s="183"/>
      <c r="X257" s="165"/>
      <c r="Y257" s="183"/>
      <c r="Z257" s="184"/>
      <c r="AA257" s="184"/>
      <c r="AB257" s="184"/>
      <c r="AC257" s="165"/>
      <c r="AD257" s="165"/>
      <c r="AE257" s="181"/>
      <c r="AF257" s="181"/>
      <c r="AG257" s="181"/>
      <c r="AH257" s="183"/>
      <c r="AI257" s="165"/>
      <c r="AJ257" s="165"/>
      <c r="AK257" s="165"/>
    </row>
    <row r="258" spans="1:37" s="227" customFormat="1">
      <c r="A258" s="165"/>
      <c r="B258" s="165" t="s">
        <v>3084</v>
      </c>
      <c r="C258" s="165"/>
      <c r="D258" s="165"/>
      <c r="E258" s="181"/>
      <c r="F258" s="165" t="s">
        <v>58</v>
      </c>
      <c r="G258" s="228" t="s">
        <v>3098</v>
      </c>
      <c r="H258" s="165"/>
      <c r="I258" s="165"/>
      <c r="J258" s="165"/>
      <c r="K258" s="165"/>
      <c r="L258" s="165"/>
      <c r="M258" s="182"/>
      <c r="N258" s="165"/>
      <c r="O258" s="183"/>
      <c r="P258" s="165"/>
      <c r="Q258" s="183"/>
      <c r="R258" s="183"/>
      <c r="S258" s="183"/>
      <c r="T258" s="183"/>
      <c r="U258" s="183"/>
      <c r="V258" s="183"/>
      <c r="W258" s="183"/>
      <c r="X258" s="165"/>
      <c r="Y258" s="183"/>
      <c r="Z258" s="184"/>
      <c r="AA258" s="184"/>
      <c r="AB258" s="184"/>
      <c r="AC258" s="165"/>
      <c r="AD258" s="165"/>
      <c r="AE258" s="181"/>
      <c r="AF258" s="181"/>
      <c r="AG258" s="181"/>
      <c r="AH258" s="183"/>
      <c r="AI258" s="165"/>
      <c r="AJ258" s="165"/>
      <c r="AK258" s="165"/>
    </row>
    <row r="259" spans="1:37" ht="39.950000000000003" customHeight="1">
      <c r="A259" s="139" t="s">
        <v>803</v>
      </c>
      <c r="B259" s="137" t="s">
        <v>3083</v>
      </c>
      <c r="C259" s="139" t="s">
        <v>3108</v>
      </c>
      <c r="E259" s="175">
        <v>45883</v>
      </c>
      <c r="F259" s="137" t="s">
        <v>58</v>
      </c>
      <c r="G259" s="137" t="s">
        <v>3109</v>
      </c>
      <c r="H259" s="137" t="s">
        <v>1178</v>
      </c>
      <c r="J259" s="230" t="s">
        <v>3095</v>
      </c>
      <c r="K259" s="139" t="s">
        <v>3</v>
      </c>
      <c r="L259" s="137" t="s">
        <v>1160</v>
      </c>
      <c r="M259" s="176" t="s">
        <v>1181</v>
      </c>
      <c r="N259" s="137" t="s">
        <v>3094</v>
      </c>
      <c r="O259" s="177">
        <v>15540.05</v>
      </c>
      <c r="P259" s="137" t="s">
        <v>1172</v>
      </c>
      <c r="Q259" s="177">
        <v>34278.239999999998</v>
      </c>
      <c r="W259" s="177">
        <f>SUM(Q259:T259)</f>
        <v>34278.239999999998</v>
      </c>
      <c r="X259" s="137" t="s">
        <v>1155</v>
      </c>
      <c r="Z259" s="178">
        <v>7852</v>
      </c>
      <c r="AB259" s="178">
        <f>SUM(Z259:AA259)</f>
        <v>7852</v>
      </c>
      <c r="AC259" s="137" t="s">
        <v>3311</v>
      </c>
      <c r="AD259" s="137" t="s">
        <v>59</v>
      </c>
      <c r="AE259" s="175">
        <v>45993</v>
      </c>
      <c r="AH259" s="177">
        <f>SUM(AF259:AG259)</f>
        <v>0</v>
      </c>
      <c r="AI259" s="178"/>
      <c r="AJ259" s="139" t="s">
        <v>3330</v>
      </c>
      <c r="AK259" s="139" t="s">
        <v>3322</v>
      </c>
    </row>
    <row r="260" spans="1:37" s="201" customFormat="1" ht="39.950000000000003" customHeight="1">
      <c r="A260" s="196" t="s">
        <v>911</v>
      </c>
      <c r="B260" s="196" t="s">
        <v>3084</v>
      </c>
      <c r="C260" s="240" t="s">
        <v>3110</v>
      </c>
      <c r="D260" s="240"/>
      <c r="E260" s="241">
        <v>45894</v>
      </c>
      <c r="F260" s="240" t="s">
        <v>58</v>
      </c>
      <c r="G260" s="240" t="s">
        <v>3111</v>
      </c>
      <c r="H260" s="201" t="s">
        <v>3112</v>
      </c>
      <c r="J260" s="201" t="s">
        <v>3113</v>
      </c>
      <c r="K260" s="201" t="s">
        <v>40</v>
      </c>
      <c r="L260" s="201" t="s">
        <v>1160</v>
      </c>
      <c r="M260" s="201" t="s">
        <v>2897</v>
      </c>
      <c r="N260" s="201" t="s">
        <v>3114</v>
      </c>
      <c r="O260" s="242">
        <v>2990.56</v>
      </c>
      <c r="P260" s="201" t="s">
        <v>1154</v>
      </c>
      <c r="Q260" s="242">
        <v>2272.8200000000002</v>
      </c>
      <c r="R260" s="242">
        <v>239.24</v>
      </c>
      <c r="S260" s="242">
        <f>Q260-R260</f>
        <v>2033.5800000000002</v>
      </c>
      <c r="T260" s="245">
        <f>(9091.31-T192)</f>
        <v>7823.07</v>
      </c>
      <c r="U260" s="245">
        <v>956.98</v>
      </c>
      <c r="V260" s="245">
        <f>T260-U260</f>
        <v>6866.09</v>
      </c>
      <c r="W260" s="242">
        <f>Q260+T260+T192</f>
        <v>11364.13</v>
      </c>
      <c r="X260" s="196" t="s">
        <v>1155</v>
      </c>
      <c r="Z260" s="243">
        <f>11859+Z192</f>
        <v>11863</v>
      </c>
      <c r="AA260" s="201">
        <v>0</v>
      </c>
      <c r="AB260" s="243">
        <f>SUM(Z260:AA260)</f>
        <v>11863</v>
      </c>
      <c r="AC260" s="196" t="s">
        <v>3230</v>
      </c>
      <c r="AD260" s="196" t="s">
        <v>59</v>
      </c>
      <c r="AE260" s="197"/>
      <c r="AF260" s="197"/>
      <c r="AG260" s="197"/>
      <c r="AH260" s="199"/>
      <c r="AI260" s="196"/>
      <c r="AJ260" s="196" t="s">
        <v>3250</v>
      </c>
      <c r="AK260" s="196" t="s">
        <v>3251</v>
      </c>
    </row>
    <row r="261" spans="1:37" s="201" customFormat="1" ht="39.950000000000003" customHeight="1">
      <c r="A261" s="235" t="s">
        <v>956</v>
      </c>
      <c r="B261" s="196" t="s">
        <v>3084</v>
      </c>
      <c r="C261" s="240" t="s">
        <v>3115</v>
      </c>
      <c r="D261" s="240"/>
      <c r="E261" s="241">
        <v>45894</v>
      </c>
      <c r="F261" s="240" t="s">
        <v>58</v>
      </c>
      <c r="G261" s="244" t="s">
        <v>3116</v>
      </c>
      <c r="H261" s="201" t="s">
        <v>3117</v>
      </c>
      <c r="J261" s="219" t="s">
        <v>3118</v>
      </c>
      <c r="K261" s="201" t="s">
        <v>4</v>
      </c>
      <c r="L261" s="201" t="s">
        <v>1151</v>
      </c>
      <c r="M261" s="201" t="s">
        <v>3119</v>
      </c>
      <c r="N261" s="201" t="s">
        <v>3120</v>
      </c>
      <c r="O261" s="242">
        <v>5088.8599999999997</v>
      </c>
      <c r="P261" s="201" t="s">
        <v>1154</v>
      </c>
      <c r="Q261" s="242">
        <v>3867.53</v>
      </c>
      <c r="R261" s="242"/>
      <c r="S261" s="242"/>
      <c r="T261" s="242">
        <v>15470.14</v>
      </c>
      <c r="U261" s="242"/>
      <c r="V261" s="242"/>
      <c r="W261" s="242">
        <f t="shared" ref="W261:W279" si="10">SUM(Q261:T261)</f>
        <v>19337.669999999998</v>
      </c>
      <c r="X261" s="196" t="s">
        <v>1155</v>
      </c>
      <c r="Z261" s="243">
        <v>13663</v>
      </c>
      <c r="AA261" s="201">
        <v>0</v>
      </c>
      <c r="AB261" s="243">
        <f t="shared" ref="AB261:AB279" si="11">SUM(Z261:AA261)</f>
        <v>13663</v>
      </c>
      <c r="AC261" s="195" t="s">
        <v>3249</v>
      </c>
      <c r="AD261" s="196" t="s">
        <v>59</v>
      </c>
      <c r="AE261" s="197"/>
      <c r="AF261" s="197"/>
      <c r="AG261" s="197"/>
      <c r="AH261" s="199"/>
      <c r="AI261" s="196"/>
      <c r="AJ261" s="196" t="s">
        <v>3254</v>
      </c>
      <c r="AK261" s="196" t="s">
        <v>3251</v>
      </c>
    </row>
    <row r="262" spans="1:37" s="201" customFormat="1" ht="39.950000000000003" customHeight="1">
      <c r="A262" s="235" t="s">
        <v>957</v>
      </c>
      <c r="B262" s="196" t="s">
        <v>3084</v>
      </c>
      <c r="C262" s="240" t="s">
        <v>3121</v>
      </c>
      <c r="D262" s="240"/>
      <c r="E262" s="241">
        <v>45894</v>
      </c>
      <c r="F262" s="240" t="s">
        <v>58</v>
      </c>
      <c r="G262" s="244" t="s">
        <v>3122</v>
      </c>
      <c r="H262" s="244" t="s">
        <v>3123</v>
      </c>
      <c r="I262" s="240"/>
      <c r="J262" s="240" t="s">
        <v>3124</v>
      </c>
      <c r="K262" s="240" t="s">
        <v>4</v>
      </c>
      <c r="L262" s="240" t="s">
        <v>1151</v>
      </c>
      <c r="M262" s="240" t="s">
        <v>3218</v>
      </c>
      <c r="N262" s="240" t="s">
        <v>3125</v>
      </c>
      <c r="O262" s="245">
        <v>5540.66</v>
      </c>
      <c r="P262" s="240" t="s">
        <v>1161</v>
      </c>
      <c r="Q262" s="240"/>
      <c r="R262" s="240"/>
      <c r="S262" s="240"/>
      <c r="T262" s="240">
        <v>1108.96</v>
      </c>
      <c r="U262" s="240"/>
      <c r="V262" s="240"/>
      <c r="W262" s="245">
        <f t="shared" si="10"/>
        <v>1108.96</v>
      </c>
      <c r="X262" s="196" t="s">
        <v>1155</v>
      </c>
      <c r="Y262" s="240"/>
      <c r="Z262" s="240">
        <v>1</v>
      </c>
      <c r="AA262" s="240">
        <v>0</v>
      </c>
      <c r="AB262" s="246">
        <f t="shared" si="11"/>
        <v>1</v>
      </c>
      <c r="AC262" s="195" t="s">
        <v>3316</v>
      </c>
      <c r="AD262" s="196" t="s">
        <v>59</v>
      </c>
      <c r="AE262" s="197"/>
      <c r="AF262" s="197"/>
      <c r="AG262" s="197"/>
      <c r="AH262" s="199"/>
      <c r="AI262" s="196"/>
      <c r="AJ262" s="196"/>
      <c r="AK262" s="196" t="s">
        <v>3320</v>
      </c>
    </row>
    <row r="263" spans="1:37" s="201" customFormat="1" ht="39.950000000000003" customHeight="1">
      <c r="A263" s="235" t="s">
        <v>958</v>
      </c>
      <c r="B263" s="196" t="s">
        <v>3084</v>
      </c>
      <c r="C263" s="240" t="s">
        <v>3126</v>
      </c>
      <c r="D263" s="240"/>
      <c r="E263" s="241">
        <v>45894</v>
      </c>
      <c r="F263" s="240" t="s">
        <v>58</v>
      </c>
      <c r="G263" s="240" t="s">
        <v>3213</v>
      </c>
      <c r="H263" s="240" t="s">
        <v>3214</v>
      </c>
      <c r="I263" s="240"/>
      <c r="J263" s="244" t="s">
        <v>3215</v>
      </c>
      <c r="K263" s="240" t="s">
        <v>2</v>
      </c>
      <c r="L263" s="240" t="s">
        <v>1151</v>
      </c>
      <c r="M263" s="240" t="s">
        <v>3217</v>
      </c>
      <c r="N263" s="240" t="s">
        <v>3216</v>
      </c>
      <c r="O263" s="245">
        <v>41089</v>
      </c>
      <c r="P263" s="240" t="s">
        <v>1161</v>
      </c>
      <c r="Q263" s="240">
        <v>0</v>
      </c>
      <c r="R263" s="240"/>
      <c r="S263" s="240"/>
      <c r="T263" s="245">
        <v>2725.42</v>
      </c>
      <c r="U263" s="245"/>
      <c r="V263" s="245"/>
      <c r="W263" s="245">
        <f>SUM(Q263:T263)</f>
        <v>2725.42</v>
      </c>
      <c r="X263" s="196" t="s">
        <v>1155</v>
      </c>
      <c r="Y263" s="240"/>
      <c r="Z263" s="246">
        <v>3407</v>
      </c>
      <c r="AA263" s="240">
        <v>0</v>
      </c>
      <c r="AB263" s="246">
        <f>SUM(Z263:AA263)</f>
        <v>3407</v>
      </c>
      <c r="AC263" s="195" t="s">
        <v>3238</v>
      </c>
      <c r="AD263" s="196" t="s">
        <v>59</v>
      </c>
      <c r="AE263" s="197"/>
      <c r="AF263" s="197"/>
      <c r="AG263" s="197"/>
      <c r="AH263" s="199"/>
      <c r="AI263" s="196"/>
      <c r="AJ263" s="196" t="s">
        <v>3254</v>
      </c>
      <c r="AK263" s="196" t="s">
        <v>3212</v>
      </c>
    </row>
    <row r="264" spans="1:37" s="201" customFormat="1" ht="39.950000000000003" customHeight="1">
      <c r="A264" s="235" t="s">
        <v>959</v>
      </c>
      <c r="B264" s="196" t="s">
        <v>3084</v>
      </c>
      <c r="C264" s="240" t="s">
        <v>3127</v>
      </c>
      <c r="D264" s="240"/>
      <c r="E264" s="241">
        <v>45894</v>
      </c>
      <c r="F264" s="240" t="s">
        <v>58</v>
      </c>
      <c r="G264" s="240" t="s">
        <v>3128</v>
      </c>
      <c r="H264" s="240" t="s">
        <v>3129</v>
      </c>
      <c r="I264" s="240"/>
      <c r="J264" s="244" t="s">
        <v>3130</v>
      </c>
      <c r="K264" s="240" t="s">
        <v>4</v>
      </c>
      <c r="L264" s="240" t="s">
        <v>1151</v>
      </c>
      <c r="M264" s="240" t="s">
        <v>3131</v>
      </c>
      <c r="N264" s="240" t="s">
        <v>3132</v>
      </c>
      <c r="O264" s="245">
        <v>2633.75</v>
      </c>
      <c r="P264" s="240" t="s">
        <v>1161</v>
      </c>
      <c r="Q264" s="240">
        <v>0</v>
      </c>
      <c r="R264" s="240"/>
      <c r="S264" s="240"/>
      <c r="T264" s="245">
        <v>6938.37</v>
      </c>
      <c r="U264" s="245"/>
      <c r="V264" s="245"/>
      <c r="W264" s="245">
        <f t="shared" si="10"/>
        <v>6938.37</v>
      </c>
      <c r="X264" s="196" t="s">
        <v>1155</v>
      </c>
      <c r="Y264" s="240"/>
      <c r="Z264" s="246">
        <v>6539</v>
      </c>
      <c r="AA264" s="246">
        <v>1317</v>
      </c>
      <c r="AB264" s="246">
        <f t="shared" si="11"/>
        <v>7856</v>
      </c>
      <c r="AC264" s="196" t="s">
        <v>3240</v>
      </c>
      <c r="AD264" s="196" t="s">
        <v>59</v>
      </c>
      <c r="AE264" s="197"/>
      <c r="AF264" s="197"/>
      <c r="AG264" s="197"/>
      <c r="AH264" s="199"/>
      <c r="AI264" s="196"/>
      <c r="AJ264" s="196" t="s">
        <v>3259</v>
      </c>
      <c r="AK264" s="196" t="s">
        <v>3251</v>
      </c>
    </row>
    <row r="265" spans="1:37" s="201" customFormat="1" ht="39.950000000000003" customHeight="1">
      <c r="A265" s="235" t="s">
        <v>960</v>
      </c>
      <c r="B265" s="196" t="s">
        <v>3084</v>
      </c>
      <c r="C265" s="240" t="s">
        <v>3133</v>
      </c>
      <c r="D265" s="240"/>
      <c r="E265" s="241">
        <v>45894</v>
      </c>
      <c r="F265" s="240" t="s">
        <v>58</v>
      </c>
      <c r="G265" s="244" t="s">
        <v>3134</v>
      </c>
      <c r="H265" s="240" t="s">
        <v>3135</v>
      </c>
      <c r="I265" s="240" t="s">
        <v>3136</v>
      </c>
      <c r="J265" s="244" t="s">
        <v>3137</v>
      </c>
      <c r="K265" s="240" t="s">
        <v>3</v>
      </c>
      <c r="L265" s="240" t="s">
        <v>1151</v>
      </c>
      <c r="M265" s="240" t="s">
        <v>3138</v>
      </c>
      <c r="N265" s="244" t="s">
        <v>3139</v>
      </c>
      <c r="O265" s="245">
        <v>3518.87</v>
      </c>
      <c r="P265" s="240" t="s">
        <v>1172</v>
      </c>
      <c r="Q265" s="245">
        <v>13371.71</v>
      </c>
      <c r="R265" s="245"/>
      <c r="S265" s="245"/>
      <c r="T265" s="240">
        <v>0</v>
      </c>
      <c r="U265" s="240"/>
      <c r="V265" s="240"/>
      <c r="W265" s="245">
        <f t="shared" si="10"/>
        <v>13371.71</v>
      </c>
      <c r="X265" s="196" t="s">
        <v>1155</v>
      </c>
      <c r="Y265" s="240"/>
      <c r="Z265" s="246">
        <v>3540</v>
      </c>
      <c r="AA265" s="240">
        <v>0</v>
      </c>
      <c r="AB265" s="246">
        <f t="shared" si="11"/>
        <v>3540</v>
      </c>
      <c r="AC265" s="196" t="s">
        <v>3260</v>
      </c>
      <c r="AD265" s="196" t="s">
        <v>59</v>
      </c>
      <c r="AE265" s="197"/>
      <c r="AF265" s="197"/>
      <c r="AG265" s="197"/>
      <c r="AH265" s="199"/>
      <c r="AI265" s="196"/>
      <c r="AJ265" s="196" t="s">
        <v>3262</v>
      </c>
      <c r="AK265" s="196" t="s">
        <v>3212</v>
      </c>
    </row>
    <row r="266" spans="1:37" s="201" customFormat="1" ht="39.950000000000003" customHeight="1">
      <c r="A266" s="235" t="s">
        <v>961</v>
      </c>
      <c r="B266" s="196" t="s">
        <v>3084</v>
      </c>
      <c r="C266" s="240" t="s">
        <v>3140</v>
      </c>
      <c r="D266" s="240"/>
      <c r="E266" s="241">
        <v>45894</v>
      </c>
      <c r="F266" s="240" t="s">
        <v>58</v>
      </c>
      <c r="G266" s="244" t="s">
        <v>3141</v>
      </c>
      <c r="H266" s="219" t="s">
        <v>3142</v>
      </c>
      <c r="J266" s="201" t="s">
        <v>3143</v>
      </c>
      <c r="K266" s="201" t="s">
        <v>40</v>
      </c>
      <c r="L266" s="201" t="s">
        <v>1151</v>
      </c>
      <c r="M266" s="201" t="s">
        <v>2897</v>
      </c>
      <c r="N266" s="201" t="s">
        <v>3144</v>
      </c>
      <c r="O266" s="242">
        <v>1957.05</v>
      </c>
      <c r="P266" s="201" t="s">
        <v>1154</v>
      </c>
      <c r="Q266" s="245">
        <v>1330.79</v>
      </c>
      <c r="R266" s="245"/>
      <c r="S266" s="245"/>
      <c r="T266" s="245">
        <v>5323.18</v>
      </c>
      <c r="U266" s="245"/>
      <c r="V266" s="245"/>
      <c r="W266" s="242">
        <f t="shared" si="10"/>
        <v>6653.97</v>
      </c>
      <c r="X266" s="196" t="s">
        <v>1155</v>
      </c>
      <c r="Z266" s="243">
        <v>7763</v>
      </c>
      <c r="AA266" s="201">
        <v>0</v>
      </c>
      <c r="AB266" s="243">
        <f t="shared" si="11"/>
        <v>7763</v>
      </c>
      <c r="AC266" s="196" t="s">
        <v>3242</v>
      </c>
      <c r="AD266" s="196" t="s">
        <v>59</v>
      </c>
      <c r="AE266" s="197"/>
      <c r="AF266" s="197"/>
      <c r="AG266" s="197"/>
      <c r="AH266" s="199"/>
      <c r="AI266" s="196"/>
      <c r="AJ266" s="196" t="s">
        <v>3265</v>
      </c>
      <c r="AK266" s="196" t="s">
        <v>3251</v>
      </c>
    </row>
    <row r="267" spans="1:37" s="201" customFormat="1" ht="39.950000000000003" customHeight="1">
      <c r="A267" s="235" t="s">
        <v>962</v>
      </c>
      <c r="B267" s="196" t="s">
        <v>3084</v>
      </c>
      <c r="C267" s="240" t="s">
        <v>3145</v>
      </c>
      <c r="D267" s="240"/>
      <c r="E267" s="241">
        <v>45894</v>
      </c>
      <c r="F267" s="240" t="s">
        <v>58</v>
      </c>
      <c r="G267" s="244" t="s">
        <v>3146</v>
      </c>
      <c r="H267" s="240" t="s">
        <v>3147</v>
      </c>
      <c r="I267" s="244" t="s">
        <v>3148</v>
      </c>
      <c r="J267" s="244" t="s">
        <v>3149</v>
      </c>
      <c r="K267" s="240" t="s">
        <v>40</v>
      </c>
      <c r="L267" s="240" t="s">
        <v>1151</v>
      </c>
      <c r="M267" s="240" t="s">
        <v>2955</v>
      </c>
      <c r="N267" s="244" t="s">
        <v>3150</v>
      </c>
      <c r="O267" s="245">
        <v>4397</v>
      </c>
      <c r="P267" s="240" t="s">
        <v>1172</v>
      </c>
      <c r="Q267" s="245">
        <v>13191</v>
      </c>
      <c r="R267" s="245"/>
      <c r="S267" s="245"/>
      <c r="T267" s="240">
        <v>0</v>
      </c>
      <c r="U267" s="240"/>
      <c r="V267" s="240"/>
      <c r="W267" s="245">
        <f t="shared" si="10"/>
        <v>13191</v>
      </c>
      <c r="X267" s="196" t="s">
        <v>1155</v>
      </c>
      <c r="Y267" s="240"/>
      <c r="Z267" s="246">
        <v>3518</v>
      </c>
      <c r="AA267" s="240">
        <v>0</v>
      </c>
      <c r="AB267" s="246">
        <f t="shared" si="11"/>
        <v>3518</v>
      </c>
      <c r="AC267" s="196" t="s">
        <v>3266</v>
      </c>
      <c r="AD267" s="196" t="s">
        <v>59</v>
      </c>
      <c r="AE267" s="197"/>
      <c r="AF267" s="197"/>
      <c r="AG267" s="197"/>
      <c r="AH267" s="199"/>
      <c r="AI267" s="196"/>
      <c r="AJ267" s="196" t="s">
        <v>3268</v>
      </c>
      <c r="AK267" s="196" t="s">
        <v>3251</v>
      </c>
    </row>
    <row r="268" spans="1:37" s="201" customFormat="1" ht="39.950000000000003" customHeight="1">
      <c r="A268" s="235" t="s">
        <v>963</v>
      </c>
      <c r="B268" s="196" t="s">
        <v>3084</v>
      </c>
      <c r="C268" s="240" t="s">
        <v>3151</v>
      </c>
      <c r="D268" s="240"/>
      <c r="E268" s="241">
        <v>45894</v>
      </c>
      <c r="F268" s="240" t="s">
        <v>58</v>
      </c>
      <c r="G268" s="240" t="s">
        <v>3152</v>
      </c>
      <c r="H268" s="201" t="s">
        <v>3153</v>
      </c>
      <c r="J268" s="201" t="s">
        <v>3154</v>
      </c>
      <c r="K268" s="201" t="s">
        <v>4</v>
      </c>
      <c r="L268" s="201" t="s">
        <v>1151</v>
      </c>
      <c r="M268" s="201" t="s">
        <v>3180</v>
      </c>
      <c r="N268" s="201" t="s">
        <v>3155</v>
      </c>
      <c r="O268" s="242">
        <v>1600</v>
      </c>
      <c r="P268" s="201" t="s">
        <v>1172</v>
      </c>
      <c r="Q268" s="242">
        <v>3840</v>
      </c>
      <c r="R268" s="242"/>
      <c r="S268" s="242"/>
      <c r="T268" s="201">
        <v>0</v>
      </c>
      <c r="W268" s="242">
        <f t="shared" si="10"/>
        <v>3840</v>
      </c>
      <c r="X268" s="196" t="s">
        <v>1155</v>
      </c>
      <c r="Z268" s="243">
        <v>1920</v>
      </c>
      <c r="AA268" s="201">
        <v>0</v>
      </c>
      <c r="AB268" s="243">
        <f t="shared" si="11"/>
        <v>1920</v>
      </c>
      <c r="AC268" s="196" t="s">
        <v>3294</v>
      </c>
      <c r="AD268" s="196" t="s">
        <v>59</v>
      </c>
      <c r="AE268" s="197"/>
      <c r="AF268" s="197"/>
      <c r="AG268" s="197"/>
      <c r="AH268" s="199"/>
      <c r="AI268" s="196"/>
      <c r="AJ268" s="196"/>
      <c r="AK268" s="196" t="s">
        <v>3313</v>
      </c>
    </row>
    <row r="269" spans="1:37" s="201" customFormat="1" ht="39.950000000000003" customHeight="1">
      <c r="A269" s="235" t="s">
        <v>964</v>
      </c>
      <c r="B269" s="196" t="s">
        <v>3084</v>
      </c>
      <c r="C269" s="240" t="s">
        <v>3156</v>
      </c>
      <c r="D269" s="240"/>
      <c r="E269" s="241">
        <v>45894</v>
      </c>
      <c r="F269" s="240" t="s">
        <v>58</v>
      </c>
      <c r="G269" s="244" t="s">
        <v>3157</v>
      </c>
      <c r="H269" s="244" t="s">
        <v>3158</v>
      </c>
      <c r="I269" s="244" t="s">
        <v>3159</v>
      </c>
      <c r="J269" s="244" t="s">
        <v>3160</v>
      </c>
      <c r="K269" s="240" t="s">
        <v>3</v>
      </c>
      <c r="L269" s="240" t="s">
        <v>1151</v>
      </c>
      <c r="M269" s="240" t="s">
        <v>2598</v>
      </c>
      <c r="N269" s="244" t="s">
        <v>3161</v>
      </c>
      <c r="O269" s="245">
        <v>7178.36</v>
      </c>
      <c r="P269" s="240" t="s">
        <v>1172</v>
      </c>
      <c r="Q269" s="245">
        <v>12821.27</v>
      </c>
      <c r="R269" s="245"/>
      <c r="S269" s="245"/>
      <c r="T269" s="240">
        <v>0</v>
      </c>
      <c r="U269" s="240"/>
      <c r="V269" s="240"/>
      <c r="W269" s="245">
        <f t="shared" si="10"/>
        <v>12821.27</v>
      </c>
      <c r="X269" s="196" t="s">
        <v>1155</v>
      </c>
      <c r="Y269" s="240"/>
      <c r="Z269" s="246">
        <v>6379</v>
      </c>
      <c r="AA269" s="240">
        <v>0</v>
      </c>
      <c r="AB269" s="246">
        <f t="shared" si="11"/>
        <v>6379</v>
      </c>
      <c r="AC269" s="196" t="s">
        <v>3288</v>
      </c>
      <c r="AD269" s="196" t="s">
        <v>59</v>
      </c>
      <c r="AE269" s="197"/>
      <c r="AF269" s="197"/>
      <c r="AG269" s="197"/>
      <c r="AH269" s="199"/>
      <c r="AI269" s="196"/>
      <c r="AJ269" s="196"/>
      <c r="AK269" s="196" t="s">
        <v>3313</v>
      </c>
    </row>
    <row r="270" spans="1:37" s="201" customFormat="1" ht="39.950000000000003" customHeight="1">
      <c r="A270" s="196" t="s">
        <v>846</v>
      </c>
      <c r="B270" s="196" t="s">
        <v>3084</v>
      </c>
      <c r="C270" s="240" t="s">
        <v>3162</v>
      </c>
      <c r="D270" s="240"/>
      <c r="E270" s="241">
        <v>45894</v>
      </c>
      <c r="F270" s="240" t="s">
        <v>58</v>
      </c>
      <c r="G270" s="240" t="s">
        <v>1148</v>
      </c>
      <c r="H270" s="201" t="s">
        <v>1149</v>
      </c>
      <c r="J270" s="219" t="s">
        <v>3163</v>
      </c>
      <c r="K270" s="201" t="s">
        <v>2</v>
      </c>
      <c r="L270" s="201" t="s">
        <v>1160</v>
      </c>
      <c r="M270" s="201" t="s">
        <v>1152</v>
      </c>
      <c r="N270" s="201" t="s">
        <v>3164</v>
      </c>
      <c r="O270" s="201" t="s">
        <v>3165</v>
      </c>
      <c r="P270" s="201" t="s">
        <v>1154</v>
      </c>
      <c r="Q270" s="287">
        <v>4513.32</v>
      </c>
      <c r="R270" s="287"/>
      <c r="S270" s="287"/>
      <c r="T270" s="287">
        <f>(5584.99)</f>
        <v>5584.99</v>
      </c>
      <c r="U270" s="287"/>
      <c r="V270" s="287"/>
      <c r="W270" s="287">
        <f t="shared" si="10"/>
        <v>10098.31</v>
      </c>
      <c r="X270" s="196" t="s">
        <v>1155</v>
      </c>
      <c r="Z270" s="243">
        <v>2229</v>
      </c>
      <c r="AA270" s="201">
        <v>0</v>
      </c>
      <c r="AB270" s="246">
        <f t="shared" si="11"/>
        <v>2229</v>
      </c>
      <c r="AC270" s="195" t="s">
        <v>3246</v>
      </c>
      <c r="AD270" s="196" t="s">
        <v>59</v>
      </c>
      <c r="AE270" s="197"/>
      <c r="AF270" s="197"/>
      <c r="AG270" s="197"/>
      <c r="AH270" s="199"/>
      <c r="AI270" s="196"/>
      <c r="AJ270" s="196" t="s">
        <v>3271</v>
      </c>
      <c r="AK270" s="196" t="s">
        <v>3251</v>
      </c>
    </row>
    <row r="271" spans="1:37" s="201" customFormat="1" ht="39.950000000000003" customHeight="1">
      <c r="A271" s="196" t="s">
        <v>943</v>
      </c>
      <c r="B271" s="196" t="s">
        <v>3084</v>
      </c>
      <c r="C271" s="240" t="s">
        <v>3166</v>
      </c>
      <c r="D271" s="240"/>
      <c r="E271" s="241">
        <v>45894</v>
      </c>
      <c r="F271" s="240" t="s">
        <v>60</v>
      </c>
      <c r="G271" s="240" t="s">
        <v>3167</v>
      </c>
      <c r="H271" s="201" t="s">
        <v>2970</v>
      </c>
      <c r="J271" s="219" t="s">
        <v>3168</v>
      </c>
      <c r="K271" s="201" t="s">
        <v>40</v>
      </c>
      <c r="L271" s="201" t="s">
        <v>1160</v>
      </c>
      <c r="M271" s="201" t="s">
        <v>2641</v>
      </c>
      <c r="N271" s="201" t="s">
        <v>3169</v>
      </c>
      <c r="O271" s="242">
        <v>3776.4</v>
      </c>
      <c r="P271" s="201" t="s">
        <v>1154</v>
      </c>
      <c r="Q271" s="242">
        <v>4854.71</v>
      </c>
      <c r="R271" s="242"/>
      <c r="S271" s="242"/>
      <c r="T271" s="245">
        <f>(9495.61-T214)</f>
        <v>175.82999999999993</v>
      </c>
      <c r="U271" s="245"/>
      <c r="V271" s="245"/>
      <c r="W271" s="245">
        <f>Q271+T271+W214</f>
        <v>14350.32</v>
      </c>
      <c r="X271" s="196" t="s">
        <v>1155</v>
      </c>
      <c r="Z271" s="243">
        <v>1906</v>
      </c>
      <c r="AA271" s="243">
        <v>0</v>
      </c>
      <c r="AB271" s="243">
        <f t="shared" si="11"/>
        <v>1906</v>
      </c>
      <c r="AC271" s="195"/>
      <c r="AD271" s="196" t="s">
        <v>60</v>
      </c>
      <c r="AE271" s="197"/>
      <c r="AF271" s="197"/>
      <c r="AG271" s="197"/>
      <c r="AH271" s="199"/>
      <c r="AI271" s="196"/>
      <c r="AJ271" s="196" t="s">
        <v>3220</v>
      </c>
      <c r="AK271" s="196" t="s">
        <v>3221</v>
      </c>
    </row>
    <row r="272" spans="1:37" s="201" customFormat="1" ht="39.950000000000003" customHeight="1">
      <c r="A272" s="235" t="s">
        <v>965</v>
      </c>
      <c r="B272" s="196" t="s">
        <v>3084</v>
      </c>
      <c r="C272" s="240" t="s">
        <v>3170</v>
      </c>
      <c r="D272" s="240"/>
      <c r="E272" s="241">
        <v>45894</v>
      </c>
      <c r="F272" s="240" t="s">
        <v>58</v>
      </c>
      <c r="G272" s="240" t="s">
        <v>3171</v>
      </c>
      <c r="H272" s="240" t="s">
        <v>3172</v>
      </c>
      <c r="I272" s="240"/>
      <c r="J272" s="240" t="s">
        <v>3173</v>
      </c>
      <c r="K272" s="240" t="s">
        <v>2</v>
      </c>
      <c r="L272" s="240" t="s">
        <v>1151</v>
      </c>
      <c r="M272" s="240" t="s">
        <v>3174</v>
      </c>
      <c r="N272" s="240" t="s">
        <v>3175</v>
      </c>
      <c r="O272" s="245">
        <v>1581.56</v>
      </c>
      <c r="P272" s="240" t="s">
        <v>1172</v>
      </c>
      <c r="Q272" s="245">
        <v>4774.68</v>
      </c>
      <c r="R272" s="245"/>
      <c r="S272" s="245"/>
      <c r="T272" s="240">
        <v>0</v>
      </c>
      <c r="U272" s="240"/>
      <c r="V272" s="240"/>
      <c r="W272" s="245">
        <f t="shared" si="10"/>
        <v>4774.68</v>
      </c>
      <c r="X272" s="196" t="s">
        <v>1155</v>
      </c>
      <c r="Y272" s="240"/>
      <c r="Z272" s="246">
        <v>4592</v>
      </c>
      <c r="AA272" s="240">
        <v>0</v>
      </c>
      <c r="AB272" s="246">
        <f t="shared" si="11"/>
        <v>4592</v>
      </c>
      <c r="AC272" s="196" t="s">
        <v>3248</v>
      </c>
      <c r="AD272" s="196" t="s">
        <v>59</v>
      </c>
      <c r="AE272" s="197"/>
      <c r="AF272" s="197"/>
      <c r="AG272" s="197"/>
      <c r="AH272" s="199"/>
      <c r="AI272" s="196"/>
      <c r="AJ272" s="196" t="s">
        <v>3265</v>
      </c>
      <c r="AK272" s="196" t="s">
        <v>3251</v>
      </c>
    </row>
    <row r="273" spans="1:38" s="201" customFormat="1" ht="39.950000000000003" customHeight="1">
      <c r="A273" s="235" t="s">
        <v>966</v>
      </c>
      <c r="B273" s="196" t="s">
        <v>3084</v>
      </c>
      <c r="C273" s="240" t="s">
        <v>3176</v>
      </c>
      <c r="D273" s="240"/>
      <c r="E273" s="241">
        <v>45894</v>
      </c>
      <c r="F273" s="240" t="s">
        <v>58</v>
      </c>
      <c r="G273" s="240" t="s">
        <v>3177</v>
      </c>
      <c r="H273" s="201" t="s">
        <v>3178</v>
      </c>
      <c r="J273" s="201" t="s">
        <v>3179</v>
      </c>
      <c r="K273" s="201" t="s">
        <v>4</v>
      </c>
      <c r="L273" s="201" t="s">
        <v>1151</v>
      </c>
      <c r="M273" s="201" t="s">
        <v>3180</v>
      </c>
      <c r="N273" s="201" t="s">
        <v>3181</v>
      </c>
      <c r="O273" s="201">
        <v>823.66</v>
      </c>
      <c r="P273" s="201" t="s">
        <v>1154</v>
      </c>
      <c r="Q273" s="201">
        <v>708.1</v>
      </c>
      <c r="T273" s="242">
        <v>1351.37</v>
      </c>
      <c r="U273" s="242"/>
      <c r="V273" s="242"/>
      <c r="W273" s="242">
        <f t="shared" si="10"/>
        <v>2059.4699999999998</v>
      </c>
      <c r="X273" s="196" t="s">
        <v>1155</v>
      </c>
      <c r="Z273" s="243">
        <v>1857</v>
      </c>
      <c r="AA273" s="201">
        <v>0</v>
      </c>
      <c r="AB273" s="243">
        <f t="shared" si="11"/>
        <v>1857</v>
      </c>
      <c r="AC273" s="196" t="s">
        <v>3235</v>
      </c>
      <c r="AD273" s="196" t="s">
        <v>59</v>
      </c>
      <c r="AE273" s="197"/>
      <c r="AF273" s="197"/>
      <c r="AG273" s="197"/>
      <c r="AH273" s="199"/>
      <c r="AI273" s="196"/>
      <c r="AJ273" s="196" t="s">
        <v>3275</v>
      </c>
      <c r="AK273" s="196" t="s">
        <v>3251</v>
      </c>
    </row>
    <row r="274" spans="1:38" s="201" customFormat="1" ht="39.950000000000003" customHeight="1">
      <c r="A274" s="235" t="s">
        <v>967</v>
      </c>
      <c r="B274" s="196" t="s">
        <v>3084</v>
      </c>
      <c r="C274" s="240" t="s">
        <v>3182</v>
      </c>
      <c r="D274" s="240"/>
      <c r="E274" s="241">
        <v>45894</v>
      </c>
      <c r="F274" s="240" t="s">
        <v>58</v>
      </c>
      <c r="G274" s="240" t="s">
        <v>3183</v>
      </c>
      <c r="H274" s="201" t="s">
        <v>3184</v>
      </c>
      <c r="J274" s="201" t="s">
        <v>3185</v>
      </c>
      <c r="K274" s="201" t="s">
        <v>40</v>
      </c>
      <c r="L274" s="201" t="s">
        <v>1151</v>
      </c>
      <c r="M274" s="201" t="s">
        <v>2281</v>
      </c>
      <c r="N274" s="201" t="s">
        <v>3186</v>
      </c>
      <c r="O274" s="242">
        <v>1650</v>
      </c>
      <c r="P274" s="201" t="s">
        <v>1172</v>
      </c>
      <c r="Q274" s="242">
        <v>6270</v>
      </c>
      <c r="R274" s="242"/>
      <c r="S274" s="242"/>
      <c r="T274" s="201">
        <v>0</v>
      </c>
      <c r="W274" s="242">
        <v>6270</v>
      </c>
      <c r="X274" s="196" t="s">
        <v>1155</v>
      </c>
      <c r="Z274" s="243">
        <v>2508</v>
      </c>
      <c r="AA274" s="201">
        <v>0</v>
      </c>
      <c r="AB274" s="243">
        <f t="shared" si="11"/>
        <v>2508</v>
      </c>
      <c r="AC274" s="195" t="s">
        <v>3296</v>
      </c>
      <c r="AD274" s="196" t="s">
        <v>59</v>
      </c>
      <c r="AE274" s="197"/>
      <c r="AF274" s="197"/>
      <c r="AG274" s="197"/>
      <c r="AH274" s="199"/>
      <c r="AI274" s="196"/>
      <c r="AJ274" s="196"/>
      <c r="AK274" s="196" t="s">
        <v>3313</v>
      </c>
    </row>
    <row r="275" spans="1:38" s="201" customFormat="1" ht="39.950000000000003" customHeight="1">
      <c r="A275" s="235" t="s">
        <v>968</v>
      </c>
      <c r="B275" s="196" t="s">
        <v>3084</v>
      </c>
      <c r="C275" s="240" t="s">
        <v>3187</v>
      </c>
      <c r="D275" s="240"/>
      <c r="E275" s="241">
        <v>45894</v>
      </c>
      <c r="F275" s="240" t="s">
        <v>58</v>
      </c>
      <c r="G275" s="240" t="s">
        <v>3188</v>
      </c>
      <c r="H275" s="201" t="s">
        <v>3189</v>
      </c>
      <c r="J275" s="219" t="s">
        <v>3190</v>
      </c>
      <c r="K275" s="201" t="s">
        <v>2</v>
      </c>
      <c r="L275" s="201" t="s">
        <v>1151</v>
      </c>
      <c r="M275" s="201" t="s">
        <v>2823</v>
      </c>
      <c r="N275" s="219" t="s">
        <v>3191</v>
      </c>
      <c r="O275" s="242">
        <v>1363.1</v>
      </c>
      <c r="P275" s="201" t="s">
        <v>1172</v>
      </c>
      <c r="Q275" s="242">
        <v>5179.78</v>
      </c>
      <c r="R275" s="242"/>
      <c r="S275" s="242"/>
      <c r="T275" s="201">
        <v>0</v>
      </c>
      <c r="W275" s="242">
        <f t="shared" si="10"/>
        <v>5179.78</v>
      </c>
      <c r="X275" s="196" t="s">
        <v>1155</v>
      </c>
      <c r="Z275" s="243">
        <v>3065</v>
      </c>
      <c r="AA275" s="201">
        <v>0</v>
      </c>
      <c r="AB275" s="243">
        <f t="shared" si="11"/>
        <v>3065</v>
      </c>
      <c r="AC275" s="195" t="s">
        <v>3255</v>
      </c>
      <c r="AD275" s="196" t="s">
        <v>59</v>
      </c>
      <c r="AE275" s="197"/>
      <c r="AF275" s="197"/>
      <c r="AG275" s="197"/>
      <c r="AH275" s="199"/>
      <c r="AI275" s="196"/>
      <c r="AJ275" s="196" t="s">
        <v>3254</v>
      </c>
      <c r="AK275" s="196" t="s">
        <v>3251</v>
      </c>
    </row>
    <row r="276" spans="1:38" s="201" customFormat="1" ht="39.950000000000003" customHeight="1">
      <c r="A276" s="235" t="s">
        <v>969</v>
      </c>
      <c r="B276" s="196" t="s">
        <v>3084</v>
      </c>
      <c r="C276" s="240" t="s">
        <v>3192</v>
      </c>
      <c r="D276" s="240"/>
      <c r="E276" s="241">
        <v>45894</v>
      </c>
      <c r="F276" s="240" t="s">
        <v>58</v>
      </c>
      <c r="G276" s="240" t="s">
        <v>3193</v>
      </c>
      <c r="H276" s="201" t="s">
        <v>3194</v>
      </c>
      <c r="J276" s="201" t="s">
        <v>3195</v>
      </c>
      <c r="K276" s="201" t="s">
        <v>2</v>
      </c>
      <c r="L276" s="201" t="s">
        <v>1151</v>
      </c>
      <c r="M276" s="201" t="s">
        <v>2823</v>
      </c>
      <c r="N276" s="201" t="s">
        <v>3196</v>
      </c>
      <c r="O276" s="242">
        <v>1586.83</v>
      </c>
      <c r="P276" s="201" t="s">
        <v>1172</v>
      </c>
      <c r="Q276" s="242">
        <v>4737.16</v>
      </c>
      <c r="R276" s="242"/>
      <c r="S276" s="242"/>
      <c r="T276" s="201">
        <v>0</v>
      </c>
      <c r="W276" s="242">
        <f t="shared" si="10"/>
        <v>4737.16</v>
      </c>
      <c r="X276" s="196" t="s">
        <v>1155</v>
      </c>
      <c r="Z276" s="243">
        <v>3644</v>
      </c>
      <c r="AA276" s="201">
        <v>0</v>
      </c>
      <c r="AB276" s="243">
        <f t="shared" si="11"/>
        <v>3644</v>
      </c>
      <c r="AC276" s="195" t="s">
        <v>3298</v>
      </c>
      <c r="AD276" s="196" t="s">
        <v>59</v>
      </c>
      <c r="AE276" s="197"/>
      <c r="AF276" s="197"/>
      <c r="AG276" s="197"/>
      <c r="AH276" s="199"/>
      <c r="AI276" s="196"/>
      <c r="AJ276" s="196" t="s">
        <v>3303</v>
      </c>
      <c r="AK276" s="196" t="s">
        <v>3313</v>
      </c>
    </row>
    <row r="277" spans="1:38" s="201" customFormat="1" ht="39.950000000000003" customHeight="1">
      <c r="A277" s="235" t="s">
        <v>970</v>
      </c>
      <c r="B277" s="196" t="s">
        <v>3084</v>
      </c>
      <c r="C277" s="240" t="s">
        <v>3197</v>
      </c>
      <c r="D277" s="240"/>
      <c r="E277" s="241">
        <v>45894</v>
      </c>
      <c r="F277" s="240" t="s">
        <v>58</v>
      </c>
      <c r="G277" s="244" t="s">
        <v>3198</v>
      </c>
      <c r="H277" s="244" t="s">
        <v>3199</v>
      </c>
      <c r="I277" s="240"/>
      <c r="J277" s="240" t="s">
        <v>3200</v>
      </c>
      <c r="K277" s="240" t="s">
        <v>4</v>
      </c>
      <c r="L277" s="240" t="s">
        <v>1151</v>
      </c>
      <c r="M277" s="240" t="s">
        <v>3201</v>
      </c>
      <c r="N277" s="219" t="s">
        <v>3202</v>
      </c>
      <c r="O277" s="245">
        <v>6317</v>
      </c>
      <c r="P277" s="240" t="s">
        <v>1161</v>
      </c>
      <c r="Q277" s="240">
        <v>0</v>
      </c>
      <c r="R277" s="240"/>
      <c r="S277" s="240"/>
      <c r="T277" s="245">
        <v>1264.03</v>
      </c>
      <c r="U277" s="245"/>
      <c r="V277" s="245"/>
      <c r="W277" s="245">
        <f t="shared" si="10"/>
        <v>1264.03</v>
      </c>
      <c r="X277" s="196" t="s">
        <v>1155</v>
      </c>
      <c r="Y277" s="240"/>
      <c r="Z277" s="240">
        <v>1</v>
      </c>
      <c r="AA277" s="240">
        <v>0</v>
      </c>
      <c r="AB277" s="246">
        <f t="shared" si="11"/>
        <v>1</v>
      </c>
      <c r="AC277" s="196" t="s">
        <v>3314</v>
      </c>
      <c r="AD277" s="196" t="s">
        <v>59</v>
      </c>
      <c r="AE277" s="197"/>
      <c r="AF277" s="197"/>
      <c r="AG277" s="197"/>
      <c r="AH277" s="199"/>
      <c r="AI277" s="196"/>
      <c r="AJ277" s="196"/>
      <c r="AK277" s="196" t="s">
        <v>3313</v>
      </c>
    </row>
    <row r="278" spans="1:38" s="201" customFormat="1" ht="39.950000000000003" customHeight="1">
      <c r="A278" s="235" t="s">
        <v>971</v>
      </c>
      <c r="B278" s="196" t="s">
        <v>3084</v>
      </c>
      <c r="C278" s="240" t="s">
        <v>3203</v>
      </c>
      <c r="D278" s="240"/>
      <c r="E278" s="241">
        <v>45894</v>
      </c>
      <c r="F278" s="240" t="s">
        <v>58</v>
      </c>
      <c r="G278" s="240" t="s">
        <v>3204</v>
      </c>
      <c r="H278" s="201" t="s">
        <v>3205</v>
      </c>
      <c r="J278" s="201" t="s">
        <v>3206</v>
      </c>
      <c r="K278" s="201" t="s">
        <v>2</v>
      </c>
      <c r="L278" s="201" t="s">
        <v>1151</v>
      </c>
      <c r="M278" s="201" t="s">
        <v>2546</v>
      </c>
      <c r="N278" s="219" t="s">
        <v>3219</v>
      </c>
      <c r="O278" s="263">
        <v>585</v>
      </c>
      <c r="P278" s="201" t="s">
        <v>1172</v>
      </c>
      <c r="Q278" s="240">
        <v>501.29</v>
      </c>
      <c r="R278" s="240"/>
      <c r="S278" s="240"/>
      <c r="W278" s="242">
        <f t="shared" si="10"/>
        <v>501.29</v>
      </c>
      <c r="X278" s="196" t="s">
        <v>1155</v>
      </c>
      <c r="Z278" s="201">
        <v>351</v>
      </c>
      <c r="AA278" s="201">
        <v>0</v>
      </c>
      <c r="AB278" s="243">
        <f t="shared" si="11"/>
        <v>351</v>
      </c>
      <c r="AC278" s="196" t="s">
        <v>3233</v>
      </c>
      <c r="AD278" s="196" t="s">
        <v>59</v>
      </c>
      <c r="AE278" s="197"/>
      <c r="AF278" s="197"/>
      <c r="AG278" s="197"/>
      <c r="AH278" s="199"/>
      <c r="AI278" s="196"/>
      <c r="AJ278" s="138" t="s">
        <v>3281</v>
      </c>
      <c r="AK278" s="196" t="s">
        <v>3251</v>
      </c>
    </row>
    <row r="279" spans="1:38" s="201" customFormat="1" ht="39.950000000000003" customHeight="1">
      <c r="A279" s="235" t="s">
        <v>972</v>
      </c>
      <c r="B279" s="196" t="s">
        <v>3084</v>
      </c>
      <c r="C279" s="240" t="s">
        <v>3207</v>
      </c>
      <c r="D279" s="240"/>
      <c r="E279" s="241">
        <v>45894</v>
      </c>
      <c r="F279" s="240" t="s">
        <v>58</v>
      </c>
      <c r="G279" s="240" t="s">
        <v>3208</v>
      </c>
      <c r="H279" s="240" t="s">
        <v>3209</v>
      </c>
      <c r="I279" s="240"/>
      <c r="J279" s="244" t="s">
        <v>3210</v>
      </c>
      <c r="K279" s="240" t="s">
        <v>4</v>
      </c>
      <c r="L279" s="240" t="s">
        <v>1151</v>
      </c>
      <c r="M279" s="240">
        <v>299047</v>
      </c>
      <c r="N279" s="244" t="s">
        <v>3211</v>
      </c>
      <c r="O279" s="245">
        <v>3744.92</v>
      </c>
      <c r="P279" s="240" t="s">
        <v>1161</v>
      </c>
      <c r="Q279" s="245">
        <v>0</v>
      </c>
      <c r="R279" s="245"/>
      <c r="S279" s="245"/>
      <c r="T279" s="245">
        <v>9650.7099999999991</v>
      </c>
      <c r="U279" s="245"/>
      <c r="V279" s="245"/>
      <c r="W279" s="245">
        <f t="shared" si="10"/>
        <v>9650.7099999999991</v>
      </c>
      <c r="X279" s="196" t="s">
        <v>1155</v>
      </c>
      <c r="Y279" s="240"/>
      <c r="Z279" s="246">
        <v>9059</v>
      </c>
      <c r="AA279" s="240">
        <v>1873</v>
      </c>
      <c r="AB279" s="246">
        <f t="shared" si="11"/>
        <v>10932</v>
      </c>
      <c r="AC279" s="196" t="s">
        <v>3300</v>
      </c>
      <c r="AD279" s="196" t="s">
        <v>59</v>
      </c>
      <c r="AE279" s="197"/>
      <c r="AF279" s="197"/>
      <c r="AG279" s="197"/>
      <c r="AH279" s="199"/>
      <c r="AI279" s="196"/>
      <c r="AJ279" s="196" t="s">
        <v>3301</v>
      </c>
      <c r="AK279" s="196" t="s">
        <v>3302</v>
      </c>
    </row>
    <row r="280" spans="1:38" ht="60">
      <c r="A280" s="282" t="s">
        <v>883</v>
      </c>
      <c r="B280" s="137" t="s">
        <v>3084</v>
      </c>
      <c r="C280" s="139" t="s">
        <v>3231</v>
      </c>
      <c r="D280" s="139"/>
      <c r="E280" s="193"/>
      <c r="F280" s="139" t="s">
        <v>60</v>
      </c>
      <c r="G280" s="101" t="s">
        <v>1163</v>
      </c>
      <c r="H280" s="101" t="s">
        <v>1164</v>
      </c>
      <c r="I280" s="101"/>
      <c r="J280" s="188" t="s">
        <v>1171</v>
      </c>
      <c r="K280" s="101" t="s">
        <v>4</v>
      </c>
      <c r="L280" s="101" t="s">
        <v>1195</v>
      </c>
      <c r="M280" s="101" t="s">
        <v>1166</v>
      </c>
      <c r="N280" s="101" t="s">
        <v>1167</v>
      </c>
      <c r="O280" s="189">
        <v>3732.62</v>
      </c>
      <c r="P280" s="101" t="s">
        <v>1172</v>
      </c>
      <c r="Q280" s="189"/>
      <c r="R280" s="189"/>
      <c r="S280" s="189"/>
      <c r="T280" s="101"/>
      <c r="U280" s="101"/>
      <c r="V280" s="101"/>
      <c r="W280" s="189"/>
      <c r="X280" s="101" t="s">
        <v>1155</v>
      </c>
      <c r="Y280" s="101"/>
      <c r="Z280" s="194">
        <v>2754</v>
      </c>
      <c r="AA280" s="194"/>
      <c r="AB280" s="194">
        <v>2754</v>
      </c>
      <c r="AC280" s="101" t="s">
        <v>1141</v>
      </c>
      <c r="AD280" s="196" t="s">
        <v>60</v>
      </c>
      <c r="AE280" s="193">
        <v>45954</v>
      </c>
      <c r="AF280" s="193"/>
      <c r="AG280" s="193"/>
      <c r="AH280" s="190"/>
      <c r="AI280" s="191"/>
      <c r="AJ280" s="289" t="s">
        <v>3291</v>
      </c>
      <c r="AK280" s="101" t="s">
        <v>3232</v>
      </c>
    </row>
    <row r="281" spans="1:38" ht="60">
      <c r="A281" s="137" t="s">
        <v>883</v>
      </c>
      <c r="B281" s="137" t="s">
        <v>3083</v>
      </c>
      <c r="C281" s="139" t="s">
        <v>3231</v>
      </c>
      <c r="D281" s="139"/>
      <c r="E281" s="193"/>
      <c r="F281" s="139" t="s">
        <v>58</v>
      </c>
      <c r="G281" s="101" t="s">
        <v>1163</v>
      </c>
      <c r="H281" s="101" t="s">
        <v>1164</v>
      </c>
      <c r="I281" s="101"/>
      <c r="J281" s="188" t="s">
        <v>1171</v>
      </c>
      <c r="K281" s="101" t="s">
        <v>4</v>
      </c>
      <c r="L281" s="101" t="s">
        <v>1160</v>
      </c>
      <c r="M281" s="101" t="s">
        <v>1166</v>
      </c>
      <c r="N281" s="188" t="s">
        <v>1167</v>
      </c>
      <c r="O281" s="189">
        <v>3732.62</v>
      </c>
      <c r="P281" s="101" t="s">
        <v>1172</v>
      </c>
      <c r="Q281" s="189">
        <v>9833.9599999999991</v>
      </c>
      <c r="R281" s="189"/>
      <c r="S281" s="189"/>
      <c r="T281" s="101"/>
      <c r="U281" s="101"/>
      <c r="V281" s="101"/>
      <c r="W281" s="189">
        <v>9833.9599999999991</v>
      </c>
      <c r="X281" s="101" t="s">
        <v>1155</v>
      </c>
      <c r="Y281" s="101"/>
      <c r="Z281" s="194">
        <v>3209</v>
      </c>
      <c r="AA281" s="194"/>
      <c r="AB281" s="194">
        <v>3209</v>
      </c>
      <c r="AC281" s="101" t="s">
        <v>2025</v>
      </c>
      <c r="AD281" s="101" t="s">
        <v>59</v>
      </c>
      <c r="AE281" s="193"/>
      <c r="AF281" s="193"/>
      <c r="AG281" s="193"/>
      <c r="AH281" s="190"/>
      <c r="AI281" s="191">
        <v>75</v>
      </c>
      <c r="AJ281" s="230" t="s">
        <v>3315</v>
      </c>
      <c r="AK281" s="101" t="s">
        <v>3232</v>
      </c>
    </row>
    <row r="282" spans="1:38" ht="45">
      <c r="A282" s="137" t="s">
        <v>551</v>
      </c>
      <c r="B282" s="137" t="s">
        <v>3084</v>
      </c>
      <c r="C282" s="96" t="s">
        <v>3307</v>
      </c>
      <c r="E282" s="175">
        <v>45595</v>
      </c>
      <c r="F282" s="139" t="s">
        <v>58</v>
      </c>
      <c r="G282" s="98" t="s">
        <v>3304</v>
      </c>
      <c r="H282" s="137" t="s">
        <v>3102</v>
      </c>
      <c r="J282" s="141" t="s">
        <v>3308</v>
      </c>
      <c r="K282" s="137" t="s">
        <v>4</v>
      </c>
      <c r="L282" s="137" t="s">
        <v>1151</v>
      </c>
      <c r="M282" s="176" t="s">
        <v>3119</v>
      </c>
      <c r="N282" s="98" t="s">
        <v>3306</v>
      </c>
      <c r="O282" s="177">
        <v>38803.440000000002</v>
      </c>
      <c r="P282" s="137" t="s">
        <v>1161</v>
      </c>
      <c r="T282" s="177">
        <v>4088.58</v>
      </c>
      <c r="W282" s="177">
        <f t="shared" ref="W282:W296" si="12">T282+Q282</f>
        <v>4088.58</v>
      </c>
      <c r="X282" s="137" t="s">
        <v>1155</v>
      </c>
      <c r="Z282" s="178">
        <v>10</v>
      </c>
      <c r="AA282" s="178">
        <v>0</v>
      </c>
      <c r="AB282" s="178">
        <f t="shared" ref="AB282:AB313" si="13">AA282+Z282</f>
        <v>10</v>
      </c>
      <c r="AC282" s="166" t="s">
        <v>3309</v>
      </c>
      <c r="AD282" s="137" t="s">
        <v>59</v>
      </c>
      <c r="AE282" s="193">
        <v>45978</v>
      </c>
      <c r="AK282" s="137" t="s">
        <v>3313</v>
      </c>
    </row>
    <row r="283" spans="1:38" s="201" customFormat="1" ht="39.950000000000003" customHeight="1">
      <c r="A283" s="282" t="s">
        <v>367</v>
      </c>
      <c r="B283" s="137" t="s">
        <v>3084</v>
      </c>
      <c r="C283" s="196" t="s">
        <v>3285</v>
      </c>
      <c r="D283" s="196"/>
      <c r="E283" s="197"/>
      <c r="F283" s="196" t="s">
        <v>60</v>
      </c>
      <c r="G283" s="196" t="s">
        <v>3286</v>
      </c>
      <c r="H283" s="277" t="s">
        <v>3287</v>
      </c>
      <c r="I283" s="196"/>
      <c r="J283" s="138" t="s">
        <v>3076</v>
      </c>
      <c r="K283" s="196" t="s">
        <v>4</v>
      </c>
      <c r="L283" s="196" t="s">
        <v>1195</v>
      </c>
      <c r="M283" s="198" t="s">
        <v>3077</v>
      </c>
      <c r="N283" s="196" t="s">
        <v>3078</v>
      </c>
      <c r="O283" s="199">
        <v>61055.85</v>
      </c>
      <c r="P283" s="196" t="s">
        <v>1172</v>
      </c>
      <c r="Q283" s="286">
        <v>15994.2</v>
      </c>
      <c r="R283" s="286"/>
      <c r="S283" s="286"/>
      <c r="T283" s="199"/>
      <c r="U283" s="199"/>
      <c r="V283" s="199"/>
      <c r="W283" s="199"/>
      <c r="X283" s="196" t="s">
        <v>1155</v>
      </c>
      <c r="Y283" s="199"/>
      <c r="Z283" s="200">
        <v>7988</v>
      </c>
      <c r="AA283" s="200"/>
      <c r="AB283" s="284">
        <f t="shared" ref="AB283" si="14">SUM(Z283:AA283)</f>
        <v>7988</v>
      </c>
      <c r="AC283" s="196"/>
      <c r="AD283" s="196" t="s">
        <v>60</v>
      </c>
      <c r="AE283" s="197"/>
      <c r="AF283" s="197"/>
      <c r="AG283" s="197"/>
      <c r="AH283" s="199"/>
      <c r="AI283" s="196"/>
      <c r="AJ283" s="281" t="s">
        <v>3326</v>
      </c>
      <c r="AK283" s="196" t="s">
        <v>3320</v>
      </c>
    </row>
    <row r="284" spans="1:38" ht="45">
      <c r="A284" s="283" t="s">
        <v>803</v>
      </c>
      <c r="B284" s="137" t="s">
        <v>3084</v>
      </c>
      <c r="C284" s="139" t="s">
        <v>3108</v>
      </c>
      <c r="E284" s="175">
        <v>45883</v>
      </c>
      <c r="F284" s="137" t="s">
        <v>60</v>
      </c>
      <c r="G284" s="137" t="s">
        <v>3109</v>
      </c>
      <c r="H284" s="137" t="s">
        <v>1178</v>
      </c>
      <c r="J284" s="230" t="s">
        <v>3095</v>
      </c>
      <c r="K284" s="139" t="s">
        <v>3</v>
      </c>
      <c r="L284" s="137" t="s">
        <v>1195</v>
      </c>
      <c r="M284" s="176" t="s">
        <v>1181</v>
      </c>
      <c r="N284" s="137" t="s">
        <v>3094</v>
      </c>
      <c r="O284" s="177">
        <v>15540.05</v>
      </c>
      <c r="W284" s="177">
        <f>SUM(Q284:T284)</f>
        <v>0</v>
      </c>
      <c r="X284" s="137" t="s">
        <v>1155</v>
      </c>
      <c r="Z284" s="178">
        <v>3292</v>
      </c>
      <c r="AB284" s="285">
        <f>SUM(Z284:AA284)</f>
        <v>3292</v>
      </c>
      <c r="AC284" s="137" t="s">
        <v>3323</v>
      </c>
      <c r="AD284" s="196" t="s">
        <v>60</v>
      </c>
      <c r="AE284" s="137"/>
      <c r="AH284" s="175"/>
      <c r="AI284" s="177">
        <f>SUM(AG284:AH284)</f>
        <v>0</v>
      </c>
      <c r="AJ284" s="280" t="s">
        <v>3325</v>
      </c>
      <c r="AK284" s="139" t="s">
        <v>3322</v>
      </c>
      <c r="AL284" s="139"/>
    </row>
    <row r="285" spans="1:38">
      <c r="W285" s="177">
        <f t="shared" si="12"/>
        <v>0</v>
      </c>
      <c r="AB285" s="178">
        <f t="shared" si="13"/>
        <v>0</v>
      </c>
    </row>
    <row r="286" spans="1:38">
      <c r="W286" s="177">
        <f t="shared" si="12"/>
        <v>0</v>
      </c>
      <c r="AB286" s="178">
        <f t="shared" si="13"/>
        <v>0</v>
      </c>
    </row>
    <row r="287" spans="1:38">
      <c r="W287" s="177">
        <f t="shared" si="12"/>
        <v>0</v>
      </c>
      <c r="AB287" s="178">
        <f t="shared" si="13"/>
        <v>0</v>
      </c>
    </row>
    <row r="288" spans="1:38">
      <c r="W288" s="177">
        <f t="shared" si="12"/>
        <v>0</v>
      </c>
      <c r="AB288" s="178">
        <f t="shared" si="13"/>
        <v>0</v>
      </c>
      <c r="AC288" s="166"/>
    </row>
    <row r="289" spans="1:29">
      <c r="W289" s="177">
        <f t="shared" si="12"/>
        <v>0</v>
      </c>
      <c r="AB289" s="178">
        <f t="shared" si="13"/>
        <v>0</v>
      </c>
      <c r="AC289" s="166"/>
    </row>
    <row r="290" spans="1:29">
      <c r="W290" s="177">
        <f t="shared" si="12"/>
        <v>0</v>
      </c>
      <c r="AB290" s="178">
        <f t="shared" si="13"/>
        <v>0</v>
      </c>
      <c r="AC290" s="166"/>
    </row>
    <row r="291" spans="1:29">
      <c r="W291" s="177">
        <f t="shared" si="12"/>
        <v>0</v>
      </c>
      <c r="AB291" s="178">
        <f t="shared" si="13"/>
        <v>0</v>
      </c>
    </row>
    <row r="292" spans="1:29">
      <c r="W292" s="177">
        <f t="shared" si="12"/>
        <v>0</v>
      </c>
      <c r="AB292" s="178">
        <f t="shared" si="13"/>
        <v>0</v>
      </c>
    </row>
    <row r="293" spans="1:29">
      <c r="A293" s="166"/>
      <c r="B293" s="166"/>
      <c r="W293" s="177">
        <f t="shared" si="12"/>
        <v>0</v>
      </c>
      <c r="AB293" s="178">
        <f t="shared" si="13"/>
        <v>0</v>
      </c>
    </row>
    <row r="294" spans="1:29">
      <c r="A294" s="166"/>
      <c r="B294" s="166"/>
      <c r="W294" s="177">
        <f t="shared" si="12"/>
        <v>0</v>
      </c>
      <c r="AB294" s="178">
        <f t="shared" si="13"/>
        <v>0</v>
      </c>
    </row>
    <row r="295" spans="1:29">
      <c r="A295" s="166"/>
      <c r="B295" s="166"/>
      <c r="W295" s="177">
        <f t="shared" si="12"/>
        <v>0</v>
      </c>
      <c r="AB295" s="178">
        <f t="shared" si="13"/>
        <v>0</v>
      </c>
      <c r="AC295" s="166"/>
    </row>
    <row r="296" spans="1:29">
      <c r="A296" s="166"/>
      <c r="B296" s="166"/>
      <c r="W296" s="177">
        <f t="shared" si="12"/>
        <v>0</v>
      </c>
      <c r="AB296" s="178">
        <f t="shared" si="13"/>
        <v>0</v>
      </c>
    </row>
    <row r="297" spans="1:29">
      <c r="A297" s="166"/>
      <c r="B297" s="166"/>
      <c r="W297" s="177">
        <f t="shared" ref="W297:W360" si="15">T297+Q297</f>
        <v>0</v>
      </c>
      <c r="AB297" s="178">
        <f t="shared" si="13"/>
        <v>0</v>
      </c>
    </row>
    <row r="298" spans="1:29">
      <c r="A298" s="166"/>
      <c r="B298" s="166"/>
      <c r="J298" s="141"/>
      <c r="W298" s="177">
        <f t="shared" si="15"/>
        <v>0</v>
      </c>
      <c r="AB298" s="178">
        <f t="shared" si="13"/>
        <v>0</v>
      </c>
    </row>
    <row r="299" spans="1:29">
      <c r="A299" s="166"/>
      <c r="B299" s="166"/>
      <c r="W299" s="177">
        <f t="shared" si="15"/>
        <v>0</v>
      </c>
      <c r="AB299" s="178">
        <f t="shared" si="13"/>
        <v>0</v>
      </c>
    </row>
    <row r="300" spans="1:29">
      <c r="A300" s="166"/>
      <c r="B300" s="166"/>
      <c r="W300" s="177">
        <f t="shared" si="15"/>
        <v>0</v>
      </c>
      <c r="AB300" s="178">
        <f t="shared" si="13"/>
        <v>0</v>
      </c>
    </row>
    <row r="301" spans="1:29">
      <c r="A301" s="166"/>
      <c r="B301" s="166"/>
      <c r="W301" s="177">
        <f t="shared" si="15"/>
        <v>0</v>
      </c>
      <c r="AB301" s="178">
        <f t="shared" si="13"/>
        <v>0</v>
      </c>
    </row>
    <row r="302" spans="1:29">
      <c r="A302" s="166"/>
      <c r="B302" s="166"/>
      <c r="W302" s="177">
        <f t="shared" si="15"/>
        <v>0</v>
      </c>
      <c r="AB302" s="178">
        <f t="shared" si="13"/>
        <v>0</v>
      </c>
    </row>
    <row r="303" spans="1:29">
      <c r="A303" s="166"/>
      <c r="B303" s="166"/>
      <c r="W303" s="177">
        <f t="shared" si="15"/>
        <v>0</v>
      </c>
      <c r="AB303" s="178">
        <f t="shared" si="13"/>
        <v>0</v>
      </c>
      <c r="AC303" s="166"/>
    </row>
    <row r="304" spans="1:29">
      <c r="A304" s="166"/>
      <c r="B304" s="166"/>
      <c r="W304" s="177">
        <f t="shared" si="15"/>
        <v>0</v>
      </c>
      <c r="AB304" s="178">
        <f t="shared" si="13"/>
        <v>0</v>
      </c>
    </row>
    <row r="305" spans="1:37">
      <c r="A305" s="166"/>
      <c r="B305" s="166"/>
      <c r="W305" s="177">
        <f t="shared" si="15"/>
        <v>0</v>
      </c>
      <c r="AB305" s="178">
        <f t="shared" si="13"/>
        <v>0</v>
      </c>
      <c r="AC305" s="166"/>
    </row>
    <row r="306" spans="1:37">
      <c r="A306" s="166"/>
      <c r="B306" s="166"/>
      <c r="W306" s="177">
        <f t="shared" si="15"/>
        <v>0</v>
      </c>
      <c r="AB306" s="178">
        <f t="shared" si="13"/>
        <v>0</v>
      </c>
      <c r="AC306" s="166"/>
    </row>
    <row r="307" spans="1:37">
      <c r="A307" s="166"/>
      <c r="B307" s="166"/>
      <c r="W307" s="177">
        <f t="shared" si="15"/>
        <v>0</v>
      </c>
      <c r="AB307" s="178">
        <f t="shared" si="13"/>
        <v>0</v>
      </c>
      <c r="AC307" s="166"/>
      <c r="AG307" s="177"/>
    </row>
    <row r="308" spans="1:37">
      <c r="A308" s="166"/>
      <c r="B308" s="166"/>
      <c r="W308" s="177">
        <f t="shared" si="15"/>
        <v>0</v>
      </c>
      <c r="AB308" s="178">
        <f t="shared" si="13"/>
        <v>0</v>
      </c>
      <c r="AC308" s="166"/>
    </row>
    <row r="309" spans="1:37">
      <c r="A309" s="166"/>
      <c r="B309" s="166"/>
      <c r="W309" s="177">
        <f t="shared" si="15"/>
        <v>0</v>
      </c>
      <c r="AB309" s="178">
        <f t="shared" si="13"/>
        <v>0</v>
      </c>
      <c r="AC309" s="166"/>
    </row>
    <row r="310" spans="1:37">
      <c r="A310" s="166"/>
      <c r="B310" s="166"/>
      <c r="W310" s="177">
        <f t="shared" si="15"/>
        <v>0</v>
      </c>
      <c r="AB310" s="178">
        <f t="shared" si="13"/>
        <v>0</v>
      </c>
      <c r="AC310" s="166"/>
    </row>
    <row r="311" spans="1:37">
      <c r="A311" s="166"/>
      <c r="B311" s="166"/>
      <c r="W311" s="177">
        <f t="shared" si="15"/>
        <v>0</v>
      </c>
      <c r="AB311" s="178">
        <f t="shared" si="13"/>
        <v>0</v>
      </c>
      <c r="AC311" s="166"/>
    </row>
    <row r="312" spans="1:37">
      <c r="A312" s="166"/>
      <c r="B312" s="166"/>
      <c r="G312" s="141"/>
      <c r="W312" s="177">
        <f t="shared" si="15"/>
        <v>0</v>
      </c>
      <c r="AB312" s="178">
        <f t="shared" si="13"/>
        <v>0</v>
      </c>
    </row>
    <row r="313" spans="1:37">
      <c r="A313" s="166"/>
      <c r="B313" s="166"/>
      <c r="C313" s="166"/>
      <c r="D313" s="166"/>
      <c r="E313" s="185"/>
      <c r="F313" s="166"/>
      <c r="G313" s="166"/>
      <c r="H313" s="166"/>
      <c r="I313" s="166"/>
      <c r="J313" s="166"/>
      <c r="K313" s="166"/>
      <c r="L313" s="166"/>
      <c r="M313" s="186"/>
      <c r="N313" s="166"/>
      <c r="O313" s="187"/>
      <c r="P313" s="166"/>
      <c r="Q313" s="187"/>
      <c r="R313" s="187"/>
      <c r="S313" s="187"/>
      <c r="T313" s="187"/>
      <c r="U313" s="187"/>
      <c r="V313" s="187"/>
      <c r="W313" s="177">
        <f t="shared" si="15"/>
        <v>0</v>
      </c>
      <c r="X313" s="166"/>
      <c r="Y313" s="187"/>
      <c r="Z313" s="179"/>
      <c r="AA313" s="179"/>
      <c r="AB313" s="178">
        <f t="shared" si="13"/>
        <v>0</v>
      </c>
      <c r="AC313" s="166"/>
      <c r="AD313" s="166"/>
      <c r="AE313" s="185"/>
      <c r="AF313" s="185"/>
      <c r="AG313" s="185"/>
      <c r="AH313" s="187"/>
      <c r="AI313" s="166"/>
      <c r="AJ313" s="166"/>
      <c r="AK313" s="166"/>
    </row>
    <row r="314" spans="1:37">
      <c r="A314" s="166"/>
      <c r="B314" s="166"/>
      <c r="C314" s="166"/>
      <c r="D314" s="166"/>
      <c r="E314" s="185"/>
      <c r="F314" s="166"/>
      <c r="G314" s="166"/>
      <c r="H314" s="166"/>
      <c r="I314" s="166"/>
      <c r="J314" s="166"/>
      <c r="K314" s="166"/>
      <c r="L314" s="166"/>
      <c r="M314" s="186"/>
      <c r="N314" s="166"/>
      <c r="O314" s="187"/>
      <c r="P314" s="166"/>
      <c r="Q314" s="187"/>
      <c r="R314" s="187"/>
      <c r="S314" s="187"/>
      <c r="T314" s="187"/>
      <c r="U314" s="187"/>
      <c r="V314" s="187"/>
      <c r="W314" s="177">
        <f t="shared" si="15"/>
        <v>0</v>
      </c>
      <c r="X314" s="166"/>
      <c r="Y314" s="187"/>
      <c r="Z314" s="179"/>
      <c r="AA314" s="179"/>
      <c r="AB314" s="178">
        <f t="shared" ref="AB314:AB377" si="16">AA314+Z314</f>
        <v>0</v>
      </c>
      <c r="AC314" s="166"/>
      <c r="AD314" s="166"/>
      <c r="AE314" s="185"/>
      <c r="AF314" s="185"/>
      <c r="AG314" s="185"/>
      <c r="AH314" s="187"/>
      <c r="AI314" s="166"/>
      <c r="AJ314" s="166"/>
      <c r="AK314" s="166"/>
    </row>
    <row r="315" spans="1:37">
      <c r="A315" s="166"/>
      <c r="B315" s="166"/>
      <c r="C315" s="166"/>
      <c r="D315" s="166"/>
      <c r="E315" s="185"/>
      <c r="F315" s="166"/>
      <c r="G315" s="166"/>
      <c r="H315" s="166"/>
      <c r="I315" s="166"/>
      <c r="J315" s="166"/>
      <c r="K315" s="166"/>
      <c r="L315" s="166"/>
      <c r="M315" s="186"/>
      <c r="N315" s="166"/>
      <c r="O315" s="187"/>
      <c r="P315" s="166"/>
      <c r="Q315" s="187"/>
      <c r="R315" s="187"/>
      <c r="S315" s="187"/>
      <c r="T315" s="187"/>
      <c r="U315" s="187"/>
      <c r="V315" s="187"/>
      <c r="W315" s="177">
        <f t="shared" si="15"/>
        <v>0</v>
      </c>
      <c r="X315" s="166"/>
      <c r="Y315" s="187"/>
      <c r="Z315" s="179"/>
      <c r="AA315" s="179"/>
      <c r="AB315" s="178">
        <f t="shared" si="16"/>
        <v>0</v>
      </c>
      <c r="AC315" s="166"/>
      <c r="AD315" s="166"/>
      <c r="AE315" s="185"/>
      <c r="AF315" s="185"/>
      <c r="AG315" s="185"/>
      <c r="AH315" s="187"/>
      <c r="AI315" s="166"/>
      <c r="AJ315" s="166"/>
      <c r="AK315" s="166"/>
    </row>
    <row r="316" spans="1:37">
      <c r="A316" s="166"/>
      <c r="B316" s="166"/>
      <c r="C316" s="166"/>
      <c r="D316" s="166"/>
      <c r="E316" s="185"/>
      <c r="F316" s="166"/>
      <c r="G316" s="166"/>
      <c r="H316" s="166"/>
      <c r="I316" s="166"/>
      <c r="J316" s="166"/>
      <c r="K316" s="166"/>
      <c r="L316" s="166"/>
      <c r="M316" s="186"/>
      <c r="N316" s="166"/>
      <c r="O316" s="187"/>
      <c r="P316" s="166"/>
      <c r="Q316" s="187"/>
      <c r="R316" s="187"/>
      <c r="S316" s="187"/>
      <c r="T316" s="187"/>
      <c r="U316" s="187"/>
      <c r="V316" s="187"/>
      <c r="W316" s="177">
        <f t="shared" si="15"/>
        <v>0</v>
      </c>
      <c r="X316" s="166"/>
      <c r="Y316" s="187"/>
      <c r="Z316" s="179"/>
      <c r="AA316" s="179"/>
      <c r="AB316" s="178">
        <f t="shared" si="16"/>
        <v>0</v>
      </c>
      <c r="AC316" s="166"/>
      <c r="AD316" s="166"/>
      <c r="AE316" s="185"/>
      <c r="AF316" s="185"/>
      <c r="AG316" s="185"/>
      <c r="AH316" s="187"/>
      <c r="AI316" s="166"/>
      <c r="AJ316" s="166"/>
      <c r="AK316" s="166"/>
    </row>
    <row r="317" spans="1:37">
      <c r="A317" s="166"/>
      <c r="B317" s="166"/>
      <c r="C317" s="166"/>
      <c r="D317" s="166"/>
      <c r="E317" s="185"/>
      <c r="F317" s="166"/>
      <c r="G317" s="166"/>
      <c r="H317" s="166"/>
      <c r="I317" s="166"/>
      <c r="J317" s="166"/>
      <c r="K317" s="166"/>
      <c r="L317" s="166"/>
      <c r="M317" s="186"/>
      <c r="N317" s="166"/>
      <c r="O317" s="187"/>
      <c r="P317" s="166"/>
      <c r="Q317" s="187"/>
      <c r="R317" s="187"/>
      <c r="S317" s="187"/>
      <c r="T317" s="187"/>
      <c r="U317" s="187"/>
      <c r="V317" s="187"/>
      <c r="W317" s="177">
        <f t="shared" si="15"/>
        <v>0</v>
      </c>
      <c r="X317" s="166"/>
      <c r="Y317" s="187"/>
      <c r="Z317" s="179"/>
      <c r="AA317" s="179"/>
      <c r="AB317" s="178">
        <f t="shared" si="16"/>
        <v>0</v>
      </c>
      <c r="AC317" s="166"/>
      <c r="AD317" s="166"/>
      <c r="AE317" s="185"/>
      <c r="AF317" s="185"/>
      <c r="AG317" s="185"/>
      <c r="AH317" s="187"/>
      <c r="AI317" s="166"/>
      <c r="AJ317" s="166"/>
      <c r="AK317" s="166"/>
    </row>
    <row r="318" spans="1:37">
      <c r="A318" s="166"/>
      <c r="B318" s="166"/>
      <c r="C318" s="166"/>
      <c r="D318" s="166"/>
      <c r="E318" s="185"/>
      <c r="F318" s="166"/>
      <c r="G318" s="166"/>
      <c r="H318" s="166"/>
      <c r="I318" s="166"/>
      <c r="J318" s="166"/>
      <c r="K318" s="166"/>
      <c r="L318" s="166"/>
      <c r="M318" s="186"/>
      <c r="N318" s="166"/>
      <c r="O318" s="187"/>
      <c r="P318" s="166"/>
      <c r="Q318" s="187"/>
      <c r="R318" s="187"/>
      <c r="S318" s="187"/>
      <c r="T318" s="187"/>
      <c r="U318" s="187"/>
      <c r="V318" s="187"/>
      <c r="W318" s="177">
        <f t="shared" si="15"/>
        <v>0</v>
      </c>
      <c r="X318" s="166"/>
      <c r="Y318" s="187"/>
      <c r="Z318" s="179"/>
      <c r="AA318" s="179"/>
      <c r="AB318" s="178">
        <f t="shared" si="16"/>
        <v>0</v>
      </c>
      <c r="AC318" s="166"/>
      <c r="AD318" s="166"/>
      <c r="AE318" s="185"/>
      <c r="AF318" s="185"/>
      <c r="AG318" s="185"/>
      <c r="AH318" s="187"/>
      <c r="AI318" s="166"/>
      <c r="AJ318" s="166"/>
      <c r="AK318" s="166"/>
    </row>
    <row r="319" spans="1:37">
      <c r="A319" s="166"/>
      <c r="B319" s="166"/>
      <c r="C319" s="166"/>
      <c r="D319" s="166"/>
      <c r="E319" s="185"/>
      <c r="F319" s="166"/>
      <c r="G319" s="166"/>
      <c r="H319" s="166"/>
      <c r="I319" s="166"/>
      <c r="J319" s="166"/>
      <c r="K319" s="166"/>
      <c r="L319" s="166"/>
      <c r="M319" s="186"/>
      <c r="N319" s="166"/>
      <c r="O319" s="187"/>
      <c r="P319" s="166"/>
      <c r="Q319" s="187"/>
      <c r="R319" s="187"/>
      <c r="S319" s="187"/>
      <c r="T319" s="187"/>
      <c r="U319" s="187"/>
      <c r="V319" s="187"/>
      <c r="W319" s="177">
        <f t="shared" si="15"/>
        <v>0</v>
      </c>
      <c r="X319" s="166"/>
      <c r="Y319" s="187"/>
      <c r="Z319" s="179"/>
      <c r="AA319" s="179"/>
      <c r="AB319" s="178">
        <f t="shared" si="16"/>
        <v>0</v>
      </c>
      <c r="AC319" s="166"/>
      <c r="AD319" s="166"/>
      <c r="AE319" s="185"/>
      <c r="AF319" s="185"/>
      <c r="AG319" s="185"/>
      <c r="AH319" s="187"/>
      <c r="AI319" s="166"/>
      <c r="AJ319" s="166"/>
      <c r="AK319" s="166"/>
    </row>
    <row r="320" spans="1:37">
      <c r="A320" s="166"/>
      <c r="B320" s="166"/>
      <c r="C320" s="166"/>
      <c r="D320" s="166"/>
      <c r="E320" s="185"/>
      <c r="F320" s="166"/>
      <c r="G320" s="166"/>
      <c r="H320" s="166"/>
      <c r="I320" s="166"/>
      <c r="J320" s="166"/>
      <c r="K320" s="166"/>
      <c r="L320" s="166"/>
      <c r="M320" s="186"/>
      <c r="N320" s="166"/>
      <c r="O320" s="187"/>
      <c r="P320" s="166"/>
      <c r="Q320" s="187"/>
      <c r="R320" s="187"/>
      <c r="S320" s="187"/>
      <c r="T320" s="187"/>
      <c r="U320" s="187"/>
      <c r="V320" s="187"/>
      <c r="W320" s="177">
        <f t="shared" si="15"/>
        <v>0</v>
      </c>
      <c r="X320" s="166"/>
      <c r="Y320" s="187"/>
      <c r="Z320" s="179"/>
      <c r="AA320" s="179"/>
      <c r="AB320" s="178">
        <f t="shared" si="16"/>
        <v>0</v>
      </c>
      <c r="AC320" s="166"/>
      <c r="AD320" s="166"/>
      <c r="AE320" s="185"/>
      <c r="AF320" s="185"/>
      <c r="AG320" s="185"/>
      <c r="AH320" s="187"/>
      <c r="AI320" s="166"/>
      <c r="AJ320" s="166"/>
      <c r="AK320" s="166"/>
    </row>
    <row r="321" spans="1:37">
      <c r="A321" s="166"/>
      <c r="B321" s="166"/>
      <c r="C321" s="166"/>
      <c r="D321" s="166"/>
      <c r="E321" s="185"/>
      <c r="F321" s="166"/>
      <c r="G321" s="166"/>
      <c r="H321" s="166"/>
      <c r="I321" s="166"/>
      <c r="J321" s="166"/>
      <c r="K321" s="166"/>
      <c r="L321" s="166"/>
      <c r="M321" s="186"/>
      <c r="N321" s="166"/>
      <c r="O321" s="187"/>
      <c r="P321" s="166"/>
      <c r="Q321" s="187"/>
      <c r="R321" s="187"/>
      <c r="S321" s="187"/>
      <c r="T321" s="187"/>
      <c r="U321" s="187"/>
      <c r="V321" s="187"/>
      <c r="W321" s="177">
        <f t="shared" si="15"/>
        <v>0</v>
      </c>
      <c r="X321" s="166"/>
      <c r="Y321" s="187"/>
      <c r="Z321" s="179"/>
      <c r="AA321" s="179"/>
      <c r="AB321" s="178">
        <f t="shared" si="16"/>
        <v>0</v>
      </c>
      <c r="AC321" s="166"/>
      <c r="AD321" s="166"/>
      <c r="AE321" s="185"/>
      <c r="AF321" s="185"/>
      <c r="AG321" s="185"/>
      <c r="AH321" s="187"/>
      <c r="AI321" s="166"/>
      <c r="AJ321" s="166"/>
      <c r="AK321" s="166"/>
    </row>
    <row r="322" spans="1:37">
      <c r="A322" s="166"/>
      <c r="B322" s="166"/>
      <c r="W322" s="177">
        <f t="shared" si="15"/>
        <v>0</v>
      </c>
      <c r="AB322" s="178">
        <f t="shared" si="16"/>
        <v>0</v>
      </c>
      <c r="AC322" s="166"/>
    </row>
    <row r="323" spans="1:37">
      <c r="A323" s="166"/>
      <c r="B323" s="166"/>
      <c r="W323" s="177">
        <f t="shared" si="15"/>
        <v>0</v>
      </c>
      <c r="AB323" s="178">
        <f t="shared" si="16"/>
        <v>0</v>
      </c>
      <c r="AC323" s="166"/>
      <c r="AF323" s="137"/>
      <c r="AG323" s="137"/>
    </row>
    <row r="324" spans="1:37">
      <c r="A324" s="166"/>
      <c r="B324" s="166"/>
      <c r="W324" s="177">
        <f t="shared" si="15"/>
        <v>0</v>
      </c>
      <c r="AB324" s="178">
        <f t="shared" si="16"/>
        <v>0</v>
      </c>
      <c r="AC324" s="166"/>
      <c r="AF324" s="137"/>
      <c r="AG324" s="137"/>
    </row>
    <row r="325" spans="1:37">
      <c r="A325" s="166"/>
      <c r="B325" s="166"/>
      <c r="W325" s="177">
        <f t="shared" si="15"/>
        <v>0</v>
      </c>
      <c r="AB325" s="178">
        <f t="shared" si="16"/>
        <v>0</v>
      </c>
    </row>
    <row r="326" spans="1:37">
      <c r="A326" s="166"/>
      <c r="B326" s="166"/>
      <c r="W326" s="177">
        <f t="shared" si="15"/>
        <v>0</v>
      </c>
      <c r="AB326" s="178">
        <f t="shared" si="16"/>
        <v>0</v>
      </c>
    </row>
    <row r="327" spans="1:37">
      <c r="A327" s="166"/>
      <c r="B327" s="166"/>
      <c r="W327" s="177">
        <f t="shared" si="15"/>
        <v>0</v>
      </c>
      <c r="AB327" s="178">
        <f t="shared" si="16"/>
        <v>0</v>
      </c>
    </row>
    <row r="328" spans="1:37">
      <c r="A328" s="166"/>
      <c r="B328" s="166"/>
      <c r="W328" s="177">
        <f t="shared" si="15"/>
        <v>0</v>
      </c>
      <c r="AB328" s="178">
        <f t="shared" si="16"/>
        <v>0</v>
      </c>
      <c r="AC328" s="166"/>
    </row>
    <row r="329" spans="1:37">
      <c r="A329" s="166"/>
      <c r="B329" s="166"/>
      <c r="W329" s="177">
        <f t="shared" si="15"/>
        <v>0</v>
      </c>
      <c r="AB329" s="178">
        <f t="shared" si="16"/>
        <v>0</v>
      </c>
      <c r="AC329" s="166"/>
    </row>
    <row r="330" spans="1:37" ht="17.25" customHeight="1">
      <c r="A330" s="166"/>
      <c r="B330" s="166"/>
      <c r="W330" s="177">
        <f t="shared" si="15"/>
        <v>0</v>
      </c>
      <c r="AB330" s="178">
        <f t="shared" si="16"/>
        <v>0</v>
      </c>
      <c r="AC330" s="166"/>
    </row>
    <row r="331" spans="1:37">
      <c r="A331" s="166"/>
      <c r="B331" s="166"/>
      <c r="W331" s="177">
        <f t="shared" si="15"/>
        <v>0</v>
      </c>
      <c r="AB331" s="178">
        <f t="shared" si="16"/>
        <v>0</v>
      </c>
      <c r="AC331" s="166"/>
    </row>
    <row r="332" spans="1:37">
      <c r="A332" s="166"/>
      <c r="B332" s="166"/>
      <c r="W332" s="177">
        <f t="shared" si="15"/>
        <v>0</v>
      </c>
      <c r="AB332" s="178">
        <f t="shared" si="16"/>
        <v>0</v>
      </c>
      <c r="AC332" s="166"/>
    </row>
    <row r="333" spans="1:37">
      <c r="A333" s="166"/>
      <c r="B333" s="166"/>
      <c r="W333" s="177">
        <f t="shared" si="15"/>
        <v>0</v>
      </c>
      <c r="AB333" s="178">
        <f t="shared" si="16"/>
        <v>0</v>
      </c>
    </row>
    <row r="334" spans="1:37">
      <c r="A334" s="166"/>
      <c r="B334" s="166"/>
      <c r="W334" s="177">
        <f t="shared" si="15"/>
        <v>0</v>
      </c>
      <c r="AB334" s="178">
        <f t="shared" si="16"/>
        <v>0</v>
      </c>
      <c r="AC334" s="166"/>
    </row>
    <row r="335" spans="1:37" ht="15.75" customHeight="1">
      <c r="A335" s="166"/>
      <c r="B335" s="166"/>
      <c r="W335" s="177">
        <f t="shared" si="15"/>
        <v>0</v>
      </c>
      <c r="AB335" s="178">
        <f t="shared" si="16"/>
        <v>0</v>
      </c>
      <c r="AC335" s="166"/>
    </row>
    <row r="336" spans="1:37">
      <c r="A336" s="166"/>
      <c r="B336" s="166"/>
      <c r="W336" s="177">
        <f t="shared" si="15"/>
        <v>0</v>
      </c>
      <c r="AB336" s="178">
        <f t="shared" si="16"/>
        <v>0</v>
      </c>
      <c r="AC336" s="166"/>
    </row>
    <row r="337" spans="1:36">
      <c r="A337" s="166"/>
      <c r="B337" s="166"/>
      <c r="W337" s="177">
        <f t="shared" si="15"/>
        <v>0</v>
      </c>
      <c r="AB337" s="178">
        <f t="shared" si="16"/>
        <v>0</v>
      </c>
      <c r="AC337" s="166"/>
    </row>
    <row r="338" spans="1:36">
      <c r="A338" s="166"/>
      <c r="B338" s="166"/>
      <c r="W338" s="177">
        <f t="shared" si="15"/>
        <v>0</v>
      </c>
      <c r="AB338" s="178">
        <f t="shared" si="16"/>
        <v>0</v>
      </c>
      <c r="AC338" s="166"/>
    </row>
    <row r="339" spans="1:36">
      <c r="A339" s="166"/>
      <c r="B339" s="166"/>
      <c r="W339" s="177">
        <f t="shared" si="15"/>
        <v>0</v>
      </c>
      <c r="AB339" s="178">
        <f t="shared" si="16"/>
        <v>0</v>
      </c>
    </row>
    <row r="340" spans="1:36">
      <c r="A340" s="166"/>
      <c r="B340" s="166"/>
      <c r="W340" s="177">
        <f t="shared" si="15"/>
        <v>0</v>
      </c>
      <c r="AB340" s="178">
        <f t="shared" si="16"/>
        <v>0</v>
      </c>
    </row>
    <row r="341" spans="1:36">
      <c r="A341" s="166"/>
      <c r="B341" s="166"/>
      <c r="W341" s="177">
        <f t="shared" si="15"/>
        <v>0</v>
      </c>
      <c r="AB341" s="178">
        <f t="shared" si="16"/>
        <v>0</v>
      </c>
      <c r="AC341" s="166"/>
      <c r="AJ341" s="141"/>
    </row>
    <row r="342" spans="1:36">
      <c r="A342" s="166"/>
      <c r="B342" s="166"/>
      <c r="W342" s="177">
        <f t="shared" si="15"/>
        <v>0</v>
      </c>
      <c r="AB342" s="178">
        <f t="shared" si="16"/>
        <v>0</v>
      </c>
      <c r="AC342" s="166"/>
    </row>
    <row r="343" spans="1:36">
      <c r="A343" s="166"/>
      <c r="B343" s="166"/>
      <c r="W343" s="177">
        <f t="shared" si="15"/>
        <v>0</v>
      </c>
      <c r="AB343" s="178">
        <f t="shared" si="16"/>
        <v>0</v>
      </c>
    </row>
    <row r="344" spans="1:36">
      <c r="A344" s="166"/>
      <c r="B344" s="166"/>
      <c r="W344" s="177">
        <f t="shared" si="15"/>
        <v>0</v>
      </c>
      <c r="AB344" s="178">
        <f t="shared" si="16"/>
        <v>0</v>
      </c>
    </row>
    <row r="345" spans="1:36">
      <c r="A345" s="166"/>
      <c r="B345" s="166"/>
      <c r="J345" s="141"/>
      <c r="W345" s="177">
        <f t="shared" si="15"/>
        <v>0</v>
      </c>
      <c r="AB345" s="178">
        <f t="shared" si="16"/>
        <v>0</v>
      </c>
    </row>
    <row r="346" spans="1:36">
      <c r="A346" s="166"/>
      <c r="B346" s="166"/>
      <c r="W346" s="177">
        <f t="shared" si="15"/>
        <v>0</v>
      </c>
      <c r="AB346" s="178">
        <f t="shared" si="16"/>
        <v>0</v>
      </c>
      <c r="AI346" s="178"/>
      <c r="AJ346" s="141"/>
    </row>
    <row r="347" spans="1:36">
      <c r="A347" s="166"/>
      <c r="B347" s="166"/>
      <c r="W347" s="177">
        <f t="shared" si="15"/>
        <v>0</v>
      </c>
      <c r="AB347" s="178">
        <f t="shared" si="16"/>
        <v>0</v>
      </c>
      <c r="AC347" s="166"/>
    </row>
    <row r="348" spans="1:36">
      <c r="A348" s="166"/>
      <c r="B348" s="166"/>
      <c r="W348" s="177">
        <f t="shared" si="15"/>
        <v>0</v>
      </c>
      <c r="Z348" s="179"/>
      <c r="AA348" s="179"/>
      <c r="AB348" s="178">
        <f t="shared" si="16"/>
        <v>0</v>
      </c>
      <c r="AC348" s="166"/>
      <c r="AD348" s="166"/>
    </row>
    <row r="349" spans="1:36">
      <c r="A349" s="166"/>
      <c r="B349" s="166"/>
      <c r="W349" s="177">
        <f t="shared" si="15"/>
        <v>0</v>
      </c>
      <c r="AB349" s="178">
        <f t="shared" si="16"/>
        <v>0</v>
      </c>
      <c r="AC349" s="166"/>
    </row>
    <row r="350" spans="1:36">
      <c r="A350" s="166"/>
      <c r="B350" s="166"/>
      <c r="G350" s="167"/>
      <c r="W350" s="177">
        <f t="shared" si="15"/>
        <v>0</v>
      </c>
      <c r="AB350" s="178">
        <f t="shared" si="16"/>
        <v>0</v>
      </c>
      <c r="AC350" s="166"/>
    </row>
    <row r="351" spans="1:36">
      <c r="A351" s="166"/>
      <c r="B351" s="166"/>
      <c r="G351" s="167"/>
      <c r="W351" s="177">
        <f t="shared" si="15"/>
        <v>0</v>
      </c>
      <c r="AB351" s="178">
        <f t="shared" si="16"/>
        <v>0</v>
      </c>
    </row>
    <row r="352" spans="1:36" ht="13.5" customHeight="1">
      <c r="A352" s="166"/>
      <c r="B352" s="166"/>
      <c r="G352" s="167"/>
      <c r="W352" s="177">
        <f t="shared" si="15"/>
        <v>0</v>
      </c>
      <c r="AB352" s="178">
        <f t="shared" si="16"/>
        <v>0</v>
      </c>
    </row>
    <row r="353" spans="1:29">
      <c r="A353" s="166"/>
      <c r="B353" s="166"/>
      <c r="G353" s="167"/>
      <c r="W353" s="177">
        <f t="shared" si="15"/>
        <v>0</v>
      </c>
      <c r="AB353" s="178">
        <f t="shared" si="16"/>
        <v>0</v>
      </c>
      <c r="AC353" s="166"/>
    </row>
    <row r="354" spans="1:29">
      <c r="A354" s="166"/>
      <c r="B354" s="166"/>
      <c r="G354" s="167"/>
      <c r="W354" s="177">
        <f t="shared" si="15"/>
        <v>0</v>
      </c>
      <c r="AB354" s="178">
        <f t="shared" si="16"/>
        <v>0</v>
      </c>
      <c r="AC354" s="166"/>
    </row>
    <row r="355" spans="1:29">
      <c r="A355" s="166"/>
      <c r="B355" s="166"/>
      <c r="J355" s="168"/>
      <c r="W355" s="177">
        <f t="shared" si="15"/>
        <v>0</v>
      </c>
      <c r="AB355" s="178">
        <f t="shared" si="16"/>
        <v>0</v>
      </c>
      <c r="AC355" s="166"/>
    </row>
    <row r="356" spans="1:29">
      <c r="A356" s="166"/>
      <c r="B356" s="166"/>
      <c r="W356" s="177">
        <f t="shared" si="15"/>
        <v>0</v>
      </c>
      <c r="AB356" s="178">
        <f t="shared" si="16"/>
        <v>0</v>
      </c>
      <c r="AC356" s="166"/>
    </row>
    <row r="357" spans="1:29">
      <c r="A357" s="166"/>
      <c r="B357" s="166"/>
      <c r="J357" s="169"/>
      <c r="W357" s="177">
        <f t="shared" si="15"/>
        <v>0</v>
      </c>
      <c r="AB357" s="178">
        <f t="shared" si="16"/>
        <v>0</v>
      </c>
      <c r="AC357" s="166"/>
    </row>
    <row r="358" spans="1:29">
      <c r="A358" s="166"/>
      <c r="B358" s="166"/>
      <c r="J358" s="169"/>
      <c r="W358" s="177">
        <f t="shared" si="15"/>
        <v>0</v>
      </c>
      <c r="AB358" s="178">
        <f t="shared" si="16"/>
        <v>0</v>
      </c>
      <c r="AC358" s="166"/>
    </row>
    <row r="359" spans="1:29">
      <c r="A359" s="166"/>
      <c r="B359" s="166"/>
      <c r="J359" s="169"/>
      <c r="W359" s="177">
        <f t="shared" si="15"/>
        <v>0</v>
      </c>
      <c r="AB359" s="178">
        <f t="shared" si="16"/>
        <v>0</v>
      </c>
      <c r="AC359" s="166"/>
    </row>
    <row r="360" spans="1:29">
      <c r="A360" s="166"/>
      <c r="B360" s="166"/>
      <c r="I360" s="169"/>
      <c r="J360" s="169"/>
      <c r="W360" s="177">
        <f t="shared" si="15"/>
        <v>0</v>
      </c>
      <c r="AB360" s="178">
        <f t="shared" si="16"/>
        <v>0</v>
      </c>
      <c r="AC360" s="166"/>
    </row>
    <row r="361" spans="1:29">
      <c r="A361" s="166"/>
      <c r="B361" s="166"/>
      <c r="J361" s="169"/>
      <c r="W361" s="177">
        <f t="shared" ref="W361:W424" si="17">T361+Q361</f>
        <v>0</v>
      </c>
      <c r="AB361" s="178">
        <f t="shared" si="16"/>
        <v>0</v>
      </c>
      <c r="AC361" s="166"/>
    </row>
    <row r="362" spans="1:29">
      <c r="A362" s="166"/>
      <c r="B362" s="166"/>
      <c r="G362" s="169"/>
      <c r="J362" s="169"/>
      <c r="W362" s="177">
        <f t="shared" si="17"/>
        <v>0</v>
      </c>
      <c r="AB362" s="178">
        <f t="shared" si="16"/>
        <v>0</v>
      </c>
      <c r="AC362" s="166"/>
    </row>
    <row r="363" spans="1:29">
      <c r="A363" s="166"/>
      <c r="B363" s="166"/>
      <c r="G363" s="141"/>
      <c r="J363" s="141"/>
      <c r="W363" s="177">
        <f t="shared" si="17"/>
        <v>0</v>
      </c>
      <c r="AB363" s="178">
        <f t="shared" si="16"/>
        <v>0</v>
      </c>
      <c r="AC363" s="166"/>
    </row>
    <row r="364" spans="1:29">
      <c r="W364" s="177">
        <f t="shared" si="17"/>
        <v>0</v>
      </c>
      <c r="AB364" s="178">
        <f t="shared" si="16"/>
        <v>0</v>
      </c>
    </row>
    <row r="365" spans="1:29">
      <c r="W365" s="177">
        <f t="shared" si="17"/>
        <v>0</v>
      </c>
      <c r="AB365" s="178">
        <f t="shared" si="16"/>
        <v>0</v>
      </c>
    </row>
    <row r="366" spans="1:29">
      <c r="W366" s="177">
        <f t="shared" si="17"/>
        <v>0</v>
      </c>
      <c r="AB366" s="178">
        <f t="shared" si="16"/>
        <v>0</v>
      </c>
    </row>
    <row r="367" spans="1:29">
      <c r="W367" s="177">
        <f t="shared" si="17"/>
        <v>0</v>
      </c>
      <c r="AB367" s="178">
        <f t="shared" si="16"/>
        <v>0</v>
      </c>
    </row>
    <row r="368" spans="1:29">
      <c r="W368" s="177">
        <f t="shared" si="17"/>
        <v>0</v>
      </c>
      <c r="AB368" s="178">
        <f t="shared" si="16"/>
        <v>0</v>
      </c>
    </row>
    <row r="369" spans="23:28">
      <c r="W369" s="177">
        <f t="shared" si="17"/>
        <v>0</v>
      </c>
      <c r="AB369" s="178">
        <f t="shared" si="16"/>
        <v>0</v>
      </c>
    </row>
    <row r="370" spans="23:28">
      <c r="W370" s="177">
        <f t="shared" si="17"/>
        <v>0</v>
      </c>
      <c r="AB370" s="178">
        <f t="shared" si="16"/>
        <v>0</v>
      </c>
    </row>
    <row r="371" spans="23:28">
      <c r="W371" s="177">
        <f t="shared" si="17"/>
        <v>0</v>
      </c>
      <c r="AB371" s="178">
        <f t="shared" si="16"/>
        <v>0</v>
      </c>
    </row>
    <row r="372" spans="23:28">
      <c r="W372" s="177">
        <f t="shared" si="17"/>
        <v>0</v>
      </c>
      <c r="AB372" s="178">
        <f t="shared" si="16"/>
        <v>0</v>
      </c>
    </row>
    <row r="373" spans="23:28">
      <c r="W373" s="177">
        <f t="shared" si="17"/>
        <v>0</v>
      </c>
      <c r="AB373" s="178">
        <f t="shared" si="16"/>
        <v>0</v>
      </c>
    </row>
    <row r="374" spans="23:28">
      <c r="W374" s="177">
        <f t="shared" si="17"/>
        <v>0</v>
      </c>
      <c r="AB374" s="178">
        <f t="shared" si="16"/>
        <v>0</v>
      </c>
    </row>
    <row r="375" spans="23:28">
      <c r="W375" s="177">
        <f t="shared" si="17"/>
        <v>0</v>
      </c>
      <c r="AB375" s="178">
        <f t="shared" si="16"/>
        <v>0</v>
      </c>
    </row>
    <row r="376" spans="23:28">
      <c r="W376" s="177">
        <f t="shared" si="17"/>
        <v>0</v>
      </c>
      <c r="AB376" s="178">
        <f t="shared" si="16"/>
        <v>0</v>
      </c>
    </row>
    <row r="377" spans="23:28">
      <c r="W377" s="177">
        <f t="shared" si="17"/>
        <v>0</v>
      </c>
      <c r="AB377" s="178">
        <f t="shared" si="16"/>
        <v>0</v>
      </c>
    </row>
    <row r="378" spans="23:28">
      <c r="W378" s="177">
        <f t="shared" si="17"/>
        <v>0</v>
      </c>
      <c r="AB378" s="178">
        <f t="shared" ref="AB378:AB441" si="18">AA378+Z378</f>
        <v>0</v>
      </c>
    </row>
    <row r="379" spans="23:28">
      <c r="W379" s="177">
        <f t="shared" si="17"/>
        <v>0</v>
      </c>
      <c r="AB379" s="178">
        <f t="shared" si="18"/>
        <v>0</v>
      </c>
    </row>
    <row r="380" spans="23:28">
      <c r="W380" s="177">
        <f t="shared" si="17"/>
        <v>0</v>
      </c>
      <c r="AB380" s="178">
        <f t="shared" si="18"/>
        <v>0</v>
      </c>
    </row>
    <row r="381" spans="23:28">
      <c r="W381" s="177">
        <f t="shared" si="17"/>
        <v>0</v>
      </c>
      <c r="AB381" s="178">
        <f t="shared" si="18"/>
        <v>0</v>
      </c>
    </row>
    <row r="382" spans="23:28">
      <c r="W382" s="177">
        <f t="shared" si="17"/>
        <v>0</v>
      </c>
      <c r="AB382" s="178">
        <f t="shared" si="18"/>
        <v>0</v>
      </c>
    </row>
    <row r="383" spans="23:28">
      <c r="W383" s="177">
        <f t="shared" si="17"/>
        <v>0</v>
      </c>
      <c r="AB383" s="178">
        <f t="shared" si="18"/>
        <v>0</v>
      </c>
    </row>
    <row r="384" spans="23:28">
      <c r="W384" s="177">
        <f t="shared" si="17"/>
        <v>0</v>
      </c>
      <c r="AB384" s="178">
        <f t="shared" si="18"/>
        <v>0</v>
      </c>
    </row>
    <row r="385" spans="23:28">
      <c r="W385" s="177">
        <f t="shared" si="17"/>
        <v>0</v>
      </c>
      <c r="AB385" s="178">
        <f t="shared" si="18"/>
        <v>0</v>
      </c>
    </row>
    <row r="386" spans="23:28">
      <c r="W386" s="177">
        <f t="shared" si="17"/>
        <v>0</v>
      </c>
      <c r="AB386" s="178">
        <f t="shared" si="18"/>
        <v>0</v>
      </c>
    </row>
    <row r="387" spans="23:28">
      <c r="W387" s="177">
        <f t="shared" si="17"/>
        <v>0</v>
      </c>
      <c r="AB387" s="178">
        <f t="shared" si="18"/>
        <v>0</v>
      </c>
    </row>
    <row r="388" spans="23:28">
      <c r="W388" s="177">
        <f t="shared" si="17"/>
        <v>0</v>
      </c>
      <c r="AB388" s="178">
        <f t="shared" si="18"/>
        <v>0</v>
      </c>
    </row>
    <row r="389" spans="23:28">
      <c r="W389" s="177">
        <f t="shared" si="17"/>
        <v>0</v>
      </c>
      <c r="AB389" s="178">
        <f t="shared" si="18"/>
        <v>0</v>
      </c>
    </row>
    <row r="390" spans="23:28">
      <c r="W390" s="177">
        <f t="shared" si="17"/>
        <v>0</v>
      </c>
      <c r="AB390" s="178">
        <f t="shared" si="18"/>
        <v>0</v>
      </c>
    </row>
    <row r="391" spans="23:28">
      <c r="W391" s="177">
        <f t="shared" si="17"/>
        <v>0</v>
      </c>
      <c r="AB391" s="178">
        <f t="shared" si="18"/>
        <v>0</v>
      </c>
    </row>
    <row r="392" spans="23:28">
      <c r="W392" s="177">
        <f t="shared" si="17"/>
        <v>0</v>
      </c>
      <c r="AB392" s="178">
        <f t="shared" si="18"/>
        <v>0</v>
      </c>
    </row>
    <row r="393" spans="23:28">
      <c r="W393" s="177">
        <f t="shared" si="17"/>
        <v>0</v>
      </c>
      <c r="AB393" s="178">
        <f t="shared" si="18"/>
        <v>0</v>
      </c>
    </row>
    <row r="394" spans="23:28">
      <c r="W394" s="177">
        <f t="shared" si="17"/>
        <v>0</v>
      </c>
      <c r="AB394" s="178">
        <f t="shared" si="18"/>
        <v>0</v>
      </c>
    </row>
    <row r="395" spans="23:28">
      <c r="W395" s="177">
        <f t="shared" si="17"/>
        <v>0</v>
      </c>
      <c r="AB395" s="178">
        <f t="shared" si="18"/>
        <v>0</v>
      </c>
    </row>
    <row r="396" spans="23:28">
      <c r="W396" s="177">
        <f t="shared" si="17"/>
        <v>0</v>
      </c>
      <c r="AB396" s="178">
        <f t="shared" si="18"/>
        <v>0</v>
      </c>
    </row>
    <row r="397" spans="23:28">
      <c r="W397" s="177">
        <f t="shared" si="17"/>
        <v>0</v>
      </c>
      <c r="AB397" s="178">
        <f t="shared" si="18"/>
        <v>0</v>
      </c>
    </row>
    <row r="398" spans="23:28">
      <c r="W398" s="177">
        <f t="shared" si="17"/>
        <v>0</v>
      </c>
      <c r="AB398" s="178">
        <f t="shared" si="18"/>
        <v>0</v>
      </c>
    </row>
    <row r="399" spans="23:28">
      <c r="W399" s="177">
        <f t="shared" si="17"/>
        <v>0</v>
      </c>
      <c r="AB399" s="178">
        <f t="shared" si="18"/>
        <v>0</v>
      </c>
    </row>
    <row r="400" spans="23:28">
      <c r="W400" s="177">
        <f t="shared" si="17"/>
        <v>0</v>
      </c>
      <c r="AB400" s="178">
        <f t="shared" si="18"/>
        <v>0</v>
      </c>
    </row>
    <row r="401" spans="23:28">
      <c r="W401" s="177">
        <f t="shared" si="17"/>
        <v>0</v>
      </c>
      <c r="AB401" s="178">
        <f t="shared" si="18"/>
        <v>0</v>
      </c>
    </row>
    <row r="402" spans="23:28">
      <c r="W402" s="177">
        <f t="shared" si="17"/>
        <v>0</v>
      </c>
      <c r="AB402" s="178">
        <f t="shared" si="18"/>
        <v>0</v>
      </c>
    </row>
    <row r="403" spans="23:28">
      <c r="W403" s="177">
        <f t="shared" si="17"/>
        <v>0</v>
      </c>
      <c r="AB403" s="178">
        <f t="shared" si="18"/>
        <v>0</v>
      </c>
    </row>
    <row r="404" spans="23:28">
      <c r="W404" s="177">
        <f t="shared" si="17"/>
        <v>0</v>
      </c>
      <c r="AB404" s="178">
        <f t="shared" si="18"/>
        <v>0</v>
      </c>
    </row>
    <row r="405" spans="23:28">
      <c r="W405" s="177">
        <f t="shared" si="17"/>
        <v>0</v>
      </c>
      <c r="AB405" s="178">
        <f t="shared" si="18"/>
        <v>0</v>
      </c>
    </row>
    <row r="406" spans="23:28">
      <c r="W406" s="177">
        <f t="shared" si="17"/>
        <v>0</v>
      </c>
      <c r="AB406" s="178">
        <f t="shared" si="18"/>
        <v>0</v>
      </c>
    </row>
    <row r="407" spans="23:28">
      <c r="W407" s="177">
        <f t="shared" si="17"/>
        <v>0</v>
      </c>
      <c r="AB407" s="178">
        <f t="shared" si="18"/>
        <v>0</v>
      </c>
    </row>
    <row r="408" spans="23:28">
      <c r="W408" s="177">
        <f t="shared" si="17"/>
        <v>0</v>
      </c>
      <c r="AB408" s="178">
        <f t="shared" si="18"/>
        <v>0</v>
      </c>
    </row>
    <row r="409" spans="23:28">
      <c r="W409" s="177">
        <f t="shared" si="17"/>
        <v>0</v>
      </c>
      <c r="AB409" s="178">
        <f t="shared" si="18"/>
        <v>0</v>
      </c>
    </row>
    <row r="410" spans="23:28">
      <c r="W410" s="177">
        <f t="shared" si="17"/>
        <v>0</v>
      </c>
      <c r="AB410" s="178">
        <f t="shared" si="18"/>
        <v>0</v>
      </c>
    </row>
    <row r="411" spans="23:28">
      <c r="W411" s="177">
        <f t="shared" si="17"/>
        <v>0</v>
      </c>
      <c r="AB411" s="178">
        <f t="shared" si="18"/>
        <v>0</v>
      </c>
    </row>
    <row r="412" spans="23:28">
      <c r="W412" s="177">
        <f t="shared" si="17"/>
        <v>0</v>
      </c>
      <c r="AB412" s="178">
        <f t="shared" si="18"/>
        <v>0</v>
      </c>
    </row>
    <row r="413" spans="23:28">
      <c r="W413" s="177">
        <f t="shared" si="17"/>
        <v>0</v>
      </c>
      <c r="AB413" s="178">
        <f t="shared" si="18"/>
        <v>0</v>
      </c>
    </row>
    <row r="414" spans="23:28">
      <c r="W414" s="177">
        <f t="shared" si="17"/>
        <v>0</v>
      </c>
      <c r="AB414" s="178">
        <f t="shared" si="18"/>
        <v>0</v>
      </c>
    </row>
    <row r="415" spans="23:28">
      <c r="W415" s="177">
        <f t="shared" si="17"/>
        <v>0</v>
      </c>
      <c r="AB415" s="178">
        <f t="shared" si="18"/>
        <v>0</v>
      </c>
    </row>
    <row r="416" spans="23:28">
      <c r="W416" s="177">
        <f t="shared" si="17"/>
        <v>0</v>
      </c>
      <c r="AB416" s="178">
        <f t="shared" si="18"/>
        <v>0</v>
      </c>
    </row>
    <row r="417" spans="23:28">
      <c r="W417" s="177">
        <f t="shared" si="17"/>
        <v>0</v>
      </c>
      <c r="AB417" s="178">
        <f t="shared" si="18"/>
        <v>0</v>
      </c>
    </row>
    <row r="418" spans="23:28">
      <c r="W418" s="177">
        <f t="shared" si="17"/>
        <v>0</v>
      </c>
      <c r="AB418" s="178">
        <f t="shared" si="18"/>
        <v>0</v>
      </c>
    </row>
    <row r="419" spans="23:28">
      <c r="W419" s="177">
        <f t="shared" si="17"/>
        <v>0</v>
      </c>
      <c r="AB419" s="178">
        <f t="shared" si="18"/>
        <v>0</v>
      </c>
    </row>
    <row r="420" spans="23:28">
      <c r="W420" s="177">
        <f t="shared" si="17"/>
        <v>0</v>
      </c>
      <c r="AB420" s="178">
        <f t="shared" si="18"/>
        <v>0</v>
      </c>
    </row>
    <row r="421" spans="23:28">
      <c r="W421" s="177">
        <f t="shared" si="17"/>
        <v>0</v>
      </c>
      <c r="AB421" s="178">
        <f t="shared" si="18"/>
        <v>0</v>
      </c>
    </row>
    <row r="422" spans="23:28">
      <c r="W422" s="177">
        <f t="shared" si="17"/>
        <v>0</v>
      </c>
      <c r="AB422" s="178">
        <f t="shared" si="18"/>
        <v>0</v>
      </c>
    </row>
    <row r="423" spans="23:28">
      <c r="W423" s="177">
        <f t="shared" si="17"/>
        <v>0</v>
      </c>
      <c r="AB423" s="178">
        <f t="shared" si="18"/>
        <v>0</v>
      </c>
    </row>
    <row r="424" spans="23:28">
      <c r="W424" s="177">
        <f t="shared" si="17"/>
        <v>0</v>
      </c>
      <c r="AB424" s="178">
        <f t="shared" si="18"/>
        <v>0</v>
      </c>
    </row>
    <row r="425" spans="23:28">
      <c r="W425" s="177">
        <f t="shared" ref="W425:W488" si="19">T425+Q425</f>
        <v>0</v>
      </c>
      <c r="AB425" s="178">
        <f t="shared" si="18"/>
        <v>0</v>
      </c>
    </row>
    <row r="426" spans="23:28">
      <c r="W426" s="177">
        <f t="shared" si="19"/>
        <v>0</v>
      </c>
      <c r="AB426" s="178">
        <f t="shared" si="18"/>
        <v>0</v>
      </c>
    </row>
    <row r="427" spans="23:28">
      <c r="W427" s="177">
        <f t="shared" si="19"/>
        <v>0</v>
      </c>
      <c r="AB427" s="178">
        <f t="shared" si="18"/>
        <v>0</v>
      </c>
    </row>
    <row r="428" spans="23:28">
      <c r="W428" s="177">
        <f t="shared" si="19"/>
        <v>0</v>
      </c>
      <c r="AB428" s="178">
        <f t="shared" si="18"/>
        <v>0</v>
      </c>
    </row>
    <row r="429" spans="23:28">
      <c r="W429" s="177">
        <f t="shared" si="19"/>
        <v>0</v>
      </c>
      <c r="AB429" s="178">
        <f t="shared" si="18"/>
        <v>0</v>
      </c>
    </row>
    <row r="430" spans="23:28">
      <c r="W430" s="177">
        <f t="shared" si="19"/>
        <v>0</v>
      </c>
      <c r="AB430" s="178">
        <f t="shared" si="18"/>
        <v>0</v>
      </c>
    </row>
    <row r="431" spans="23:28">
      <c r="W431" s="177">
        <f t="shared" si="19"/>
        <v>0</v>
      </c>
      <c r="AB431" s="178">
        <f t="shared" si="18"/>
        <v>0</v>
      </c>
    </row>
    <row r="432" spans="23:28">
      <c r="W432" s="177">
        <f t="shared" si="19"/>
        <v>0</v>
      </c>
      <c r="AB432" s="178">
        <f t="shared" si="18"/>
        <v>0</v>
      </c>
    </row>
    <row r="433" spans="23:28">
      <c r="W433" s="177">
        <f t="shared" si="19"/>
        <v>0</v>
      </c>
      <c r="AB433" s="178">
        <f t="shared" si="18"/>
        <v>0</v>
      </c>
    </row>
    <row r="434" spans="23:28">
      <c r="W434" s="177">
        <f t="shared" si="19"/>
        <v>0</v>
      </c>
      <c r="AB434" s="178">
        <f t="shared" si="18"/>
        <v>0</v>
      </c>
    </row>
    <row r="435" spans="23:28">
      <c r="W435" s="177">
        <f t="shared" si="19"/>
        <v>0</v>
      </c>
      <c r="AB435" s="178">
        <f t="shared" si="18"/>
        <v>0</v>
      </c>
    </row>
    <row r="436" spans="23:28">
      <c r="W436" s="177">
        <f t="shared" si="19"/>
        <v>0</v>
      </c>
      <c r="AB436" s="178">
        <f t="shared" si="18"/>
        <v>0</v>
      </c>
    </row>
    <row r="437" spans="23:28">
      <c r="W437" s="177">
        <f t="shared" si="19"/>
        <v>0</v>
      </c>
      <c r="AB437" s="178">
        <f t="shared" si="18"/>
        <v>0</v>
      </c>
    </row>
    <row r="438" spans="23:28">
      <c r="W438" s="177">
        <f t="shared" si="19"/>
        <v>0</v>
      </c>
      <c r="AB438" s="178">
        <f t="shared" si="18"/>
        <v>0</v>
      </c>
    </row>
    <row r="439" spans="23:28">
      <c r="W439" s="177">
        <f t="shared" si="19"/>
        <v>0</v>
      </c>
      <c r="AB439" s="178">
        <f t="shared" si="18"/>
        <v>0</v>
      </c>
    </row>
    <row r="440" spans="23:28">
      <c r="W440" s="177">
        <f t="shared" si="19"/>
        <v>0</v>
      </c>
      <c r="AB440" s="178">
        <f t="shared" si="18"/>
        <v>0</v>
      </c>
    </row>
    <row r="441" spans="23:28">
      <c r="W441" s="177">
        <f t="shared" si="19"/>
        <v>0</v>
      </c>
      <c r="AB441" s="178">
        <f t="shared" si="18"/>
        <v>0</v>
      </c>
    </row>
    <row r="442" spans="23:28">
      <c r="W442" s="177">
        <f t="shared" si="19"/>
        <v>0</v>
      </c>
      <c r="AB442" s="178">
        <f t="shared" ref="AB442:AB505" si="20">AA442+Z442</f>
        <v>0</v>
      </c>
    </row>
    <row r="443" spans="23:28">
      <c r="W443" s="177">
        <f t="shared" si="19"/>
        <v>0</v>
      </c>
      <c r="AB443" s="178">
        <f t="shared" si="20"/>
        <v>0</v>
      </c>
    </row>
    <row r="444" spans="23:28">
      <c r="W444" s="177">
        <f t="shared" si="19"/>
        <v>0</v>
      </c>
      <c r="AB444" s="178">
        <f t="shared" si="20"/>
        <v>0</v>
      </c>
    </row>
    <row r="445" spans="23:28">
      <c r="W445" s="177">
        <f t="shared" si="19"/>
        <v>0</v>
      </c>
      <c r="AB445" s="178">
        <f t="shared" si="20"/>
        <v>0</v>
      </c>
    </row>
    <row r="446" spans="23:28">
      <c r="W446" s="177">
        <f t="shared" si="19"/>
        <v>0</v>
      </c>
      <c r="AB446" s="178">
        <f t="shared" si="20"/>
        <v>0</v>
      </c>
    </row>
    <row r="447" spans="23:28">
      <c r="W447" s="177">
        <f t="shared" si="19"/>
        <v>0</v>
      </c>
      <c r="AB447" s="178">
        <f t="shared" si="20"/>
        <v>0</v>
      </c>
    </row>
    <row r="448" spans="23:28">
      <c r="W448" s="177">
        <f t="shared" si="19"/>
        <v>0</v>
      </c>
      <c r="AB448" s="178">
        <f t="shared" si="20"/>
        <v>0</v>
      </c>
    </row>
    <row r="449" spans="23:28">
      <c r="W449" s="177">
        <f t="shared" si="19"/>
        <v>0</v>
      </c>
      <c r="AB449" s="178">
        <f t="shared" si="20"/>
        <v>0</v>
      </c>
    </row>
    <row r="450" spans="23:28">
      <c r="W450" s="177">
        <f t="shared" si="19"/>
        <v>0</v>
      </c>
      <c r="AB450" s="178">
        <f t="shared" si="20"/>
        <v>0</v>
      </c>
    </row>
    <row r="451" spans="23:28">
      <c r="W451" s="177">
        <f t="shared" si="19"/>
        <v>0</v>
      </c>
      <c r="AB451" s="178">
        <f t="shared" si="20"/>
        <v>0</v>
      </c>
    </row>
    <row r="452" spans="23:28">
      <c r="W452" s="177">
        <f t="shared" si="19"/>
        <v>0</v>
      </c>
      <c r="AB452" s="178">
        <f t="shared" si="20"/>
        <v>0</v>
      </c>
    </row>
    <row r="453" spans="23:28">
      <c r="W453" s="177">
        <f t="shared" si="19"/>
        <v>0</v>
      </c>
      <c r="AB453" s="178">
        <f t="shared" si="20"/>
        <v>0</v>
      </c>
    </row>
    <row r="454" spans="23:28">
      <c r="W454" s="177">
        <f t="shared" si="19"/>
        <v>0</v>
      </c>
      <c r="AB454" s="178">
        <f t="shared" si="20"/>
        <v>0</v>
      </c>
    </row>
    <row r="455" spans="23:28">
      <c r="W455" s="177">
        <f t="shared" si="19"/>
        <v>0</v>
      </c>
      <c r="AB455" s="178">
        <f t="shared" si="20"/>
        <v>0</v>
      </c>
    </row>
    <row r="456" spans="23:28">
      <c r="W456" s="177">
        <f t="shared" si="19"/>
        <v>0</v>
      </c>
      <c r="AB456" s="178">
        <f t="shared" si="20"/>
        <v>0</v>
      </c>
    </row>
    <row r="457" spans="23:28">
      <c r="W457" s="177">
        <f t="shared" si="19"/>
        <v>0</v>
      </c>
      <c r="AB457" s="178">
        <f t="shared" si="20"/>
        <v>0</v>
      </c>
    </row>
    <row r="458" spans="23:28">
      <c r="W458" s="177">
        <f t="shared" si="19"/>
        <v>0</v>
      </c>
      <c r="AB458" s="178">
        <f t="shared" si="20"/>
        <v>0</v>
      </c>
    </row>
    <row r="459" spans="23:28">
      <c r="W459" s="177">
        <f t="shared" si="19"/>
        <v>0</v>
      </c>
      <c r="AB459" s="178">
        <f t="shared" si="20"/>
        <v>0</v>
      </c>
    </row>
    <row r="460" spans="23:28">
      <c r="W460" s="177">
        <f t="shared" si="19"/>
        <v>0</v>
      </c>
      <c r="AB460" s="178">
        <f t="shared" si="20"/>
        <v>0</v>
      </c>
    </row>
    <row r="461" spans="23:28">
      <c r="W461" s="177">
        <f t="shared" si="19"/>
        <v>0</v>
      </c>
      <c r="AB461" s="178">
        <f t="shared" si="20"/>
        <v>0</v>
      </c>
    </row>
    <row r="462" spans="23:28">
      <c r="W462" s="177">
        <f t="shared" si="19"/>
        <v>0</v>
      </c>
      <c r="AB462" s="178">
        <f t="shared" si="20"/>
        <v>0</v>
      </c>
    </row>
    <row r="463" spans="23:28">
      <c r="W463" s="177">
        <f t="shared" si="19"/>
        <v>0</v>
      </c>
      <c r="AB463" s="178">
        <f t="shared" si="20"/>
        <v>0</v>
      </c>
    </row>
    <row r="464" spans="23:28">
      <c r="W464" s="177">
        <f t="shared" si="19"/>
        <v>0</v>
      </c>
      <c r="AB464" s="178">
        <f t="shared" si="20"/>
        <v>0</v>
      </c>
    </row>
    <row r="465" spans="23:28">
      <c r="W465" s="177">
        <f t="shared" si="19"/>
        <v>0</v>
      </c>
      <c r="AB465" s="178">
        <f t="shared" si="20"/>
        <v>0</v>
      </c>
    </row>
    <row r="466" spans="23:28">
      <c r="W466" s="177">
        <f t="shared" si="19"/>
        <v>0</v>
      </c>
      <c r="AB466" s="178">
        <f t="shared" si="20"/>
        <v>0</v>
      </c>
    </row>
    <row r="467" spans="23:28">
      <c r="W467" s="177">
        <f t="shared" si="19"/>
        <v>0</v>
      </c>
      <c r="AB467" s="178">
        <f t="shared" si="20"/>
        <v>0</v>
      </c>
    </row>
    <row r="468" spans="23:28">
      <c r="W468" s="177">
        <f t="shared" si="19"/>
        <v>0</v>
      </c>
      <c r="AB468" s="178">
        <f t="shared" si="20"/>
        <v>0</v>
      </c>
    </row>
    <row r="469" spans="23:28">
      <c r="W469" s="177">
        <f t="shared" si="19"/>
        <v>0</v>
      </c>
      <c r="AB469" s="178">
        <f t="shared" si="20"/>
        <v>0</v>
      </c>
    </row>
    <row r="470" spans="23:28">
      <c r="W470" s="177">
        <f t="shared" si="19"/>
        <v>0</v>
      </c>
      <c r="AB470" s="178">
        <f t="shared" si="20"/>
        <v>0</v>
      </c>
    </row>
    <row r="471" spans="23:28">
      <c r="W471" s="177">
        <f t="shared" si="19"/>
        <v>0</v>
      </c>
      <c r="AB471" s="178">
        <f t="shared" si="20"/>
        <v>0</v>
      </c>
    </row>
    <row r="472" spans="23:28">
      <c r="W472" s="177">
        <f t="shared" si="19"/>
        <v>0</v>
      </c>
      <c r="AB472" s="178">
        <f t="shared" si="20"/>
        <v>0</v>
      </c>
    </row>
    <row r="473" spans="23:28">
      <c r="W473" s="177">
        <f t="shared" si="19"/>
        <v>0</v>
      </c>
      <c r="AB473" s="178">
        <f t="shared" si="20"/>
        <v>0</v>
      </c>
    </row>
    <row r="474" spans="23:28">
      <c r="W474" s="177">
        <f t="shared" si="19"/>
        <v>0</v>
      </c>
      <c r="AB474" s="178">
        <f t="shared" si="20"/>
        <v>0</v>
      </c>
    </row>
    <row r="475" spans="23:28">
      <c r="W475" s="177">
        <f t="shared" si="19"/>
        <v>0</v>
      </c>
      <c r="AB475" s="178">
        <f t="shared" si="20"/>
        <v>0</v>
      </c>
    </row>
    <row r="476" spans="23:28">
      <c r="W476" s="177">
        <f t="shared" si="19"/>
        <v>0</v>
      </c>
      <c r="AB476" s="178">
        <f t="shared" si="20"/>
        <v>0</v>
      </c>
    </row>
    <row r="477" spans="23:28">
      <c r="W477" s="177">
        <f t="shared" si="19"/>
        <v>0</v>
      </c>
      <c r="AB477" s="178">
        <f t="shared" si="20"/>
        <v>0</v>
      </c>
    </row>
    <row r="478" spans="23:28">
      <c r="W478" s="177">
        <f t="shared" si="19"/>
        <v>0</v>
      </c>
      <c r="AB478" s="178">
        <f t="shared" si="20"/>
        <v>0</v>
      </c>
    </row>
    <row r="479" spans="23:28">
      <c r="W479" s="177">
        <f t="shared" si="19"/>
        <v>0</v>
      </c>
      <c r="AB479" s="178">
        <f t="shared" si="20"/>
        <v>0</v>
      </c>
    </row>
    <row r="480" spans="23:28">
      <c r="W480" s="177">
        <f t="shared" si="19"/>
        <v>0</v>
      </c>
      <c r="AB480" s="178">
        <f t="shared" si="20"/>
        <v>0</v>
      </c>
    </row>
    <row r="481" spans="23:34">
      <c r="W481" s="177">
        <f t="shared" si="19"/>
        <v>0</v>
      </c>
      <c r="AB481" s="178">
        <f t="shared" si="20"/>
        <v>0</v>
      </c>
    </row>
    <row r="482" spans="23:34">
      <c r="W482" s="177">
        <f t="shared" si="19"/>
        <v>0</v>
      </c>
      <c r="AB482" s="178">
        <f t="shared" si="20"/>
        <v>0</v>
      </c>
    </row>
    <row r="483" spans="23:34">
      <c r="W483" s="177">
        <f t="shared" si="19"/>
        <v>0</v>
      </c>
      <c r="AB483" s="178">
        <f t="shared" si="20"/>
        <v>0</v>
      </c>
    </row>
    <row r="484" spans="23:34">
      <c r="W484" s="177">
        <f t="shared" si="19"/>
        <v>0</v>
      </c>
      <c r="AB484" s="178">
        <f t="shared" si="20"/>
        <v>0</v>
      </c>
    </row>
    <row r="485" spans="23:34">
      <c r="W485" s="177">
        <f t="shared" si="19"/>
        <v>0</v>
      </c>
      <c r="AB485" s="178">
        <f t="shared" si="20"/>
        <v>0</v>
      </c>
    </row>
    <row r="486" spans="23:34">
      <c r="W486" s="177">
        <f t="shared" si="19"/>
        <v>0</v>
      </c>
      <c r="AB486" s="178">
        <f t="shared" si="20"/>
        <v>0</v>
      </c>
    </row>
    <row r="487" spans="23:34">
      <c r="W487" s="177">
        <f t="shared" si="19"/>
        <v>0</v>
      </c>
      <c r="AB487" s="178">
        <f t="shared" si="20"/>
        <v>0</v>
      </c>
    </row>
    <row r="488" spans="23:34">
      <c r="W488" s="177">
        <f t="shared" si="19"/>
        <v>0</v>
      </c>
      <c r="AB488" s="178">
        <f t="shared" si="20"/>
        <v>0</v>
      </c>
    </row>
    <row r="489" spans="23:34">
      <c r="W489" s="177">
        <f t="shared" ref="W489:W498" si="21">T489+Q489</f>
        <v>0</v>
      </c>
      <c r="AB489" s="178">
        <f t="shared" si="20"/>
        <v>0</v>
      </c>
    </row>
    <row r="490" spans="23:34">
      <c r="W490" s="177">
        <f t="shared" si="21"/>
        <v>0</v>
      </c>
      <c r="AB490" s="178">
        <f t="shared" si="20"/>
        <v>0</v>
      </c>
    </row>
    <row r="491" spans="23:34">
      <c r="W491" s="177">
        <f t="shared" si="21"/>
        <v>0</v>
      </c>
      <c r="AB491" s="178">
        <f t="shared" si="20"/>
        <v>0</v>
      </c>
    </row>
    <row r="492" spans="23:34">
      <c r="W492" s="177">
        <f t="shared" si="21"/>
        <v>0</v>
      </c>
      <c r="AB492" s="178">
        <f t="shared" si="20"/>
        <v>0</v>
      </c>
    </row>
    <row r="493" spans="23:34">
      <c r="W493" s="177">
        <f t="shared" si="21"/>
        <v>0</v>
      </c>
      <c r="AB493" s="178">
        <f t="shared" si="20"/>
        <v>0</v>
      </c>
    </row>
    <row r="494" spans="23:34">
      <c r="W494" s="177">
        <f t="shared" si="21"/>
        <v>0</v>
      </c>
      <c r="AB494" s="178">
        <f t="shared" si="20"/>
        <v>0</v>
      </c>
    </row>
    <row r="495" spans="23:34">
      <c r="W495" s="177">
        <f t="shared" si="21"/>
        <v>0</v>
      </c>
      <c r="AB495" s="178">
        <f t="shared" si="20"/>
        <v>0</v>
      </c>
    </row>
    <row r="496" spans="23:34">
      <c r="W496" s="177">
        <f t="shared" si="21"/>
        <v>0</v>
      </c>
      <c r="AB496" s="178">
        <f t="shared" si="20"/>
        <v>0</v>
      </c>
      <c r="AH496" s="177">
        <f t="shared" ref="AH496:AH559" si="22">SUM(AF496:AG496)</f>
        <v>0</v>
      </c>
    </row>
    <row r="497" spans="23:34">
      <c r="W497" s="177">
        <f t="shared" si="21"/>
        <v>0</v>
      </c>
      <c r="AB497" s="178">
        <f t="shared" si="20"/>
        <v>0</v>
      </c>
      <c r="AH497" s="177">
        <f t="shared" si="22"/>
        <v>0</v>
      </c>
    </row>
    <row r="498" spans="23:34">
      <c r="W498" s="177">
        <f t="shared" si="21"/>
        <v>0</v>
      </c>
      <c r="AB498" s="178">
        <f t="shared" si="20"/>
        <v>0</v>
      </c>
      <c r="AH498" s="177">
        <f t="shared" si="22"/>
        <v>0</v>
      </c>
    </row>
    <row r="499" spans="23:34">
      <c r="W499" s="177">
        <f t="shared" ref="W499:W562" si="23">SUM(Q499:T499)</f>
        <v>0</v>
      </c>
      <c r="AB499" s="178">
        <f t="shared" si="20"/>
        <v>0</v>
      </c>
      <c r="AH499" s="177">
        <f t="shared" si="22"/>
        <v>0</v>
      </c>
    </row>
    <row r="500" spans="23:34">
      <c r="W500" s="177">
        <f t="shared" si="23"/>
        <v>0</v>
      </c>
      <c r="AB500" s="178">
        <f t="shared" si="20"/>
        <v>0</v>
      </c>
      <c r="AH500" s="177">
        <f t="shared" si="22"/>
        <v>0</v>
      </c>
    </row>
    <row r="501" spans="23:34">
      <c r="W501" s="177">
        <f t="shared" si="23"/>
        <v>0</v>
      </c>
      <c r="AB501" s="178">
        <f t="shared" si="20"/>
        <v>0</v>
      </c>
      <c r="AH501" s="177">
        <f t="shared" si="22"/>
        <v>0</v>
      </c>
    </row>
    <row r="502" spans="23:34">
      <c r="W502" s="177">
        <f t="shared" si="23"/>
        <v>0</v>
      </c>
      <c r="AB502" s="178">
        <f t="shared" si="20"/>
        <v>0</v>
      </c>
      <c r="AH502" s="177">
        <f t="shared" si="22"/>
        <v>0</v>
      </c>
    </row>
    <row r="503" spans="23:34">
      <c r="W503" s="177">
        <f t="shared" si="23"/>
        <v>0</v>
      </c>
      <c r="AB503" s="178">
        <f t="shared" si="20"/>
        <v>0</v>
      </c>
      <c r="AH503" s="177">
        <f t="shared" si="22"/>
        <v>0</v>
      </c>
    </row>
    <row r="504" spans="23:34">
      <c r="W504" s="177">
        <f t="shared" si="23"/>
        <v>0</v>
      </c>
      <c r="AB504" s="178">
        <f t="shared" si="20"/>
        <v>0</v>
      </c>
      <c r="AH504" s="177">
        <f t="shared" si="22"/>
        <v>0</v>
      </c>
    </row>
    <row r="505" spans="23:34">
      <c r="W505" s="177">
        <f t="shared" si="23"/>
        <v>0</v>
      </c>
      <c r="AB505" s="178">
        <f t="shared" si="20"/>
        <v>0</v>
      </c>
      <c r="AH505" s="177">
        <f t="shared" si="22"/>
        <v>0</v>
      </c>
    </row>
    <row r="506" spans="23:34">
      <c r="W506" s="177">
        <f t="shared" si="23"/>
        <v>0</v>
      </c>
      <c r="AB506" s="178">
        <f>AA506+Z506</f>
        <v>0</v>
      </c>
      <c r="AH506" s="177">
        <f t="shared" si="22"/>
        <v>0</v>
      </c>
    </row>
    <row r="507" spans="23:34">
      <c r="W507" s="177">
        <f t="shared" si="23"/>
        <v>0</v>
      </c>
      <c r="AB507" s="178">
        <f t="shared" ref="AB507:AB570" si="24">SUM(Z507:AA507)</f>
        <v>0</v>
      </c>
      <c r="AH507" s="177">
        <f t="shared" si="22"/>
        <v>0</v>
      </c>
    </row>
    <row r="508" spans="23:34">
      <c r="W508" s="177">
        <f t="shared" si="23"/>
        <v>0</v>
      </c>
      <c r="AB508" s="178">
        <f t="shared" si="24"/>
        <v>0</v>
      </c>
      <c r="AH508" s="177">
        <f t="shared" si="22"/>
        <v>0</v>
      </c>
    </row>
    <row r="509" spans="23:34">
      <c r="W509" s="177">
        <f t="shared" si="23"/>
        <v>0</v>
      </c>
      <c r="AB509" s="178">
        <f t="shared" si="24"/>
        <v>0</v>
      </c>
      <c r="AH509" s="177">
        <f t="shared" si="22"/>
        <v>0</v>
      </c>
    </row>
    <row r="510" spans="23:34">
      <c r="W510" s="177">
        <f t="shared" si="23"/>
        <v>0</v>
      </c>
      <c r="AB510" s="178">
        <f t="shared" si="24"/>
        <v>0</v>
      </c>
      <c r="AH510" s="177">
        <f t="shared" si="22"/>
        <v>0</v>
      </c>
    </row>
    <row r="511" spans="23:34">
      <c r="W511" s="177">
        <f t="shared" si="23"/>
        <v>0</v>
      </c>
      <c r="AB511" s="178">
        <f t="shared" si="24"/>
        <v>0</v>
      </c>
      <c r="AH511" s="177">
        <f t="shared" si="22"/>
        <v>0</v>
      </c>
    </row>
    <row r="512" spans="23:34">
      <c r="W512" s="177">
        <f t="shared" si="23"/>
        <v>0</v>
      </c>
      <c r="AB512" s="178">
        <f t="shared" si="24"/>
        <v>0</v>
      </c>
      <c r="AH512" s="177">
        <f t="shared" si="22"/>
        <v>0</v>
      </c>
    </row>
    <row r="513" spans="23:34">
      <c r="W513" s="177">
        <f t="shared" si="23"/>
        <v>0</v>
      </c>
      <c r="AB513" s="178">
        <f t="shared" si="24"/>
        <v>0</v>
      </c>
      <c r="AH513" s="177">
        <f t="shared" si="22"/>
        <v>0</v>
      </c>
    </row>
    <row r="514" spans="23:34">
      <c r="W514" s="177">
        <f t="shared" si="23"/>
        <v>0</v>
      </c>
      <c r="AB514" s="178">
        <f t="shared" si="24"/>
        <v>0</v>
      </c>
      <c r="AH514" s="177">
        <f t="shared" si="22"/>
        <v>0</v>
      </c>
    </row>
    <row r="515" spans="23:34">
      <c r="W515" s="177">
        <f t="shared" si="23"/>
        <v>0</v>
      </c>
      <c r="AB515" s="178">
        <f t="shared" si="24"/>
        <v>0</v>
      </c>
      <c r="AH515" s="177">
        <f t="shared" si="22"/>
        <v>0</v>
      </c>
    </row>
    <row r="516" spans="23:34">
      <c r="W516" s="177">
        <f t="shared" si="23"/>
        <v>0</v>
      </c>
      <c r="AB516" s="178">
        <f t="shared" si="24"/>
        <v>0</v>
      </c>
      <c r="AH516" s="177">
        <f t="shared" si="22"/>
        <v>0</v>
      </c>
    </row>
    <row r="517" spans="23:34">
      <c r="W517" s="177">
        <f t="shared" si="23"/>
        <v>0</v>
      </c>
      <c r="AB517" s="178">
        <f t="shared" si="24"/>
        <v>0</v>
      </c>
      <c r="AH517" s="177">
        <f t="shared" si="22"/>
        <v>0</v>
      </c>
    </row>
    <row r="518" spans="23:34">
      <c r="W518" s="177">
        <f t="shared" si="23"/>
        <v>0</v>
      </c>
      <c r="AB518" s="178">
        <f t="shared" si="24"/>
        <v>0</v>
      </c>
      <c r="AH518" s="177">
        <f t="shared" si="22"/>
        <v>0</v>
      </c>
    </row>
    <row r="519" spans="23:34">
      <c r="W519" s="177">
        <f t="shared" si="23"/>
        <v>0</v>
      </c>
      <c r="AB519" s="178">
        <f t="shared" si="24"/>
        <v>0</v>
      </c>
      <c r="AH519" s="177">
        <f t="shared" si="22"/>
        <v>0</v>
      </c>
    </row>
    <row r="520" spans="23:34">
      <c r="W520" s="177">
        <f t="shared" si="23"/>
        <v>0</v>
      </c>
      <c r="AB520" s="178">
        <f t="shared" si="24"/>
        <v>0</v>
      </c>
      <c r="AH520" s="177">
        <f t="shared" si="22"/>
        <v>0</v>
      </c>
    </row>
    <row r="521" spans="23:34">
      <c r="W521" s="177">
        <f t="shared" si="23"/>
        <v>0</v>
      </c>
      <c r="AB521" s="178">
        <f t="shared" si="24"/>
        <v>0</v>
      </c>
      <c r="AH521" s="177">
        <f t="shared" si="22"/>
        <v>0</v>
      </c>
    </row>
    <row r="522" spans="23:34">
      <c r="W522" s="177">
        <f t="shared" si="23"/>
        <v>0</v>
      </c>
      <c r="AB522" s="178">
        <f t="shared" si="24"/>
        <v>0</v>
      </c>
      <c r="AH522" s="177">
        <f t="shared" si="22"/>
        <v>0</v>
      </c>
    </row>
    <row r="523" spans="23:34">
      <c r="W523" s="177">
        <f t="shared" si="23"/>
        <v>0</v>
      </c>
      <c r="AB523" s="178">
        <f t="shared" si="24"/>
        <v>0</v>
      </c>
      <c r="AH523" s="177">
        <f t="shared" si="22"/>
        <v>0</v>
      </c>
    </row>
    <row r="524" spans="23:34">
      <c r="W524" s="177">
        <f t="shared" si="23"/>
        <v>0</v>
      </c>
      <c r="AB524" s="178">
        <f t="shared" si="24"/>
        <v>0</v>
      </c>
      <c r="AH524" s="177">
        <f t="shared" si="22"/>
        <v>0</v>
      </c>
    </row>
    <row r="525" spans="23:34">
      <c r="W525" s="177">
        <f t="shared" si="23"/>
        <v>0</v>
      </c>
      <c r="AB525" s="178">
        <f t="shared" si="24"/>
        <v>0</v>
      </c>
      <c r="AH525" s="177">
        <f t="shared" si="22"/>
        <v>0</v>
      </c>
    </row>
    <row r="526" spans="23:34">
      <c r="W526" s="177">
        <f t="shared" si="23"/>
        <v>0</v>
      </c>
      <c r="AB526" s="178">
        <f t="shared" si="24"/>
        <v>0</v>
      </c>
      <c r="AH526" s="177">
        <f t="shared" si="22"/>
        <v>0</v>
      </c>
    </row>
    <row r="527" spans="23:34">
      <c r="W527" s="177">
        <f t="shared" si="23"/>
        <v>0</v>
      </c>
      <c r="AB527" s="178">
        <f t="shared" si="24"/>
        <v>0</v>
      </c>
      <c r="AH527" s="177">
        <f t="shared" si="22"/>
        <v>0</v>
      </c>
    </row>
    <row r="528" spans="23:34">
      <c r="W528" s="177">
        <f t="shared" si="23"/>
        <v>0</v>
      </c>
      <c r="AB528" s="178">
        <f t="shared" si="24"/>
        <v>0</v>
      </c>
      <c r="AH528" s="177">
        <f t="shared" si="22"/>
        <v>0</v>
      </c>
    </row>
    <row r="529" spans="23:34">
      <c r="W529" s="177">
        <f t="shared" si="23"/>
        <v>0</v>
      </c>
      <c r="AB529" s="178">
        <f t="shared" si="24"/>
        <v>0</v>
      </c>
      <c r="AH529" s="177">
        <f t="shared" si="22"/>
        <v>0</v>
      </c>
    </row>
    <row r="530" spans="23:34">
      <c r="W530" s="177">
        <f t="shared" si="23"/>
        <v>0</v>
      </c>
      <c r="AB530" s="178">
        <f t="shared" si="24"/>
        <v>0</v>
      </c>
      <c r="AH530" s="177">
        <f t="shared" si="22"/>
        <v>0</v>
      </c>
    </row>
    <row r="531" spans="23:34">
      <c r="W531" s="177">
        <f t="shared" si="23"/>
        <v>0</v>
      </c>
      <c r="AB531" s="178">
        <f t="shared" si="24"/>
        <v>0</v>
      </c>
      <c r="AH531" s="177">
        <f t="shared" si="22"/>
        <v>0</v>
      </c>
    </row>
    <row r="532" spans="23:34">
      <c r="W532" s="177">
        <f t="shared" si="23"/>
        <v>0</v>
      </c>
      <c r="AB532" s="178">
        <f t="shared" si="24"/>
        <v>0</v>
      </c>
      <c r="AH532" s="177">
        <f t="shared" si="22"/>
        <v>0</v>
      </c>
    </row>
    <row r="533" spans="23:34">
      <c r="W533" s="177">
        <f t="shared" si="23"/>
        <v>0</v>
      </c>
      <c r="AB533" s="178">
        <f t="shared" si="24"/>
        <v>0</v>
      </c>
      <c r="AH533" s="177">
        <f t="shared" si="22"/>
        <v>0</v>
      </c>
    </row>
    <row r="534" spans="23:34">
      <c r="W534" s="177">
        <f t="shared" si="23"/>
        <v>0</v>
      </c>
      <c r="AB534" s="178">
        <f t="shared" si="24"/>
        <v>0</v>
      </c>
      <c r="AH534" s="177">
        <f t="shared" si="22"/>
        <v>0</v>
      </c>
    </row>
    <row r="535" spans="23:34">
      <c r="W535" s="177">
        <f t="shared" si="23"/>
        <v>0</v>
      </c>
      <c r="AB535" s="178">
        <f t="shared" si="24"/>
        <v>0</v>
      </c>
      <c r="AH535" s="177">
        <f t="shared" si="22"/>
        <v>0</v>
      </c>
    </row>
    <row r="536" spans="23:34">
      <c r="W536" s="177">
        <f t="shared" si="23"/>
        <v>0</v>
      </c>
      <c r="AB536" s="178">
        <f t="shared" si="24"/>
        <v>0</v>
      </c>
      <c r="AH536" s="177">
        <f t="shared" si="22"/>
        <v>0</v>
      </c>
    </row>
    <row r="537" spans="23:34">
      <c r="W537" s="177">
        <f t="shared" si="23"/>
        <v>0</v>
      </c>
      <c r="AB537" s="178">
        <f t="shared" si="24"/>
        <v>0</v>
      </c>
      <c r="AH537" s="177">
        <f t="shared" si="22"/>
        <v>0</v>
      </c>
    </row>
    <row r="538" spans="23:34">
      <c r="W538" s="177">
        <f t="shared" si="23"/>
        <v>0</v>
      </c>
      <c r="AB538" s="178">
        <f t="shared" si="24"/>
        <v>0</v>
      </c>
      <c r="AH538" s="177">
        <f t="shared" si="22"/>
        <v>0</v>
      </c>
    </row>
    <row r="539" spans="23:34">
      <c r="W539" s="177">
        <f t="shared" si="23"/>
        <v>0</v>
      </c>
      <c r="AB539" s="178">
        <f t="shared" si="24"/>
        <v>0</v>
      </c>
      <c r="AH539" s="177">
        <f t="shared" si="22"/>
        <v>0</v>
      </c>
    </row>
    <row r="540" spans="23:34">
      <c r="W540" s="177">
        <f t="shared" si="23"/>
        <v>0</v>
      </c>
      <c r="AB540" s="178">
        <f t="shared" si="24"/>
        <v>0</v>
      </c>
      <c r="AH540" s="177">
        <f t="shared" si="22"/>
        <v>0</v>
      </c>
    </row>
    <row r="541" spans="23:34">
      <c r="W541" s="177">
        <f t="shared" si="23"/>
        <v>0</v>
      </c>
      <c r="AB541" s="178">
        <f t="shared" si="24"/>
        <v>0</v>
      </c>
      <c r="AH541" s="177">
        <f t="shared" si="22"/>
        <v>0</v>
      </c>
    </row>
    <row r="542" spans="23:34">
      <c r="W542" s="177">
        <f t="shared" si="23"/>
        <v>0</v>
      </c>
      <c r="AB542" s="178">
        <f t="shared" si="24"/>
        <v>0</v>
      </c>
      <c r="AH542" s="177">
        <f t="shared" si="22"/>
        <v>0</v>
      </c>
    </row>
    <row r="543" spans="23:34">
      <c r="W543" s="177">
        <f t="shared" si="23"/>
        <v>0</v>
      </c>
      <c r="AB543" s="178">
        <f t="shared" si="24"/>
        <v>0</v>
      </c>
      <c r="AH543" s="177">
        <f t="shared" si="22"/>
        <v>0</v>
      </c>
    </row>
    <row r="544" spans="23:34">
      <c r="W544" s="177">
        <f t="shared" si="23"/>
        <v>0</v>
      </c>
      <c r="AB544" s="178">
        <f t="shared" si="24"/>
        <v>0</v>
      </c>
      <c r="AH544" s="177">
        <f t="shared" si="22"/>
        <v>0</v>
      </c>
    </row>
    <row r="545" spans="23:34">
      <c r="W545" s="177">
        <f t="shared" si="23"/>
        <v>0</v>
      </c>
      <c r="AB545" s="178">
        <f t="shared" si="24"/>
        <v>0</v>
      </c>
      <c r="AH545" s="177">
        <f t="shared" si="22"/>
        <v>0</v>
      </c>
    </row>
    <row r="546" spans="23:34">
      <c r="W546" s="177">
        <f t="shared" si="23"/>
        <v>0</v>
      </c>
      <c r="AB546" s="178">
        <f t="shared" si="24"/>
        <v>0</v>
      </c>
      <c r="AH546" s="177">
        <f t="shared" si="22"/>
        <v>0</v>
      </c>
    </row>
    <row r="547" spans="23:34">
      <c r="W547" s="177">
        <f t="shared" si="23"/>
        <v>0</v>
      </c>
      <c r="AB547" s="178">
        <f t="shared" si="24"/>
        <v>0</v>
      </c>
      <c r="AH547" s="177">
        <f t="shared" si="22"/>
        <v>0</v>
      </c>
    </row>
    <row r="548" spans="23:34">
      <c r="W548" s="177">
        <f t="shared" si="23"/>
        <v>0</v>
      </c>
      <c r="AB548" s="178">
        <f t="shared" si="24"/>
        <v>0</v>
      </c>
      <c r="AH548" s="177">
        <f t="shared" si="22"/>
        <v>0</v>
      </c>
    </row>
    <row r="549" spans="23:34">
      <c r="W549" s="177">
        <f t="shared" si="23"/>
        <v>0</v>
      </c>
      <c r="AB549" s="178">
        <f t="shared" si="24"/>
        <v>0</v>
      </c>
      <c r="AH549" s="177">
        <f t="shared" si="22"/>
        <v>0</v>
      </c>
    </row>
    <row r="550" spans="23:34">
      <c r="W550" s="177">
        <f t="shared" si="23"/>
        <v>0</v>
      </c>
      <c r="AB550" s="178">
        <f t="shared" si="24"/>
        <v>0</v>
      </c>
      <c r="AH550" s="177">
        <f t="shared" si="22"/>
        <v>0</v>
      </c>
    </row>
    <row r="551" spans="23:34">
      <c r="W551" s="177">
        <f t="shared" si="23"/>
        <v>0</v>
      </c>
      <c r="AB551" s="178">
        <f t="shared" si="24"/>
        <v>0</v>
      </c>
      <c r="AH551" s="177">
        <f t="shared" si="22"/>
        <v>0</v>
      </c>
    </row>
    <row r="552" spans="23:34">
      <c r="W552" s="177">
        <f t="shared" si="23"/>
        <v>0</v>
      </c>
      <c r="AB552" s="178">
        <f t="shared" si="24"/>
        <v>0</v>
      </c>
      <c r="AH552" s="177">
        <f t="shared" si="22"/>
        <v>0</v>
      </c>
    </row>
    <row r="553" spans="23:34">
      <c r="W553" s="177">
        <f t="shared" si="23"/>
        <v>0</v>
      </c>
      <c r="AB553" s="178">
        <f t="shared" si="24"/>
        <v>0</v>
      </c>
      <c r="AH553" s="177">
        <f t="shared" si="22"/>
        <v>0</v>
      </c>
    </row>
    <row r="554" spans="23:34">
      <c r="W554" s="177">
        <f t="shared" si="23"/>
        <v>0</v>
      </c>
      <c r="AB554" s="178">
        <f t="shared" si="24"/>
        <v>0</v>
      </c>
      <c r="AH554" s="177">
        <f t="shared" si="22"/>
        <v>0</v>
      </c>
    </row>
    <row r="555" spans="23:34">
      <c r="W555" s="177">
        <f t="shared" si="23"/>
        <v>0</v>
      </c>
      <c r="AB555" s="178">
        <f t="shared" si="24"/>
        <v>0</v>
      </c>
      <c r="AH555" s="177">
        <f t="shared" si="22"/>
        <v>0</v>
      </c>
    </row>
    <row r="556" spans="23:34">
      <c r="W556" s="177">
        <f t="shared" si="23"/>
        <v>0</v>
      </c>
      <c r="AB556" s="178">
        <f t="shared" si="24"/>
        <v>0</v>
      </c>
      <c r="AH556" s="177">
        <f t="shared" si="22"/>
        <v>0</v>
      </c>
    </row>
    <row r="557" spans="23:34">
      <c r="W557" s="177">
        <f t="shared" si="23"/>
        <v>0</v>
      </c>
      <c r="AB557" s="178">
        <f t="shared" si="24"/>
        <v>0</v>
      </c>
      <c r="AH557" s="177">
        <f t="shared" si="22"/>
        <v>0</v>
      </c>
    </row>
    <row r="558" spans="23:34">
      <c r="W558" s="177">
        <f t="shared" si="23"/>
        <v>0</v>
      </c>
      <c r="AB558" s="178">
        <f t="shared" si="24"/>
        <v>0</v>
      </c>
      <c r="AH558" s="177">
        <f t="shared" si="22"/>
        <v>0</v>
      </c>
    </row>
    <row r="559" spans="23:34">
      <c r="W559" s="177">
        <f t="shared" si="23"/>
        <v>0</v>
      </c>
      <c r="AB559" s="178">
        <f t="shared" si="24"/>
        <v>0</v>
      </c>
      <c r="AH559" s="177">
        <f t="shared" si="22"/>
        <v>0</v>
      </c>
    </row>
    <row r="560" spans="23:34">
      <c r="W560" s="177">
        <f t="shared" si="23"/>
        <v>0</v>
      </c>
      <c r="AB560" s="178">
        <f t="shared" si="24"/>
        <v>0</v>
      </c>
      <c r="AH560" s="177">
        <f t="shared" ref="AH560:AH623" si="25">SUM(AF560:AG560)</f>
        <v>0</v>
      </c>
    </row>
    <row r="561" spans="23:34">
      <c r="W561" s="177">
        <f t="shared" si="23"/>
        <v>0</v>
      </c>
      <c r="AB561" s="178">
        <f t="shared" si="24"/>
        <v>0</v>
      </c>
      <c r="AH561" s="177">
        <f t="shared" si="25"/>
        <v>0</v>
      </c>
    </row>
    <row r="562" spans="23:34">
      <c r="W562" s="177">
        <f t="shared" si="23"/>
        <v>0</v>
      </c>
      <c r="AB562" s="178">
        <f t="shared" si="24"/>
        <v>0</v>
      </c>
      <c r="AH562" s="177">
        <f t="shared" si="25"/>
        <v>0</v>
      </c>
    </row>
    <row r="563" spans="23:34">
      <c r="W563" s="177">
        <f t="shared" ref="W563:W626" si="26">SUM(Q563:T563)</f>
        <v>0</v>
      </c>
      <c r="AB563" s="178">
        <f t="shared" si="24"/>
        <v>0</v>
      </c>
      <c r="AH563" s="177">
        <f t="shared" si="25"/>
        <v>0</v>
      </c>
    </row>
    <row r="564" spans="23:34">
      <c r="W564" s="177">
        <f t="shared" si="26"/>
        <v>0</v>
      </c>
      <c r="AB564" s="178">
        <f t="shared" si="24"/>
        <v>0</v>
      </c>
      <c r="AH564" s="177">
        <f t="shared" si="25"/>
        <v>0</v>
      </c>
    </row>
    <row r="565" spans="23:34">
      <c r="W565" s="177">
        <f t="shared" si="26"/>
        <v>0</v>
      </c>
      <c r="AB565" s="178">
        <f t="shared" si="24"/>
        <v>0</v>
      </c>
      <c r="AH565" s="177">
        <f t="shared" si="25"/>
        <v>0</v>
      </c>
    </row>
    <row r="566" spans="23:34">
      <c r="W566" s="177">
        <f t="shared" si="26"/>
        <v>0</v>
      </c>
      <c r="AB566" s="178">
        <f t="shared" si="24"/>
        <v>0</v>
      </c>
      <c r="AH566" s="177">
        <f t="shared" si="25"/>
        <v>0</v>
      </c>
    </row>
    <row r="567" spans="23:34">
      <c r="W567" s="177">
        <f t="shared" si="26"/>
        <v>0</v>
      </c>
      <c r="AB567" s="178">
        <f t="shared" si="24"/>
        <v>0</v>
      </c>
      <c r="AH567" s="177">
        <f t="shared" si="25"/>
        <v>0</v>
      </c>
    </row>
    <row r="568" spans="23:34">
      <c r="W568" s="177">
        <f t="shared" si="26"/>
        <v>0</v>
      </c>
      <c r="AB568" s="178">
        <f t="shared" si="24"/>
        <v>0</v>
      </c>
      <c r="AH568" s="177">
        <f t="shared" si="25"/>
        <v>0</v>
      </c>
    </row>
    <row r="569" spans="23:34">
      <c r="W569" s="177">
        <f t="shared" si="26"/>
        <v>0</v>
      </c>
      <c r="AB569" s="178">
        <f t="shared" si="24"/>
        <v>0</v>
      </c>
      <c r="AH569" s="177">
        <f t="shared" si="25"/>
        <v>0</v>
      </c>
    </row>
    <row r="570" spans="23:34">
      <c r="W570" s="177">
        <f t="shared" si="26"/>
        <v>0</v>
      </c>
      <c r="AB570" s="178">
        <f t="shared" si="24"/>
        <v>0</v>
      </c>
      <c r="AH570" s="177">
        <f t="shared" si="25"/>
        <v>0</v>
      </c>
    </row>
    <row r="571" spans="23:34">
      <c r="W571" s="177">
        <f t="shared" si="26"/>
        <v>0</v>
      </c>
      <c r="AB571" s="178">
        <f t="shared" ref="AB571:AB634" si="27">SUM(Z571:AA571)</f>
        <v>0</v>
      </c>
      <c r="AH571" s="177">
        <f t="shared" si="25"/>
        <v>0</v>
      </c>
    </row>
    <row r="572" spans="23:34">
      <c r="W572" s="177">
        <f t="shared" si="26"/>
        <v>0</v>
      </c>
      <c r="AB572" s="178">
        <f t="shared" si="27"/>
        <v>0</v>
      </c>
      <c r="AH572" s="177">
        <f t="shared" si="25"/>
        <v>0</v>
      </c>
    </row>
    <row r="573" spans="23:34">
      <c r="W573" s="177">
        <f t="shared" si="26"/>
        <v>0</v>
      </c>
      <c r="AB573" s="178">
        <f t="shared" si="27"/>
        <v>0</v>
      </c>
      <c r="AH573" s="177">
        <f t="shared" si="25"/>
        <v>0</v>
      </c>
    </row>
    <row r="574" spans="23:34">
      <c r="W574" s="177">
        <f t="shared" si="26"/>
        <v>0</v>
      </c>
      <c r="AB574" s="178">
        <f t="shared" si="27"/>
        <v>0</v>
      </c>
      <c r="AH574" s="177">
        <f t="shared" si="25"/>
        <v>0</v>
      </c>
    </row>
    <row r="575" spans="23:34">
      <c r="W575" s="177">
        <f t="shared" si="26"/>
        <v>0</v>
      </c>
      <c r="AB575" s="178">
        <f t="shared" si="27"/>
        <v>0</v>
      </c>
      <c r="AH575" s="177">
        <f t="shared" si="25"/>
        <v>0</v>
      </c>
    </row>
    <row r="576" spans="23:34">
      <c r="W576" s="177">
        <f t="shared" si="26"/>
        <v>0</v>
      </c>
      <c r="AB576" s="178">
        <f t="shared" si="27"/>
        <v>0</v>
      </c>
      <c r="AH576" s="177">
        <f t="shared" si="25"/>
        <v>0</v>
      </c>
    </row>
    <row r="577" spans="23:34">
      <c r="W577" s="177">
        <f t="shared" si="26"/>
        <v>0</v>
      </c>
      <c r="AB577" s="178">
        <f t="shared" si="27"/>
        <v>0</v>
      </c>
      <c r="AH577" s="177">
        <f t="shared" si="25"/>
        <v>0</v>
      </c>
    </row>
    <row r="578" spans="23:34">
      <c r="W578" s="177">
        <f t="shared" si="26"/>
        <v>0</v>
      </c>
      <c r="AB578" s="178">
        <f t="shared" si="27"/>
        <v>0</v>
      </c>
      <c r="AH578" s="177">
        <f t="shared" si="25"/>
        <v>0</v>
      </c>
    </row>
    <row r="579" spans="23:34">
      <c r="W579" s="177">
        <f t="shared" si="26"/>
        <v>0</v>
      </c>
      <c r="AB579" s="178">
        <f t="shared" si="27"/>
        <v>0</v>
      </c>
      <c r="AH579" s="177">
        <f t="shared" si="25"/>
        <v>0</v>
      </c>
    </row>
    <row r="580" spans="23:34">
      <c r="W580" s="177">
        <f t="shared" si="26"/>
        <v>0</v>
      </c>
      <c r="AB580" s="178">
        <f t="shared" si="27"/>
        <v>0</v>
      </c>
      <c r="AH580" s="177">
        <f t="shared" si="25"/>
        <v>0</v>
      </c>
    </row>
    <row r="581" spans="23:34">
      <c r="W581" s="177">
        <f t="shared" si="26"/>
        <v>0</v>
      </c>
      <c r="AB581" s="178">
        <f t="shared" si="27"/>
        <v>0</v>
      </c>
      <c r="AH581" s="177">
        <f t="shared" si="25"/>
        <v>0</v>
      </c>
    </row>
    <row r="582" spans="23:34">
      <c r="W582" s="177">
        <f t="shared" si="26"/>
        <v>0</v>
      </c>
      <c r="AB582" s="178">
        <f t="shared" si="27"/>
        <v>0</v>
      </c>
      <c r="AH582" s="177">
        <f t="shared" si="25"/>
        <v>0</v>
      </c>
    </row>
    <row r="583" spans="23:34">
      <c r="W583" s="177">
        <f t="shared" si="26"/>
        <v>0</v>
      </c>
      <c r="AB583" s="178">
        <f t="shared" si="27"/>
        <v>0</v>
      </c>
      <c r="AH583" s="177">
        <f t="shared" si="25"/>
        <v>0</v>
      </c>
    </row>
    <row r="584" spans="23:34">
      <c r="W584" s="177">
        <f t="shared" si="26"/>
        <v>0</v>
      </c>
      <c r="AB584" s="178">
        <f t="shared" si="27"/>
        <v>0</v>
      </c>
      <c r="AH584" s="177">
        <f t="shared" si="25"/>
        <v>0</v>
      </c>
    </row>
    <row r="585" spans="23:34">
      <c r="W585" s="177">
        <f t="shared" si="26"/>
        <v>0</v>
      </c>
      <c r="AB585" s="178">
        <f t="shared" si="27"/>
        <v>0</v>
      </c>
      <c r="AH585" s="177">
        <f t="shared" si="25"/>
        <v>0</v>
      </c>
    </row>
    <row r="586" spans="23:34">
      <c r="W586" s="177">
        <f t="shared" si="26"/>
        <v>0</v>
      </c>
      <c r="AB586" s="178">
        <f t="shared" si="27"/>
        <v>0</v>
      </c>
      <c r="AH586" s="177">
        <f t="shared" si="25"/>
        <v>0</v>
      </c>
    </row>
    <row r="587" spans="23:34">
      <c r="W587" s="177">
        <f t="shared" si="26"/>
        <v>0</v>
      </c>
      <c r="AB587" s="178">
        <f t="shared" si="27"/>
        <v>0</v>
      </c>
      <c r="AH587" s="177">
        <f t="shared" si="25"/>
        <v>0</v>
      </c>
    </row>
    <row r="588" spans="23:34">
      <c r="W588" s="177">
        <f t="shared" si="26"/>
        <v>0</v>
      </c>
      <c r="AB588" s="178">
        <f t="shared" si="27"/>
        <v>0</v>
      </c>
      <c r="AH588" s="177">
        <f t="shared" si="25"/>
        <v>0</v>
      </c>
    </row>
    <row r="589" spans="23:34">
      <c r="W589" s="177">
        <f t="shared" si="26"/>
        <v>0</v>
      </c>
      <c r="AB589" s="178">
        <f t="shared" si="27"/>
        <v>0</v>
      </c>
      <c r="AH589" s="177">
        <f t="shared" si="25"/>
        <v>0</v>
      </c>
    </row>
    <row r="590" spans="23:34">
      <c r="W590" s="177">
        <f t="shared" si="26"/>
        <v>0</v>
      </c>
      <c r="AB590" s="178">
        <f t="shared" si="27"/>
        <v>0</v>
      </c>
      <c r="AH590" s="177">
        <f t="shared" si="25"/>
        <v>0</v>
      </c>
    </row>
    <row r="591" spans="23:34">
      <c r="W591" s="177">
        <f t="shared" si="26"/>
        <v>0</v>
      </c>
      <c r="AB591" s="178">
        <f t="shared" si="27"/>
        <v>0</v>
      </c>
      <c r="AH591" s="177">
        <f t="shared" si="25"/>
        <v>0</v>
      </c>
    </row>
    <row r="592" spans="23:34">
      <c r="W592" s="177">
        <f t="shared" si="26"/>
        <v>0</v>
      </c>
      <c r="AB592" s="178">
        <f t="shared" si="27"/>
        <v>0</v>
      </c>
      <c r="AH592" s="177">
        <f t="shared" si="25"/>
        <v>0</v>
      </c>
    </row>
    <row r="593" spans="23:34">
      <c r="W593" s="177">
        <f t="shared" si="26"/>
        <v>0</v>
      </c>
      <c r="AB593" s="178">
        <f t="shared" si="27"/>
        <v>0</v>
      </c>
      <c r="AH593" s="177">
        <f t="shared" si="25"/>
        <v>0</v>
      </c>
    </row>
    <row r="594" spans="23:34">
      <c r="W594" s="177">
        <f t="shared" si="26"/>
        <v>0</v>
      </c>
      <c r="AB594" s="178">
        <f t="shared" si="27"/>
        <v>0</v>
      </c>
      <c r="AH594" s="177">
        <f t="shared" si="25"/>
        <v>0</v>
      </c>
    </row>
    <row r="595" spans="23:34">
      <c r="W595" s="177">
        <f t="shared" si="26"/>
        <v>0</v>
      </c>
      <c r="AB595" s="178">
        <f t="shared" si="27"/>
        <v>0</v>
      </c>
      <c r="AH595" s="177">
        <f t="shared" si="25"/>
        <v>0</v>
      </c>
    </row>
    <row r="596" spans="23:34">
      <c r="W596" s="177">
        <f t="shared" si="26"/>
        <v>0</v>
      </c>
      <c r="AB596" s="178">
        <f t="shared" si="27"/>
        <v>0</v>
      </c>
      <c r="AH596" s="177">
        <f t="shared" si="25"/>
        <v>0</v>
      </c>
    </row>
    <row r="597" spans="23:34">
      <c r="W597" s="177">
        <f t="shared" si="26"/>
        <v>0</v>
      </c>
      <c r="AB597" s="178">
        <f t="shared" si="27"/>
        <v>0</v>
      </c>
      <c r="AH597" s="177">
        <f t="shared" si="25"/>
        <v>0</v>
      </c>
    </row>
    <row r="598" spans="23:34">
      <c r="W598" s="177">
        <f t="shared" si="26"/>
        <v>0</v>
      </c>
      <c r="AB598" s="178">
        <f t="shared" si="27"/>
        <v>0</v>
      </c>
      <c r="AH598" s="177">
        <f t="shared" si="25"/>
        <v>0</v>
      </c>
    </row>
    <row r="599" spans="23:34">
      <c r="W599" s="177">
        <f t="shared" si="26"/>
        <v>0</v>
      </c>
      <c r="AB599" s="178">
        <f t="shared" si="27"/>
        <v>0</v>
      </c>
      <c r="AH599" s="177">
        <f t="shared" si="25"/>
        <v>0</v>
      </c>
    </row>
    <row r="600" spans="23:34">
      <c r="W600" s="177">
        <f t="shared" si="26"/>
        <v>0</v>
      </c>
      <c r="AB600" s="178">
        <f t="shared" si="27"/>
        <v>0</v>
      </c>
      <c r="AH600" s="177">
        <f t="shared" si="25"/>
        <v>0</v>
      </c>
    </row>
    <row r="601" spans="23:34">
      <c r="W601" s="177">
        <f t="shared" si="26"/>
        <v>0</v>
      </c>
      <c r="AB601" s="178">
        <f t="shared" si="27"/>
        <v>0</v>
      </c>
      <c r="AH601" s="177">
        <f t="shared" si="25"/>
        <v>0</v>
      </c>
    </row>
    <row r="602" spans="23:34">
      <c r="W602" s="177">
        <f t="shared" si="26"/>
        <v>0</v>
      </c>
      <c r="AB602" s="178">
        <f t="shared" si="27"/>
        <v>0</v>
      </c>
      <c r="AH602" s="177">
        <f t="shared" si="25"/>
        <v>0</v>
      </c>
    </row>
    <row r="603" spans="23:34">
      <c r="W603" s="177">
        <f t="shared" si="26"/>
        <v>0</v>
      </c>
      <c r="AB603" s="178">
        <f t="shared" si="27"/>
        <v>0</v>
      </c>
      <c r="AH603" s="177">
        <f t="shared" si="25"/>
        <v>0</v>
      </c>
    </row>
    <row r="604" spans="23:34">
      <c r="W604" s="177">
        <f t="shared" si="26"/>
        <v>0</v>
      </c>
      <c r="AB604" s="178">
        <f t="shared" si="27"/>
        <v>0</v>
      </c>
      <c r="AH604" s="177">
        <f t="shared" si="25"/>
        <v>0</v>
      </c>
    </row>
    <row r="605" spans="23:34">
      <c r="W605" s="177">
        <f t="shared" si="26"/>
        <v>0</v>
      </c>
      <c r="AB605" s="178">
        <f t="shared" si="27"/>
        <v>0</v>
      </c>
      <c r="AH605" s="177">
        <f t="shared" si="25"/>
        <v>0</v>
      </c>
    </row>
    <row r="606" spans="23:34">
      <c r="W606" s="177">
        <f t="shared" si="26"/>
        <v>0</v>
      </c>
      <c r="AB606" s="178">
        <f t="shared" si="27"/>
        <v>0</v>
      </c>
      <c r="AH606" s="177">
        <f t="shared" si="25"/>
        <v>0</v>
      </c>
    </row>
    <row r="607" spans="23:34">
      <c r="W607" s="177">
        <f t="shared" si="26"/>
        <v>0</v>
      </c>
      <c r="AB607" s="178">
        <f t="shared" si="27"/>
        <v>0</v>
      </c>
      <c r="AH607" s="177">
        <f t="shared" si="25"/>
        <v>0</v>
      </c>
    </row>
    <row r="608" spans="23:34">
      <c r="W608" s="177">
        <f t="shared" si="26"/>
        <v>0</v>
      </c>
      <c r="AB608" s="178">
        <f t="shared" si="27"/>
        <v>0</v>
      </c>
      <c r="AH608" s="177">
        <f t="shared" si="25"/>
        <v>0</v>
      </c>
    </row>
    <row r="609" spans="23:34">
      <c r="W609" s="177">
        <f t="shared" si="26"/>
        <v>0</v>
      </c>
      <c r="AB609" s="178">
        <f t="shared" si="27"/>
        <v>0</v>
      </c>
      <c r="AH609" s="177">
        <f t="shared" si="25"/>
        <v>0</v>
      </c>
    </row>
    <row r="610" spans="23:34">
      <c r="W610" s="177">
        <f t="shared" si="26"/>
        <v>0</v>
      </c>
      <c r="AB610" s="178">
        <f t="shared" si="27"/>
        <v>0</v>
      </c>
      <c r="AH610" s="177">
        <f t="shared" si="25"/>
        <v>0</v>
      </c>
    </row>
    <row r="611" spans="23:34">
      <c r="W611" s="177">
        <f t="shared" si="26"/>
        <v>0</v>
      </c>
      <c r="AB611" s="178">
        <f t="shared" si="27"/>
        <v>0</v>
      </c>
      <c r="AH611" s="177">
        <f t="shared" si="25"/>
        <v>0</v>
      </c>
    </row>
    <row r="612" spans="23:34">
      <c r="W612" s="177">
        <f t="shared" si="26"/>
        <v>0</v>
      </c>
      <c r="AB612" s="178">
        <f t="shared" si="27"/>
        <v>0</v>
      </c>
      <c r="AH612" s="177">
        <f t="shared" si="25"/>
        <v>0</v>
      </c>
    </row>
    <row r="613" spans="23:34">
      <c r="W613" s="177">
        <f t="shared" si="26"/>
        <v>0</v>
      </c>
      <c r="AB613" s="178">
        <f t="shared" si="27"/>
        <v>0</v>
      </c>
      <c r="AH613" s="177">
        <f t="shared" si="25"/>
        <v>0</v>
      </c>
    </row>
    <row r="614" spans="23:34">
      <c r="W614" s="177">
        <f t="shared" si="26"/>
        <v>0</v>
      </c>
      <c r="AB614" s="178">
        <f t="shared" si="27"/>
        <v>0</v>
      </c>
      <c r="AH614" s="177">
        <f t="shared" si="25"/>
        <v>0</v>
      </c>
    </row>
    <row r="615" spans="23:34">
      <c r="W615" s="177">
        <f t="shared" si="26"/>
        <v>0</v>
      </c>
      <c r="AB615" s="178">
        <f t="shared" si="27"/>
        <v>0</v>
      </c>
      <c r="AH615" s="177">
        <f t="shared" si="25"/>
        <v>0</v>
      </c>
    </row>
    <row r="616" spans="23:34">
      <c r="W616" s="177">
        <f t="shared" si="26"/>
        <v>0</v>
      </c>
      <c r="AB616" s="178">
        <f t="shared" si="27"/>
        <v>0</v>
      </c>
      <c r="AH616" s="177">
        <f t="shared" si="25"/>
        <v>0</v>
      </c>
    </row>
    <row r="617" spans="23:34">
      <c r="W617" s="177">
        <f t="shared" si="26"/>
        <v>0</v>
      </c>
      <c r="AB617" s="178">
        <f t="shared" si="27"/>
        <v>0</v>
      </c>
      <c r="AH617" s="177">
        <f t="shared" si="25"/>
        <v>0</v>
      </c>
    </row>
    <row r="618" spans="23:34">
      <c r="W618" s="177">
        <f t="shared" si="26"/>
        <v>0</v>
      </c>
      <c r="AB618" s="178">
        <f t="shared" si="27"/>
        <v>0</v>
      </c>
      <c r="AH618" s="177">
        <f t="shared" si="25"/>
        <v>0</v>
      </c>
    </row>
    <row r="619" spans="23:34">
      <c r="W619" s="177">
        <f t="shared" si="26"/>
        <v>0</v>
      </c>
      <c r="AB619" s="178">
        <f t="shared" si="27"/>
        <v>0</v>
      </c>
      <c r="AH619" s="177">
        <f t="shared" si="25"/>
        <v>0</v>
      </c>
    </row>
    <row r="620" spans="23:34">
      <c r="W620" s="177">
        <f t="shared" si="26"/>
        <v>0</v>
      </c>
      <c r="AB620" s="178">
        <f t="shared" si="27"/>
        <v>0</v>
      </c>
      <c r="AH620" s="177">
        <f t="shared" si="25"/>
        <v>0</v>
      </c>
    </row>
    <row r="621" spans="23:34">
      <c r="W621" s="177">
        <f t="shared" si="26"/>
        <v>0</v>
      </c>
      <c r="AB621" s="178">
        <f t="shared" si="27"/>
        <v>0</v>
      </c>
      <c r="AH621" s="177">
        <f t="shared" si="25"/>
        <v>0</v>
      </c>
    </row>
    <row r="622" spans="23:34">
      <c r="W622" s="177">
        <f t="shared" si="26"/>
        <v>0</v>
      </c>
      <c r="AB622" s="178">
        <f t="shared" si="27"/>
        <v>0</v>
      </c>
      <c r="AH622" s="177">
        <f t="shared" si="25"/>
        <v>0</v>
      </c>
    </row>
    <row r="623" spans="23:34">
      <c r="W623" s="177">
        <f t="shared" si="26"/>
        <v>0</v>
      </c>
      <c r="AB623" s="178">
        <f t="shared" si="27"/>
        <v>0</v>
      </c>
      <c r="AH623" s="177">
        <f t="shared" si="25"/>
        <v>0</v>
      </c>
    </row>
    <row r="624" spans="23:34">
      <c r="W624" s="177">
        <f t="shared" si="26"/>
        <v>0</v>
      </c>
      <c r="AB624" s="178">
        <f t="shared" si="27"/>
        <v>0</v>
      </c>
      <c r="AH624" s="177">
        <f t="shared" ref="AH624:AH687" si="28">SUM(AF624:AG624)</f>
        <v>0</v>
      </c>
    </row>
    <row r="625" spans="23:34">
      <c r="W625" s="177">
        <f t="shared" si="26"/>
        <v>0</v>
      </c>
      <c r="AB625" s="178">
        <f t="shared" si="27"/>
        <v>0</v>
      </c>
      <c r="AH625" s="177">
        <f t="shared" si="28"/>
        <v>0</v>
      </c>
    </row>
    <row r="626" spans="23:34">
      <c r="W626" s="177">
        <f t="shared" si="26"/>
        <v>0</v>
      </c>
      <c r="AB626" s="178">
        <f t="shared" si="27"/>
        <v>0</v>
      </c>
      <c r="AH626" s="177">
        <f t="shared" si="28"/>
        <v>0</v>
      </c>
    </row>
    <row r="627" spans="23:34">
      <c r="W627" s="177">
        <f t="shared" ref="W627:W690" si="29">SUM(Q627:T627)</f>
        <v>0</v>
      </c>
      <c r="AB627" s="178">
        <f t="shared" si="27"/>
        <v>0</v>
      </c>
      <c r="AH627" s="177">
        <f t="shared" si="28"/>
        <v>0</v>
      </c>
    </row>
    <row r="628" spans="23:34">
      <c r="W628" s="177">
        <f t="shared" si="29"/>
        <v>0</v>
      </c>
      <c r="AB628" s="178">
        <f t="shared" si="27"/>
        <v>0</v>
      </c>
      <c r="AH628" s="177">
        <f t="shared" si="28"/>
        <v>0</v>
      </c>
    </row>
    <row r="629" spans="23:34">
      <c r="W629" s="177">
        <f t="shared" si="29"/>
        <v>0</v>
      </c>
      <c r="AB629" s="178">
        <f t="shared" si="27"/>
        <v>0</v>
      </c>
      <c r="AH629" s="177">
        <f t="shared" si="28"/>
        <v>0</v>
      </c>
    </row>
    <row r="630" spans="23:34">
      <c r="W630" s="177">
        <f t="shared" si="29"/>
        <v>0</v>
      </c>
      <c r="AB630" s="178">
        <f t="shared" si="27"/>
        <v>0</v>
      </c>
      <c r="AH630" s="177">
        <f t="shared" si="28"/>
        <v>0</v>
      </c>
    </row>
    <row r="631" spans="23:34">
      <c r="W631" s="177">
        <f t="shared" si="29"/>
        <v>0</v>
      </c>
      <c r="AB631" s="178">
        <f t="shared" si="27"/>
        <v>0</v>
      </c>
      <c r="AH631" s="177">
        <f t="shared" si="28"/>
        <v>0</v>
      </c>
    </row>
    <row r="632" spans="23:34">
      <c r="W632" s="177">
        <f t="shared" si="29"/>
        <v>0</v>
      </c>
      <c r="AB632" s="178">
        <f t="shared" si="27"/>
        <v>0</v>
      </c>
      <c r="AH632" s="177">
        <f t="shared" si="28"/>
        <v>0</v>
      </c>
    </row>
    <row r="633" spans="23:34">
      <c r="W633" s="177">
        <f t="shared" si="29"/>
        <v>0</v>
      </c>
      <c r="AB633" s="178">
        <f t="shared" si="27"/>
        <v>0</v>
      </c>
      <c r="AH633" s="177">
        <f t="shared" si="28"/>
        <v>0</v>
      </c>
    </row>
    <row r="634" spans="23:34">
      <c r="W634" s="177">
        <f t="shared" si="29"/>
        <v>0</v>
      </c>
      <c r="AB634" s="178">
        <f t="shared" si="27"/>
        <v>0</v>
      </c>
      <c r="AH634" s="177">
        <f t="shared" si="28"/>
        <v>0</v>
      </c>
    </row>
    <row r="635" spans="23:34">
      <c r="W635" s="177">
        <f t="shared" si="29"/>
        <v>0</v>
      </c>
      <c r="AB635" s="178">
        <f t="shared" ref="AB635:AB698" si="30">SUM(Z635:AA635)</f>
        <v>0</v>
      </c>
      <c r="AH635" s="177">
        <f t="shared" si="28"/>
        <v>0</v>
      </c>
    </row>
    <row r="636" spans="23:34">
      <c r="W636" s="177">
        <f t="shared" si="29"/>
        <v>0</v>
      </c>
      <c r="AB636" s="178">
        <f t="shared" si="30"/>
        <v>0</v>
      </c>
      <c r="AH636" s="177">
        <f t="shared" si="28"/>
        <v>0</v>
      </c>
    </row>
    <row r="637" spans="23:34">
      <c r="W637" s="177">
        <f t="shared" si="29"/>
        <v>0</v>
      </c>
      <c r="AB637" s="178">
        <f t="shared" si="30"/>
        <v>0</v>
      </c>
      <c r="AH637" s="177">
        <f t="shared" si="28"/>
        <v>0</v>
      </c>
    </row>
    <row r="638" spans="23:34">
      <c r="W638" s="177">
        <f t="shared" si="29"/>
        <v>0</v>
      </c>
      <c r="AB638" s="178">
        <f t="shared" si="30"/>
        <v>0</v>
      </c>
      <c r="AH638" s="177">
        <f t="shared" si="28"/>
        <v>0</v>
      </c>
    </row>
    <row r="639" spans="23:34">
      <c r="W639" s="177">
        <f t="shared" si="29"/>
        <v>0</v>
      </c>
      <c r="AB639" s="178">
        <f t="shared" si="30"/>
        <v>0</v>
      </c>
      <c r="AH639" s="177">
        <f t="shared" si="28"/>
        <v>0</v>
      </c>
    </row>
    <row r="640" spans="23:34">
      <c r="W640" s="177">
        <f t="shared" si="29"/>
        <v>0</v>
      </c>
      <c r="AB640" s="178">
        <f t="shared" si="30"/>
        <v>0</v>
      </c>
      <c r="AH640" s="177">
        <f t="shared" si="28"/>
        <v>0</v>
      </c>
    </row>
    <row r="641" spans="23:34">
      <c r="W641" s="177">
        <f t="shared" si="29"/>
        <v>0</v>
      </c>
      <c r="AB641" s="178">
        <f t="shared" si="30"/>
        <v>0</v>
      </c>
      <c r="AH641" s="177">
        <f t="shared" si="28"/>
        <v>0</v>
      </c>
    </row>
    <row r="642" spans="23:34">
      <c r="W642" s="177">
        <f t="shared" si="29"/>
        <v>0</v>
      </c>
      <c r="AB642" s="178">
        <f t="shared" si="30"/>
        <v>0</v>
      </c>
      <c r="AH642" s="177">
        <f t="shared" si="28"/>
        <v>0</v>
      </c>
    </row>
    <row r="643" spans="23:34">
      <c r="W643" s="177">
        <f t="shared" si="29"/>
        <v>0</v>
      </c>
      <c r="AB643" s="178">
        <f t="shared" si="30"/>
        <v>0</v>
      </c>
      <c r="AH643" s="177">
        <f t="shared" si="28"/>
        <v>0</v>
      </c>
    </row>
    <row r="644" spans="23:34">
      <c r="W644" s="177">
        <f t="shared" si="29"/>
        <v>0</v>
      </c>
      <c r="AB644" s="178">
        <f t="shared" si="30"/>
        <v>0</v>
      </c>
      <c r="AH644" s="177">
        <f t="shared" si="28"/>
        <v>0</v>
      </c>
    </row>
    <row r="645" spans="23:34">
      <c r="W645" s="177">
        <f t="shared" si="29"/>
        <v>0</v>
      </c>
      <c r="AB645" s="178">
        <f t="shared" si="30"/>
        <v>0</v>
      </c>
      <c r="AH645" s="177">
        <f t="shared" si="28"/>
        <v>0</v>
      </c>
    </row>
    <row r="646" spans="23:34">
      <c r="W646" s="177">
        <f t="shared" si="29"/>
        <v>0</v>
      </c>
      <c r="AB646" s="178">
        <f t="shared" si="30"/>
        <v>0</v>
      </c>
      <c r="AH646" s="177">
        <f t="shared" si="28"/>
        <v>0</v>
      </c>
    </row>
    <row r="647" spans="23:34">
      <c r="W647" s="177">
        <f t="shared" si="29"/>
        <v>0</v>
      </c>
      <c r="AB647" s="178">
        <f t="shared" si="30"/>
        <v>0</v>
      </c>
      <c r="AH647" s="177">
        <f t="shared" si="28"/>
        <v>0</v>
      </c>
    </row>
    <row r="648" spans="23:34">
      <c r="W648" s="177">
        <f t="shared" si="29"/>
        <v>0</v>
      </c>
      <c r="AB648" s="178">
        <f t="shared" si="30"/>
        <v>0</v>
      </c>
      <c r="AH648" s="177">
        <f t="shared" si="28"/>
        <v>0</v>
      </c>
    </row>
    <row r="649" spans="23:34">
      <c r="W649" s="177">
        <f t="shared" si="29"/>
        <v>0</v>
      </c>
      <c r="AB649" s="178">
        <f t="shared" si="30"/>
        <v>0</v>
      </c>
      <c r="AH649" s="177">
        <f t="shared" si="28"/>
        <v>0</v>
      </c>
    </row>
    <row r="650" spans="23:34">
      <c r="W650" s="177">
        <f t="shared" si="29"/>
        <v>0</v>
      </c>
      <c r="AB650" s="178">
        <f t="shared" si="30"/>
        <v>0</v>
      </c>
      <c r="AH650" s="177">
        <f t="shared" si="28"/>
        <v>0</v>
      </c>
    </row>
    <row r="651" spans="23:34">
      <c r="W651" s="177">
        <f t="shared" si="29"/>
        <v>0</v>
      </c>
      <c r="AB651" s="178">
        <f t="shared" si="30"/>
        <v>0</v>
      </c>
      <c r="AH651" s="177">
        <f t="shared" si="28"/>
        <v>0</v>
      </c>
    </row>
    <row r="652" spans="23:34">
      <c r="W652" s="177">
        <f t="shared" si="29"/>
        <v>0</v>
      </c>
      <c r="AB652" s="178">
        <f t="shared" si="30"/>
        <v>0</v>
      </c>
      <c r="AH652" s="177">
        <f t="shared" si="28"/>
        <v>0</v>
      </c>
    </row>
    <row r="653" spans="23:34">
      <c r="W653" s="177">
        <f t="shared" si="29"/>
        <v>0</v>
      </c>
      <c r="AB653" s="178">
        <f t="shared" si="30"/>
        <v>0</v>
      </c>
      <c r="AH653" s="177">
        <f t="shared" si="28"/>
        <v>0</v>
      </c>
    </row>
    <row r="654" spans="23:34">
      <c r="W654" s="177">
        <f t="shared" si="29"/>
        <v>0</v>
      </c>
      <c r="AB654" s="178">
        <f t="shared" si="30"/>
        <v>0</v>
      </c>
      <c r="AH654" s="177">
        <f t="shared" si="28"/>
        <v>0</v>
      </c>
    </row>
    <row r="655" spans="23:34">
      <c r="W655" s="177">
        <f t="shared" si="29"/>
        <v>0</v>
      </c>
      <c r="AB655" s="178">
        <f t="shared" si="30"/>
        <v>0</v>
      </c>
      <c r="AH655" s="177">
        <f t="shared" si="28"/>
        <v>0</v>
      </c>
    </row>
    <row r="656" spans="23:34">
      <c r="W656" s="177">
        <f t="shared" si="29"/>
        <v>0</v>
      </c>
      <c r="AB656" s="178">
        <f t="shared" si="30"/>
        <v>0</v>
      </c>
      <c r="AH656" s="177">
        <f t="shared" si="28"/>
        <v>0</v>
      </c>
    </row>
    <row r="657" spans="23:34">
      <c r="W657" s="177">
        <f t="shared" si="29"/>
        <v>0</v>
      </c>
      <c r="AB657" s="178">
        <f t="shared" si="30"/>
        <v>0</v>
      </c>
      <c r="AH657" s="177">
        <f t="shared" si="28"/>
        <v>0</v>
      </c>
    </row>
    <row r="658" spans="23:34">
      <c r="W658" s="177">
        <f t="shared" si="29"/>
        <v>0</v>
      </c>
      <c r="AB658" s="178">
        <f t="shared" si="30"/>
        <v>0</v>
      </c>
      <c r="AH658" s="177">
        <f t="shared" si="28"/>
        <v>0</v>
      </c>
    </row>
    <row r="659" spans="23:34">
      <c r="W659" s="177">
        <f t="shared" si="29"/>
        <v>0</v>
      </c>
      <c r="AB659" s="178">
        <f t="shared" si="30"/>
        <v>0</v>
      </c>
      <c r="AH659" s="177">
        <f t="shared" si="28"/>
        <v>0</v>
      </c>
    </row>
    <row r="660" spans="23:34">
      <c r="W660" s="177">
        <f t="shared" si="29"/>
        <v>0</v>
      </c>
      <c r="AB660" s="178">
        <f t="shared" si="30"/>
        <v>0</v>
      </c>
      <c r="AH660" s="177">
        <f t="shared" si="28"/>
        <v>0</v>
      </c>
    </row>
    <row r="661" spans="23:34">
      <c r="W661" s="177">
        <f t="shared" si="29"/>
        <v>0</v>
      </c>
      <c r="AB661" s="178">
        <f t="shared" si="30"/>
        <v>0</v>
      </c>
      <c r="AH661" s="177">
        <f t="shared" si="28"/>
        <v>0</v>
      </c>
    </row>
    <row r="662" spans="23:34">
      <c r="W662" s="177">
        <f t="shared" si="29"/>
        <v>0</v>
      </c>
      <c r="AB662" s="178">
        <f t="shared" si="30"/>
        <v>0</v>
      </c>
      <c r="AH662" s="177">
        <f t="shared" si="28"/>
        <v>0</v>
      </c>
    </row>
    <row r="663" spans="23:34">
      <c r="W663" s="177">
        <f t="shared" si="29"/>
        <v>0</v>
      </c>
      <c r="AB663" s="178">
        <f t="shared" si="30"/>
        <v>0</v>
      </c>
      <c r="AH663" s="177">
        <f t="shared" si="28"/>
        <v>0</v>
      </c>
    </row>
    <row r="664" spans="23:34">
      <c r="W664" s="177">
        <f t="shared" si="29"/>
        <v>0</v>
      </c>
      <c r="AB664" s="178">
        <f t="shared" si="30"/>
        <v>0</v>
      </c>
      <c r="AH664" s="177">
        <f t="shared" si="28"/>
        <v>0</v>
      </c>
    </row>
    <row r="665" spans="23:34">
      <c r="W665" s="177">
        <f t="shared" si="29"/>
        <v>0</v>
      </c>
      <c r="AB665" s="178">
        <f t="shared" si="30"/>
        <v>0</v>
      </c>
      <c r="AH665" s="177">
        <f t="shared" si="28"/>
        <v>0</v>
      </c>
    </row>
    <row r="666" spans="23:34">
      <c r="W666" s="177">
        <f t="shared" si="29"/>
        <v>0</v>
      </c>
      <c r="AB666" s="178">
        <f t="shared" si="30"/>
        <v>0</v>
      </c>
      <c r="AH666" s="177">
        <f t="shared" si="28"/>
        <v>0</v>
      </c>
    </row>
    <row r="667" spans="23:34">
      <c r="W667" s="177">
        <f t="shared" si="29"/>
        <v>0</v>
      </c>
      <c r="AB667" s="178">
        <f t="shared" si="30"/>
        <v>0</v>
      </c>
      <c r="AH667" s="177">
        <f t="shared" si="28"/>
        <v>0</v>
      </c>
    </row>
    <row r="668" spans="23:34">
      <c r="W668" s="177">
        <f t="shared" si="29"/>
        <v>0</v>
      </c>
      <c r="AB668" s="178">
        <f t="shared" si="30"/>
        <v>0</v>
      </c>
      <c r="AH668" s="177">
        <f t="shared" si="28"/>
        <v>0</v>
      </c>
    </row>
    <row r="669" spans="23:34">
      <c r="W669" s="177">
        <f t="shared" si="29"/>
        <v>0</v>
      </c>
      <c r="AB669" s="178">
        <f t="shared" si="30"/>
        <v>0</v>
      </c>
      <c r="AH669" s="177">
        <f t="shared" si="28"/>
        <v>0</v>
      </c>
    </row>
    <row r="670" spans="23:34">
      <c r="W670" s="177">
        <f t="shared" si="29"/>
        <v>0</v>
      </c>
      <c r="AB670" s="178">
        <f t="shared" si="30"/>
        <v>0</v>
      </c>
      <c r="AH670" s="177">
        <f t="shared" si="28"/>
        <v>0</v>
      </c>
    </row>
    <row r="671" spans="23:34">
      <c r="W671" s="177">
        <f t="shared" si="29"/>
        <v>0</v>
      </c>
      <c r="AB671" s="178">
        <f t="shared" si="30"/>
        <v>0</v>
      </c>
      <c r="AH671" s="177">
        <f t="shared" si="28"/>
        <v>0</v>
      </c>
    </row>
    <row r="672" spans="23:34">
      <c r="W672" s="177">
        <f t="shared" si="29"/>
        <v>0</v>
      </c>
      <c r="AB672" s="178">
        <f t="shared" si="30"/>
        <v>0</v>
      </c>
      <c r="AH672" s="177">
        <f t="shared" si="28"/>
        <v>0</v>
      </c>
    </row>
    <row r="673" spans="23:34">
      <c r="W673" s="177">
        <f t="shared" si="29"/>
        <v>0</v>
      </c>
      <c r="AB673" s="178">
        <f t="shared" si="30"/>
        <v>0</v>
      </c>
      <c r="AH673" s="177">
        <f t="shared" si="28"/>
        <v>0</v>
      </c>
    </row>
    <row r="674" spans="23:34">
      <c r="W674" s="177">
        <f t="shared" si="29"/>
        <v>0</v>
      </c>
      <c r="AB674" s="178">
        <f t="shared" si="30"/>
        <v>0</v>
      </c>
      <c r="AH674" s="177">
        <f t="shared" si="28"/>
        <v>0</v>
      </c>
    </row>
    <row r="675" spans="23:34">
      <c r="W675" s="177">
        <f t="shared" si="29"/>
        <v>0</v>
      </c>
      <c r="AB675" s="178">
        <f t="shared" si="30"/>
        <v>0</v>
      </c>
      <c r="AH675" s="177">
        <f t="shared" si="28"/>
        <v>0</v>
      </c>
    </row>
    <row r="676" spans="23:34">
      <c r="W676" s="177">
        <f t="shared" si="29"/>
        <v>0</v>
      </c>
      <c r="AB676" s="178">
        <f t="shared" si="30"/>
        <v>0</v>
      </c>
      <c r="AH676" s="177">
        <f t="shared" si="28"/>
        <v>0</v>
      </c>
    </row>
    <row r="677" spans="23:34">
      <c r="W677" s="177">
        <f t="shared" si="29"/>
        <v>0</v>
      </c>
      <c r="AB677" s="178">
        <f t="shared" si="30"/>
        <v>0</v>
      </c>
      <c r="AH677" s="177">
        <f t="shared" si="28"/>
        <v>0</v>
      </c>
    </row>
    <row r="678" spans="23:34">
      <c r="W678" s="177">
        <f t="shared" si="29"/>
        <v>0</v>
      </c>
      <c r="AB678" s="178">
        <f t="shared" si="30"/>
        <v>0</v>
      </c>
      <c r="AH678" s="177">
        <f t="shared" si="28"/>
        <v>0</v>
      </c>
    </row>
    <row r="679" spans="23:34">
      <c r="W679" s="177">
        <f t="shared" si="29"/>
        <v>0</v>
      </c>
      <c r="AB679" s="178">
        <f t="shared" si="30"/>
        <v>0</v>
      </c>
      <c r="AH679" s="177">
        <f t="shared" si="28"/>
        <v>0</v>
      </c>
    </row>
    <row r="680" spans="23:34">
      <c r="W680" s="177">
        <f t="shared" si="29"/>
        <v>0</v>
      </c>
      <c r="AB680" s="178">
        <f t="shared" si="30"/>
        <v>0</v>
      </c>
      <c r="AH680" s="177">
        <f t="shared" si="28"/>
        <v>0</v>
      </c>
    </row>
    <row r="681" spans="23:34">
      <c r="W681" s="177">
        <f t="shared" si="29"/>
        <v>0</v>
      </c>
      <c r="AB681" s="178">
        <f t="shared" si="30"/>
        <v>0</v>
      </c>
      <c r="AH681" s="177">
        <f t="shared" si="28"/>
        <v>0</v>
      </c>
    </row>
    <row r="682" spans="23:34">
      <c r="W682" s="177">
        <f t="shared" si="29"/>
        <v>0</v>
      </c>
      <c r="AB682" s="178">
        <f t="shared" si="30"/>
        <v>0</v>
      </c>
      <c r="AH682" s="177">
        <f t="shared" si="28"/>
        <v>0</v>
      </c>
    </row>
    <row r="683" spans="23:34">
      <c r="W683" s="177">
        <f t="shared" si="29"/>
        <v>0</v>
      </c>
      <c r="AB683" s="178">
        <f t="shared" si="30"/>
        <v>0</v>
      </c>
      <c r="AH683" s="177">
        <f t="shared" si="28"/>
        <v>0</v>
      </c>
    </row>
    <row r="684" spans="23:34">
      <c r="W684" s="177">
        <f t="shared" si="29"/>
        <v>0</v>
      </c>
      <c r="AB684" s="178">
        <f t="shared" si="30"/>
        <v>0</v>
      </c>
      <c r="AH684" s="177">
        <f t="shared" si="28"/>
        <v>0</v>
      </c>
    </row>
    <row r="685" spans="23:34">
      <c r="W685" s="177">
        <f t="shared" si="29"/>
        <v>0</v>
      </c>
      <c r="AB685" s="178">
        <f t="shared" si="30"/>
        <v>0</v>
      </c>
      <c r="AH685" s="177">
        <f t="shared" si="28"/>
        <v>0</v>
      </c>
    </row>
    <row r="686" spans="23:34">
      <c r="W686" s="177">
        <f t="shared" si="29"/>
        <v>0</v>
      </c>
      <c r="AB686" s="178">
        <f t="shared" si="30"/>
        <v>0</v>
      </c>
      <c r="AH686" s="177">
        <f t="shared" si="28"/>
        <v>0</v>
      </c>
    </row>
    <row r="687" spans="23:34">
      <c r="W687" s="177">
        <f t="shared" si="29"/>
        <v>0</v>
      </c>
      <c r="AB687" s="178">
        <f t="shared" si="30"/>
        <v>0</v>
      </c>
      <c r="AH687" s="177">
        <f t="shared" si="28"/>
        <v>0</v>
      </c>
    </row>
    <row r="688" spans="23:34">
      <c r="W688" s="177">
        <f t="shared" si="29"/>
        <v>0</v>
      </c>
      <c r="AB688" s="178">
        <f t="shared" si="30"/>
        <v>0</v>
      </c>
      <c r="AH688" s="177">
        <f t="shared" ref="AH688:AH751" si="31">SUM(AF688:AG688)</f>
        <v>0</v>
      </c>
    </row>
    <row r="689" spans="23:34">
      <c r="W689" s="177">
        <f t="shared" si="29"/>
        <v>0</v>
      </c>
      <c r="AB689" s="178">
        <f t="shared" si="30"/>
        <v>0</v>
      </c>
      <c r="AH689" s="177">
        <f t="shared" si="31"/>
        <v>0</v>
      </c>
    </row>
    <row r="690" spans="23:34">
      <c r="W690" s="177">
        <f t="shared" si="29"/>
        <v>0</v>
      </c>
      <c r="AB690" s="178">
        <f t="shared" si="30"/>
        <v>0</v>
      </c>
      <c r="AH690" s="177">
        <f t="shared" si="31"/>
        <v>0</v>
      </c>
    </row>
    <row r="691" spans="23:34">
      <c r="W691" s="177">
        <f t="shared" ref="W691:W754" si="32">SUM(Q691:T691)</f>
        <v>0</v>
      </c>
      <c r="AB691" s="178">
        <f t="shared" si="30"/>
        <v>0</v>
      </c>
      <c r="AH691" s="177">
        <f t="shared" si="31"/>
        <v>0</v>
      </c>
    </row>
    <row r="692" spans="23:34">
      <c r="W692" s="177">
        <f t="shared" si="32"/>
        <v>0</v>
      </c>
      <c r="AB692" s="178">
        <f t="shared" si="30"/>
        <v>0</v>
      </c>
      <c r="AH692" s="177">
        <f t="shared" si="31"/>
        <v>0</v>
      </c>
    </row>
    <row r="693" spans="23:34">
      <c r="W693" s="177">
        <f t="shared" si="32"/>
        <v>0</v>
      </c>
      <c r="AB693" s="178">
        <f t="shared" si="30"/>
        <v>0</v>
      </c>
      <c r="AH693" s="177">
        <f t="shared" si="31"/>
        <v>0</v>
      </c>
    </row>
    <row r="694" spans="23:34">
      <c r="W694" s="177">
        <f t="shared" si="32"/>
        <v>0</v>
      </c>
      <c r="AB694" s="178">
        <f t="shared" si="30"/>
        <v>0</v>
      </c>
      <c r="AH694" s="177">
        <f t="shared" si="31"/>
        <v>0</v>
      </c>
    </row>
    <row r="695" spans="23:34">
      <c r="W695" s="177">
        <f t="shared" si="32"/>
        <v>0</v>
      </c>
      <c r="AB695" s="178">
        <f t="shared" si="30"/>
        <v>0</v>
      </c>
      <c r="AH695" s="177">
        <f t="shared" si="31"/>
        <v>0</v>
      </c>
    </row>
    <row r="696" spans="23:34">
      <c r="W696" s="177">
        <f t="shared" si="32"/>
        <v>0</v>
      </c>
      <c r="AB696" s="178">
        <f t="shared" si="30"/>
        <v>0</v>
      </c>
      <c r="AH696" s="177">
        <f t="shared" si="31"/>
        <v>0</v>
      </c>
    </row>
    <row r="697" spans="23:34">
      <c r="W697" s="177">
        <f t="shared" si="32"/>
        <v>0</v>
      </c>
      <c r="AB697" s="178">
        <f t="shared" si="30"/>
        <v>0</v>
      </c>
      <c r="AH697" s="177">
        <f t="shared" si="31"/>
        <v>0</v>
      </c>
    </row>
    <row r="698" spans="23:34">
      <c r="W698" s="177">
        <f t="shared" si="32"/>
        <v>0</v>
      </c>
      <c r="AB698" s="178">
        <f t="shared" si="30"/>
        <v>0</v>
      </c>
      <c r="AH698" s="177">
        <f t="shared" si="31"/>
        <v>0</v>
      </c>
    </row>
    <row r="699" spans="23:34">
      <c r="W699" s="177">
        <f t="shared" si="32"/>
        <v>0</v>
      </c>
      <c r="AB699" s="178">
        <f t="shared" ref="AB699:AB762" si="33">SUM(Z699:AA699)</f>
        <v>0</v>
      </c>
      <c r="AH699" s="177">
        <f t="shared" si="31"/>
        <v>0</v>
      </c>
    </row>
    <row r="700" spans="23:34">
      <c r="W700" s="177">
        <f t="shared" si="32"/>
        <v>0</v>
      </c>
      <c r="AB700" s="178">
        <f t="shared" si="33"/>
        <v>0</v>
      </c>
      <c r="AH700" s="177">
        <f t="shared" si="31"/>
        <v>0</v>
      </c>
    </row>
    <row r="701" spans="23:34">
      <c r="W701" s="177">
        <f t="shared" si="32"/>
        <v>0</v>
      </c>
      <c r="AB701" s="178">
        <f t="shared" si="33"/>
        <v>0</v>
      </c>
      <c r="AH701" s="177">
        <f t="shared" si="31"/>
        <v>0</v>
      </c>
    </row>
    <row r="702" spans="23:34">
      <c r="W702" s="177">
        <f t="shared" si="32"/>
        <v>0</v>
      </c>
      <c r="AB702" s="178">
        <f t="shared" si="33"/>
        <v>0</v>
      </c>
      <c r="AH702" s="177">
        <f t="shared" si="31"/>
        <v>0</v>
      </c>
    </row>
    <row r="703" spans="23:34">
      <c r="W703" s="177">
        <f t="shared" si="32"/>
        <v>0</v>
      </c>
      <c r="AB703" s="178">
        <f t="shared" si="33"/>
        <v>0</v>
      </c>
      <c r="AH703" s="177">
        <f t="shared" si="31"/>
        <v>0</v>
      </c>
    </row>
    <row r="704" spans="23:34">
      <c r="W704" s="177">
        <f t="shared" si="32"/>
        <v>0</v>
      </c>
      <c r="AB704" s="178">
        <f t="shared" si="33"/>
        <v>0</v>
      </c>
      <c r="AH704" s="177">
        <f t="shared" si="31"/>
        <v>0</v>
      </c>
    </row>
    <row r="705" spans="23:34">
      <c r="W705" s="177">
        <f t="shared" si="32"/>
        <v>0</v>
      </c>
      <c r="AB705" s="178">
        <f t="shared" si="33"/>
        <v>0</v>
      </c>
      <c r="AH705" s="177">
        <f t="shared" si="31"/>
        <v>0</v>
      </c>
    </row>
    <row r="706" spans="23:34">
      <c r="W706" s="177">
        <f t="shared" si="32"/>
        <v>0</v>
      </c>
      <c r="AB706" s="178">
        <f t="shared" si="33"/>
        <v>0</v>
      </c>
      <c r="AH706" s="177">
        <f t="shared" si="31"/>
        <v>0</v>
      </c>
    </row>
    <row r="707" spans="23:34">
      <c r="W707" s="177">
        <f t="shared" si="32"/>
        <v>0</v>
      </c>
      <c r="AB707" s="178">
        <f t="shared" si="33"/>
        <v>0</v>
      </c>
      <c r="AH707" s="177">
        <f t="shared" si="31"/>
        <v>0</v>
      </c>
    </row>
    <row r="708" spans="23:34">
      <c r="W708" s="177">
        <f t="shared" si="32"/>
        <v>0</v>
      </c>
      <c r="AB708" s="178">
        <f t="shared" si="33"/>
        <v>0</v>
      </c>
      <c r="AH708" s="177">
        <f t="shared" si="31"/>
        <v>0</v>
      </c>
    </row>
    <row r="709" spans="23:34">
      <c r="W709" s="177">
        <f t="shared" si="32"/>
        <v>0</v>
      </c>
      <c r="AB709" s="178">
        <f t="shared" si="33"/>
        <v>0</v>
      </c>
      <c r="AH709" s="177">
        <f t="shared" si="31"/>
        <v>0</v>
      </c>
    </row>
    <row r="710" spans="23:34">
      <c r="W710" s="177">
        <f t="shared" si="32"/>
        <v>0</v>
      </c>
      <c r="AB710" s="178">
        <f t="shared" si="33"/>
        <v>0</v>
      </c>
      <c r="AH710" s="177">
        <f t="shared" si="31"/>
        <v>0</v>
      </c>
    </row>
    <row r="711" spans="23:34">
      <c r="W711" s="177">
        <f t="shared" si="32"/>
        <v>0</v>
      </c>
      <c r="AB711" s="178">
        <f t="shared" si="33"/>
        <v>0</v>
      </c>
      <c r="AH711" s="177">
        <f t="shared" si="31"/>
        <v>0</v>
      </c>
    </row>
    <row r="712" spans="23:34">
      <c r="W712" s="177">
        <f t="shared" si="32"/>
        <v>0</v>
      </c>
      <c r="AB712" s="178">
        <f t="shared" si="33"/>
        <v>0</v>
      </c>
      <c r="AH712" s="177">
        <f t="shared" si="31"/>
        <v>0</v>
      </c>
    </row>
    <row r="713" spans="23:34">
      <c r="W713" s="177">
        <f t="shared" si="32"/>
        <v>0</v>
      </c>
      <c r="AB713" s="178">
        <f t="shared" si="33"/>
        <v>0</v>
      </c>
      <c r="AH713" s="177">
        <f t="shared" si="31"/>
        <v>0</v>
      </c>
    </row>
    <row r="714" spans="23:34">
      <c r="W714" s="177">
        <f t="shared" si="32"/>
        <v>0</v>
      </c>
      <c r="AB714" s="178">
        <f t="shared" si="33"/>
        <v>0</v>
      </c>
      <c r="AH714" s="177">
        <f t="shared" si="31"/>
        <v>0</v>
      </c>
    </row>
    <row r="715" spans="23:34">
      <c r="W715" s="177">
        <f t="shared" si="32"/>
        <v>0</v>
      </c>
      <c r="AB715" s="178">
        <f t="shared" si="33"/>
        <v>0</v>
      </c>
      <c r="AH715" s="177">
        <f t="shared" si="31"/>
        <v>0</v>
      </c>
    </row>
    <row r="716" spans="23:34">
      <c r="W716" s="177">
        <f t="shared" si="32"/>
        <v>0</v>
      </c>
      <c r="AB716" s="178">
        <f t="shared" si="33"/>
        <v>0</v>
      </c>
      <c r="AH716" s="177">
        <f t="shared" si="31"/>
        <v>0</v>
      </c>
    </row>
    <row r="717" spans="23:34">
      <c r="W717" s="177">
        <f t="shared" si="32"/>
        <v>0</v>
      </c>
      <c r="AB717" s="178">
        <f t="shared" si="33"/>
        <v>0</v>
      </c>
      <c r="AH717" s="177">
        <f t="shared" si="31"/>
        <v>0</v>
      </c>
    </row>
    <row r="718" spans="23:34">
      <c r="W718" s="177">
        <f t="shared" si="32"/>
        <v>0</v>
      </c>
      <c r="AB718" s="178">
        <f t="shared" si="33"/>
        <v>0</v>
      </c>
      <c r="AH718" s="177">
        <f t="shared" si="31"/>
        <v>0</v>
      </c>
    </row>
    <row r="719" spans="23:34">
      <c r="W719" s="177">
        <f t="shared" si="32"/>
        <v>0</v>
      </c>
      <c r="AB719" s="178">
        <f t="shared" si="33"/>
        <v>0</v>
      </c>
      <c r="AH719" s="177">
        <f t="shared" si="31"/>
        <v>0</v>
      </c>
    </row>
    <row r="720" spans="23:34">
      <c r="W720" s="177">
        <f t="shared" si="32"/>
        <v>0</v>
      </c>
      <c r="AB720" s="178">
        <f t="shared" si="33"/>
        <v>0</v>
      </c>
      <c r="AH720" s="177">
        <f t="shared" si="31"/>
        <v>0</v>
      </c>
    </row>
    <row r="721" spans="23:34">
      <c r="W721" s="177">
        <f t="shared" si="32"/>
        <v>0</v>
      </c>
      <c r="AB721" s="178">
        <f t="shared" si="33"/>
        <v>0</v>
      </c>
      <c r="AH721" s="177">
        <f t="shared" si="31"/>
        <v>0</v>
      </c>
    </row>
    <row r="722" spans="23:34">
      <c r="W722" s="177">
        <f t="shared" si="32"/>
        <v>0</v>
      </c>
      <c r="AB722" s="178">
        <f t="shared" si="33"/>
        <v>0</v>
      </c>
      <c r="AH722" s="177">
        <f t="shared" si="31"/>
        <v>0</v>
      </c>
    </row>
    <row r="723" spans="23:34">
      <c r="W723" s="177">
        <f t="shared" si="32"/>
        <v>0</v>
      </c>
      <c r="AB723" s="178">
        <f t="shared" si="33"/>
        <v>0</v>
      </c>
      <c r="AH723" s="177">
        <f t="shared" si="31"/>
        <v>0</v>
      </c>
    </row>
    <row r="724" spans="23:34">
      <c r="W724" s="177">
        <f t="shared" si="32"/>
        <v>0</v>
      </c>
      <c r="AB724" s="178">
        <f t="shared" si="33"/>
        <v>0</v>
      </c>
      <c r="AH724" s="177">
        <f t="shared" si="31"/>
        <v>0</v>
      </c>
    </row>
    <row r="725" spans="23:34">
      <c r="W725" s="177">
        <f t="shared" si="32"/>
        <v>0</v>
      </c>
      <c r="AB725" s="178">
        <f t="shared" si="33"/>
        <v>0</v>
      </c>
      <c r="AH725" s="177">
        <f t="shared" si="31"/>
        <v>0</v>
      </c>
    </row>
    <row r="726" spans="23:34">
      <c r="W726" s="177">
        <f t="shared" si="32"/>
        <v>0</v>
      </c>
      <c r="AB726" s="178">
        <f t="shared" si="33"/>
        <v>0</v>
      </c>
      <c r="AH726" s="177">
        <f t="shared" si="31"/>
        <v>0</v>
      </c>
    </row>
    <row r="727" spans="23:34">
      <c r="W727" s="177">
        <f t="shared" si="32"/>
        <v>0</v>
      </c>
      <c r="AB727" s="178">
        <f t="shared" si="33"/>
        <v>0</v>
      </c>
      <c r="AH727" s="177">
        <f t="shared" si="31"/>
        <v>0</v>
      </c>
    </row>
    <row r="728" spans="23:34">
      <c r="W728" s="177">
        <f t="shared" si="32"/>
        <v>0</v>
      </c>
      <c r="AB728" s="178">
        <f t="shared" si="33"/>
        <v>0</v>
      </c>
      <c r="AH728" s="177">
        <f t="shared" si="31"/>
        <v>0</v>
      </c>
    </row>
    <row r="729" spans="23:34">
      <c r="W729" s="177">
        <f t="shared" si="32"/>
        <v>0</v>
      </c>
      <c r="AB729" s="178">
        <f t="shared" si="33"/>
        <v>0</v>
      </c>
      <c r="AH729" s="177">
        <f t="shared" si="31"/>
        <v>0</v>
      </c>
    </row>
    <row r="730" spans="23:34">
      <c r="W730" s="177">
        <f t="shared" si="32"/>
        <v>0</v>
      </c>
      <c r="AB730" s="178">
        <f t="shared" si="33"/>
        <v>0</v>
      </c>
      <c r="AH730" s="177">
        <f t="shared" si="31"/>
        <v>0</v>
      </c>
    </row>
    <row r="731" spans="23:34">
      <c r="W731" s="177">
        <f t="shared" si="32"/>
        <v>0</v>
      </c>
      <c r="AB731" s="178">
        <f t="shared" si="33"/>
        <v>0</v>
      </c>
      <c r="AH731" s="177">
        <f t="shared" si="31"/>
        <v>0</v>
      </c>
    </row>
    <row r="732" spans="23:34">
      <c r="W732" s="177">
        <f t="shared" si="32"/>
        <v>0</v>
      </c>
      <c r="AB732" s="178">
        <f t="shared" si="33"/>
        <v>0</v>
      </c>
      <c r="AH732" s="177">
        <f t="shared" si="31"/>
        <v>0</v>
      </c>
    </row>
    <row r="733" spans="23:34">
      <c r="W733" s="177">
        <f t="shared" si="32"/>
        <v>0</v>
      </c>
      <c r="AB733" s="178">
        <f t="shared" si="33"/>
        <v>0</v>
      </c>
      <c r="AH733" s="177">
        <f t="shared" si="31"/>
        <v>0</v>
      </c>
    </row>
    <row r="734" spans="23:34">
      <c r="W734" s="177">
        <f t="shared" si="32"/>
        <v>0</v>
      </c>
      <c r="AB734" s="178">
        <f t="shared" si="33"/>
        <v>0</v>
      </c>
      <c r="AH734" s="177">
        <f t="shared" si="31"/>
        <v>0</v>
      </c>
    </row>
    <row r="735" spans="23:34">
      <c r="W735" s="177">
        <f t="shared" si="32"/>
        <v>0</v>
      </c>
      <c r="AB735" s="178">
        <f t="shared" si="33"/>
        <v>0</v>
      </c>
      <c r="AH735" s="177">
        <f t="shared" si="31"/>
        <v>0</v>
      </c>
    </row>
    <row r="736" spans="23:34">
      <c r="W736" s="177">
        <f t="shared" si="32"/>
        <v>0</v>
      </c>
      <c r="AB736" s="178">
        <f t="shared" si="33"/>
        <v>0</v>
      </c>
      <c r="AH736" s="177">
        <f t="shared" si="31"/>
        <v>0</v>
      </c>
    </row>
    <row r="737" spans="23:34">
      <c r="W737" s="177">
        <f t="shared" si="32"/>
        <v>0</v>
      </c>
      <c r="AB737" s="178">
        <f t="shared" si="33"/>
        <v>0</v>
      </c>
      <c r="AH737" s="177">
        <f t="shared" si="31"/>
        <v>0</v>
      </c>
    </row>
    <row r="738" spans="23:34">
      <c r="W738" s="177">
        <f t="shared" si="32"/>
        <v>0</v>
      </c>
      <c r="AB738" s="178">
        <f t="shared" si="33"/>
        <v>0</v>
      </c>
      <c r="AH738" s="177">
        <f t="shared" si="31"/>
        <v>0</v>
      </c>
    </row>
    <row r="739" spans="23:34">
      <c r="W739" s="177">
        <f t="shared" si="32"/>
        <v>0</v>
      </c>
      <c r="AB739" s="178">
        <f t="shared" si="33"/>
        <v>0</v>
      </c>
      <c r="AH739" s="177">
        <f t="shared" si="31"/>
        <v>0</v>
      </c>
    </row>
    <row r="740" spans="23:34">
      <c r="W740" s="177">
        <f t="shared" si="32"/>
        <v>0</v>
      </c>
      <c r="AB740" s="178">
        <f t="shared" si="33"/>
        <v>0</v>
      </c>
      <c r="AH740" s="177">
        <f t="shared" si="31"/>
        <v>0</v>
      </c>
    </row>
    <row r="741" spans="23:34">
      <c r="W741" s="177">
        <f t="shared" si="32"/>
        <v>0</v>
      </c>
      <c r="AB741" s="178">
        <f t="shared" si="33"/>
        <v>0</v>
      </c>
      <c r="AH741" s="177">
        <f t="shared" si="31"/>
        <v>0</v>
      </c>
    </row>
    <row r="742" spans="23:34">
      <c r="W742" s="177">
        <f t="shared" si="32"/>
        <v>0</v>
      </c>
      <c r="AB742" s="178">
        <f t="shared" si="33"/>
        <v>0</v>
      </c>
      <c r="AH742" s="177">
        <f t="shared" si="31"/>
        <v>0</v>
      </c>
    </row>
    <row r="743" spans="23:34">
      <c r="W743" s="177">
        <f t="shared" si="32"/>
        <v>0</v>
      </c>
      <c r="AB743" s="178">
        <f t="shared" si="33"/>
        <v>0</v>
      </c>
      <c r="AH743" s="177">
        <f t="shared" si="31"/>
        <v>0</v>
      </c>
    </row>
    <row r="744" spans="23:34">
      <c r="W744" s="177">
        <f t="shared" si="32"/>
        <v>0</v>
      </c>
      <c r="AB744" s="178">
        <f t="shared" si="33"/>
        <v>0</v>
      </c>
      <c r="AH744" s="177">
        <f t="shared" si="31"/>
        <v>0</v>
      </c>
    </row>
    <row r="745" spans="23:34">
      <c r="W745" s="177">
        <f t="shared" si="32"/>
        <v>0</v>
      </c>
      <c r="AB745" s="178">
        <f t="shared" si="33"/>
        <v>0</v>
      </c>
      <c r="AH745" s="177">
        <f t="shared" si="31"/>
        <v>0</v>
      </c>
    </row>
    <row r="746" spans="23:34">
      <c r="W746" s="177">
        <f t="shared" si="32"/>
        <v>0</v>
      </c>
      <c r="AB746" s="178">
        <f t="shared" si="33"/>
        <v>0</v>
      </c>
      <c r="AH746" s="177">
        <f t="shared" si="31"/>
        <v>0</v>
      </c>
    </row>
    <row r="747" spans="23:34">
      <c r="W747" s="177">
        <f t="shared" si="32"/>
        <v>0</v>
      </c>
      <c r="AB747" s="178">
        <f t="shared" si="33"/>
        <v>0</v>
      </c>
      <c r="AH747" s="177">
        <f t="shared" si="31"/>
        <v>0</v>
      </c>
    </row>
    <row r="748" spans="23:34">
      <c r="W748" s="177">
        <f t="shared" si="32"/>
        <v>0</v>
      </c>
      <c r="AB748" s="178">
        <f t="shared" si="33"/>
        <v>0</v>
      </c>
      <c r="AH748" s="177">
        <f t="shared" si="31"/>
        <v>0</v>
      </c>
    </row>
    <row r="749" spans="23:34">
      <c r="W749" s="177">
        <f t="shared" si="32"/>
        <v>0</v>
      </c>
      <c r="AB749" s="178">
        <f t="shared" si="33"/>
        <v>0</v>
      </c>
      <c r="AH749" s="177">
        <f t="shared" si="31"/>
        <v>0</v>
      </c>
    </row>
    <row r="750" spans="23:34">
      <c r="W750" s="177">
        <f t="shared" si="32"/>
        <v>0</v>
      </c>
      <c r="AB750" s="178">
        <f t="shared" si="33"/>
        <v>0</v>
      </c>
      <c r="AH750" s="177">
        <f t="shared" si="31"/>
        <v>0</v>
      </c>
    </row>
    <row r="751" spans="23:34">
      <c r="W751" s="177">
        <f t="shared" si="32"/>
        <v>0</v>
      </c>
      <c r="AB751" s="178">
        <f t="shared" si="33"/>
        <v>0</v>
      </c>
      <c r="AH751" s="177">
        <f t="shared" si="31"/>
        <v>0</v>
      </c>
    </row>
    <row r="752" spans="23:34">
      <c r="W752" s="177">
        <f t="shared" si="32"/>
        <v>0</v>
      </c>
      <c r="AB752" s="178">
        <f t="shared" si="33"/>
        <v>0</v>
      </c>
      <c r="AH752" s="177">
        <f t="shared" ref="AH752:AH815" si="34">SUM(AF752:AG752)</f>
        <v>0</v>
      </c>
    </row>
    <row r="753" spans="23:34">
      <c r="W753" s="177">
        <f t="shared" si="32"/>
        <v>0</v>
      </c>
      <c r="AB753" s="178">
        <f t="shared" si="33"/>
        <v>0</v>
      </c>
      <c r="AH753" s="177">
        <f t="shared" si="34"/>
        <v>0</v>
      </c>
    </row>
    <row r="754" spans="23:34">
      <c r="W754" s="177">
        <f t="shared" si="32"/>
        <v>0</v>
      </c>
      <c r="AB754" s="178">
        <f t="shared" si="33"/>
        <v>0</v>
      </c>
      <c r="AH754" s="177">
        <f t="shared" si="34"/>
        <v>0</v>
      </c>
    </row>
    <row r="755" spans="23:34">
      <c r="W755" s="177">
        <f t="shared" ref="W755:W818" si="35">SUM(Q755:T755)</f>
        <v>0</v>
      </c>
      <c r="AB755" s="178">
        <f t="shared" si="33"/>
        <v>0</v>
      </c>
      <c r="AH755" s="177">
        <f t="shared" si="34"/>
        <v>0</v>
      </c>
    </row>
    <row r="756" spans="23:34">
      <c r="W756" s="177">
        <f t="shared" si="35"/>
        <v>0</v>
      </c>
      <c r="AB756" s="178">
        <f t="shared" si="33"/>
        <v>0</v>
      </c>
      <c r="AH756" s="177">
        <f t="shared" si="34"/>
        <v>0</v>
      </c>
    </row>
    <row r="757" spans="23:34">
      <c r="W757" s="177">
        <f t="shared" si="35"/>
        <v>0</v>
      </c>
      <c r="AB757" s="178">
        <f t="shared" si="33"/>
        <v>0</v>
      </c>
      <c r="AH757" s="177">
        <f t="shared" si="34"/>
        <v>0</v>
      </c>
    </row>
    <row r="758" spans="23:34">
      <c r="W758" s="177">
        <f t="shared" si="35"/>
        <v>0</v>
      </c>
      <c r="AB758" s="178">
        <f t="shared" si="33"/>
        <v>0</v>
      </c>
      <c r="AH758" s="177">
        <f t="shared" si="34"/>
        <v>0</v>
      </c>
    </row>
    <row r="759" spans="23:34">
      <c r="W759" s="177">
        <f t="shared" si="35"/>
        <v>0</v>
      </c>
      <c r="AB759" s="178">
        <f t="shared" si="33"/>
        <v>0</v>
      </c>
      <c r="AH759" s="177">
        <f t="shared" si="34"/>
        <v>0</v>
      </c>
    </row>
    <row r="760" spans="23:34">
      <c r="W760" s="177">
        <f t="shared" si="35"/>
        <v>0</v>
      </c>
      <c r="AB760" s="178">
        <f t="shared" si="33"/>
        <v>0</v>
      </c>
      <c r="AH760" s="177">
        <f t="shared" si="34"/>
        <v>0</v>
      </c>
    </row>
    <row r="761" spans="23:34">
      <c r="W761" s="177">
        <f t="shared" si="35"/>
        <v>0</v>
      </c>
      <c r="AB761" s="178">
        <f t="shared" si="33"/>
        <v>0</v>
      </c>
      <c r="AH761" s="177">
        <f t="shared" si="34"/>
        <v>0</v>
      </c>
    </row>
    <row r="762" spans="23:34">
      <c r="W762" s="177">
        <f t="shared" si="35"/>
        <v>0</v>
      </c>
      <c r="AB762" s="178">
        <f t="shared" si="33"/>
        <v>0</v>
      </c>
      <c r="AH762" s="177">
        <f t="shared" si="34"/>
        <v>0</v>
      </c>
    </row>
    <row r="763" spans="23:34">
      <c r="W763" s="177">
        <f t="shared" si="35"/>
        <v>0</v>
      </c>
      <c r="AB763" s="178">
        <f t="shared" ref="AB763:AB826" si="36">SUM(Z763:AA763)</f>
        <v>0</v>
      </c>
      <c r="AH763" s="177">
        <f t="shared" si="34"/>
        <v>0</v>
      </c>
    </row>
    <row r="764" spans="23:34">
      <c r="W764" s="177">
        <f t="shared" si="35"/>
        <v>0</v>
      </c>
      <c r="AB764" s="178">
        <f t="shared" si="36"/>
        <v>0</v>
      </c>
      <c r="AH764" s="177">
        <f t="shared" si="34"/>
        <v>0</v>
      </c>
    </row>
    <row r="765" spans="23:34">
      <c r="W765" s="177">
        <f t="shared" si="35"/>
        <v>0</v>
      </c>
      <c r="AB765" s="178">
        <f t="shared" si="36"/>
        <v>0</v>
      </c>
      <c r="AH765" s="177">
        <f t="shared" si="34"/>
        <v>0</v>
      </c>
    </row>
    <row r="766" spans="23:34">
      <c r="W766" s="177">
        <f t="shared" si="35"/>
        <v>0</v>
      </c>
      <c r="AB766" s="178">
        <f t="shared" si="36"/>
        <v>0</v>
      </c>
      <c r="AH766" s="177">
        <f t="shared" si="34"/>
        <v>0</v>
      </c>
    </row>
    <row r="767" spans="23:34">
      <c r="W767" s="177">
        <f t="shared" si="35"/>
        <v>0</v>
      </c>
      <c r="AB767" s="178">
        <f t="shared" si="36"/>
        <v>0</v>
      </c>
      <c r="AH767" s="177">
        <f t="shared" si="34"/>
        <v>0</v>
      </c>
    </row>
    <row r="768" spans="23:34">
      <c r="W768" s="177">
        <f t="shared" si="35"/>
        <v>0</v>
      </c>
      <c r="AB768" s="178">
        <f t="shared" si="36"/>
        <v>0</v>
      </c>
      <c r="AH768" s="177">
        <f t="shared" si="34"/>
        <v>0</v>
      </c>
    </row>
    <row r="769" spans="23:34">
      <c r="W769" s="177">
        <f t="shared" si="35"/>
        <v>0</v>
      </c>
      <c r="AB769" s="178">
        <f t="shared" si="36"/>
        <v>0</v>
      </c>
      <c r="AH769" s="177">
        <f t="shared" si="34"/>
        <v>0</v>
      </c>
    </row>
    <row r="770" spans="23:34">
      <c r="W770" s="177">
        <f t="shared" si="35"/>
        <v>0</v>
      </c>
      <c r="AB770" s="178">
        <f t="shared" si="36"/>
        <v>0</v>
      </c>
      <c r="AH770" s="177">
        <f t="shared" si="34"/>
        <v>0</v>
      </c>
    </row>
    <row r="771" spans="23:34">
      <c r="W771" s="177">
        <f t="shared" si="35"/>
        <v>0</v>
      </c>
      <c r="AB771" s="178">
        <f t="shared" si="36"/>
        <v>0</v>
      </c>
      <c r="AH771" s="177">
        <f t="shared" si="34"/>
        <v>0</v>
      </c>
    </row>
    <row r="772" spans="23:34">
      <c r="W772" s="177">
        <f t="shared" si="35"/>
        <v>0</v>
      </c>
      <c r="AB772" s="178">
        <f t="shared" si="36"/>
        <v>0</v>
      </c>
      <c r="AH772" s="177">
        <f t="shared" si="34"/>
        <v>0</v>
      </c>
    </row>
    <row r="773" spans="23:34">
      <c r="W773" s="177">
        <f t="shared" si="35"/>
        <v>0</v>
      </c>
      <c r="AB773" s="178">
        <f t="shared" si="36"/>
        <v>0</v>
      </c>
      <c r="AH773" s="177">
        <f t="shared" si="34"/>
        <v>0</v>
      </c>
    </row>
    <row r="774" spans="23:34">
      <c r="W774" s="177">
        <f t="shared" si="35"/>
        <v>0</v>
      </c>
      <c r="AB774" s="178">
        <f t="shared" si="36"/>
        <v>0</v>
      </c>
      <c r="AH774" s="177">
        <f t="shared" si="34"/>
        <v>0</v>
      </c>
    </row>
    <row r="775" spans="23:34">
      <c r="W775" s="177">
        <f t="shared" si="35"/>
        <v>0</v>
      </c>
      <c r="AB775" s="178">
        <f t="shared" si="36"/>
        <v>0</v>
      </c>
      <c r="AH775" s="177">
        <f t="shared" si="34"/>
        <v>0</v>
      </c>
    </row>
    <row r="776" spans="23:34">
      <c r="W776" s="177">
        <f t="shared" si="35"/>
        <v>0</v>
      </c>
      <c r="AB776" s="178">
        <f t="shared" si="36"/>
        <v>0</v>
      </c>
      <c r="AH776" s="177">
        <f t="shared" si="34"/>
        <v>0</v>
      </c>
    </row>
    <row r="777" spans="23:34">
      <c r="W777" s="177">
        <f t="shared" si="35"/>
        <v>0</v>
      </c>
      <c r="AB777" s="178">
        <f t="shared" si="36"/>
        <v>0</v>
      </c>
      <c r="AH777" s="177">
        <f t="shared" si="34"/>
        <v>0</v>
      </c>
    </row>
    <row r="778" spans="23:34">
      <c r="W778" s="177">
        <f t="shared" si="35"/>
        <v>0</v>
      </c>
      <c r="AB778" s="178">
        <f t="shared" si="36"/>
        <v>0</v>
      </c>
      <c r="AH778" s="177">
        <f t="shared" si="34"/>
        <v>0</v>
      </c>
    </row>
    <row r="779" spans="23:34">
      <c r="W779" s="177">
        <f t="shared" si="35"/>
        <v>0</v>
      </c>
      <c r="AB779" s="178">
        <f t="shared" si="36"/>
        <v>0</v>
      </c>
      <c r="AH779" s="177">
        <f t="shared" si="34"/>
        <v>0</v>
      </c>
    </row>
    <row r="780" spans="23:34">
      <c r="W780" s="177">
        <f t="shared" si="35"/>
        <v>0</v>
      </c>
      <c r="AB780" s="178">
        <f t="shared" si="36"/>
        <v>0</v>
      </c>
      <c r="AH780" s="177">
        <f t="shared" si="34"/>
        <v>0</v>
      </c>
    </row>
    <row r="781" spans="23:34">
      <c r="W781" s="177">
        <f t="shared" si="35"/>
        <v>0</v>
      </c>
      <c r="AB781" s="178">
        <f t="shared" si="36"/>
        <v>0</v>
      </c>
      <c r="AH781" s="177">
        <f t="shared" si="34"/>
        <v>0</v>
      </c>
    </row>
    <row r="782" spans="23:34">
      <c r="W782" s="177">
        <f t="shared" si="35"/>
        <v>0</v>
      </c>
      <c r="AB782" s="178">
        <f t="shared" si="36"/>
        <v>0</v>
      </c>
      <c r="AH782" s="177">
        <f t="shared" si="34"/>
        <v>0</v>
      </c>
    </row>
    <row r="783" spans="23:34">
      <c r="W783" s="177">
        <f t="shared" si="35"/>
        <v>0</v>
      </c>
      <c r="AB783" s="178">
        <f t="shared" si="36"/>
        <v>0</v>
      </c>
      <c r="AH783" s="177">
        <f t="shared" si="34"/>
        <v>0</v>
      </c>
    </row>
    <row r="784" spans="23:34">
      <c r="W784" s="177">
        <f t="shared" si="35"/>
        <v>0</v>
      </c>
      <c r="AB784" s="178">
        <f t="shared" si="36"/>
        <v>0</v>
      </c>
      <c r="AH784" s="177">
        <f t="shared" si="34"/>
        <v>0</v>
      </c>
    </row>
    <row r="785" spans="23:34">
      <c r="W785" s="177">
        <f t="shared" si="35"/>
        <v>0</v>
      </c>
      <c r="AB785" s="178">
        <f t="shared" si="36"/>
        <v>0</v>
      </c>
      <c r="AH785" s="177">
        <f t="shared" si="34"/>
        <v>0</v>
      </c>
    </row>
    <row r="786" spans="23:34">
      <c r="W786" s="177">
        <f t="shared" si="35"/>
        <v>0</v>
      </c>
      <c r="AB786" s="178">
        <f t="shared" si="36"/>
        <v>0</v>
      </c>
      <c r="AH786" s="177">
        <f t="shared" si="34"/>
        <v>0</v>
      </c>
    </row>
    <row r="787" spans="23:34">
      <c r="W787" s="177">
        <f t="shared" si="35"/>
        <v>0</v>
      </c>
      <c r="AB787" s="178">
        <f t="shared" si="36"/>
        <v>0</v>
      </c>
      <c r="AH787" s="177">
        <f t="shared" si="34"/>
        <v>0</v>
      </c>
    </row>
    <row r="788" spans="23:34">
      <c r="W788" s="177">
        <f t="shared" si="35"/>
        <v>0</v>
      </c>
      <c r="AB788" s="178">
        <f t="shared" si="36"/>
        <v>0</v>
      </c>
      <c r="AH788" s="177">
        <f t="shared" si="34"/>
        <v>0</v>
      </c>
    </row>
    <row r="789" spans="23:34">
      <c r="W789" s="177">
        <f t="shared" si="35"/>
        <v>0</v>
      </c>
      <c r="AB789" s="178">
        <f t="shared" si="36"/>
        <v>0</v>
      </c>
      <c r="AH789" s="177">
        <f t="shared" si="34"/>
        <v>0</v>
      </c>
    </row>
    <row r="790" spans="23:34">
      <c r="W790" s="177">
        <f t="shared" si="35"/>
        <v>0</v>
      </c>
      <c r="AB790" s="178">
        <f t="shared" si="36"/>
        <v>0</v>
      </c>
      <c r="AH790" s="177">
        <f t="shared" si="34"/>
        <v>0</v>
      </c>
    </row>
    <row r="791" spans="23:34">
      <c r="W791" s="177">
        <f t="shared" si="35"/>
        <v>0</v>
      </c>
      <c r="AB791" s="178">
        <f t="shared" si="36"/>
        <v>0</v>
      </c>
      <c r="AH791" s="177">
        <f t="shared" si="34"/>
        <v>0</v>
      </c>
    </row>
    <row r="792" spans="23:34">
      <c r="W792" s="177">
        <f t="shared" si="35"/>
        <v>0</v>
      </c>
      <c r="AB792" s="178">
        <f t="shared" si="36"/>
        <v>0</v>
      </c>
      <c r="AH792" s="177">
        <f t="shared" si="34"/>
        <v>0</v>
      </c>
    </row>
    <row r="793" spans="23:34">
      <c r="W793" s="177">
        <f t="shared" si="35"/>
        <v>0</v>
      </c>
      <c r="AB793" s="178">
        <f t="shared" si="36"/>
        <v>0</v>
      </c>
      <c r="AH793" s="177">
        <f t="shared" si="34"/>
        <v>0</v>
      </c>
    </row>
    <row r="794" spans="23:34">
      <c r="W794" s="177">
        <f t="shared" si="35"/>
        <v>0</v>
      </c>
      <c r="AB794" s="178">
        <f t="shared" si="36"/>
        <v>0</v>
      </c>
      <c r="AH794" s="177">
        <f t="shared" si="34"/>
        <v>0</v>
      </c>
    </row>
    <row r="795" spans="23:34">
      <c r="W795" s="177">
        <f t="shared" si="35"/>
        <v>0</v>
      </c>
      <c r="AB795" s="178">
        <f t="shared" si="36"/>
        <v>0</v>
      </c>
      <c r="AH795" s="177">
        <f t="shared" si="34"/>
        <v>0</v>
      </c>
    </row>
    <row r="796" spans="23:34">
      <c r="W796" s="177">
        <f t="shared" si="35"/>
        <v>0</v>
      </c>
      <c r="AB796" s="178">
        <f t="shared" si="36"/>
        <v>0</v>
      </c>
      <c r="AH796" s="177">
        <f t="shared" si="34"/>
        <v>0</v>
      </c>
    </row>
    <row r="797" spans="23:34">
      <c r="W797" s="177">
        <f t="shared" si="35"/>
        <v>0</v>
      </c>
      <c r="AB797" s="178">
        <f t="shared" si="36"/>
        <v>0</v>
      </c>
      <c r="AH797" s="177">
        <f t="shared" si="34"/>
        <v>0</v>
      </c>
    </row>
    <row r="798" spans="23:34">
      <c r="W798" s="177">
        <f t="shared" si="35"/>
        <v>0</v>
      </c>
      <c r="AB798" s="178">
        <f t="shared" si="36"/>
        <v>0</v>
      </c>
      <c r="AH798" s="177">
        <f t="shared" si="34"/>
        <v>0</v>
      </c>
    </row>
    <row r="799" spans="23:34">
      <c r="W799" s="177">
        <f t="shared" si="35"/>
        <v>0</v>
      </c>
      <c r="AB799" s="178">
        <f t="shared" si="36"/>
        <v>0</v>
      </c>
      <c r="AH799" s="177">
        <f t="shared" si="34"/>
        <v>0</v>
      </c>
    </row>
    <row r="800" spans="23:34">
      <c r="W800" s="177">
        <f t="shared" si="35"/>
        <v>0</v>
      </c>
      <c r="AB800" s="178">
        <f t="shared" si="36"/>
        <v>0</v>
      </c>
      <c r="AH800" s="177">
        <f t="shared" si="34"/>
        <v>0</v>
      </c>
    </row>
    <row r="801" spans="23:34">
      <c r="W801" s="177">
        <f t="shared" si="35"/>
        <v>0</v>
      </c>
      <c r="AB801" s="178">
        <f t="shared" si="36"/>
        <v>0</v>
      </c>
      <c r="AH801" s="177">
        <f t="shared" si="34"/>
        <v>0</v>
      </c>
    </row>
    <row r="802" spans="23:34">
      <c r="W802" s="177">
        <f t="shared" si="35"/>
        <v>0</v>
      </c>
      <c r="AB802" s="178">
        <f t="shared" si="36"/>
        <v>0</v>
      </c>
      <c r="AH802" s="177">
        <f t="shared" si="34"/>
        <v>0</v>
      </c>
    </row>
    <row r="803" spans="23:34">
      <c r="W803" s="177">
        <f t="shared" si="35"/>
        <v>0</v>
      </c>
      <c r="AB803" s="178">
        <f t="shared" si="36"/>
        <v>0</v>
      </c>
      <c r="AH803" s="177">
        <f t="shared" si="34"/>
        <v>0</v>
      </c>
    </row>
    <row r="804" spans="23:34">
      <c r="W804" s="177">
        <f t="shared" si="35"/>
        <v>0</v>
      </c>
      <c r="AB804" s="178">
        <f t="shared" si="36"/>
        <v>0</v>
      </c>
      <c r="AH804" s="177">
        <f t="shared" si="34"/>
        <v>0</v>
      </c>
    </row>
    <row r="805" spans="23:34">
      <c r="W805" s="177">
        <f t="shared" si="35"/>
        <v>0</v>
      </c>
      <c r="AB805" s="178">
        <f t="shared" si="36"/>
        <v>0</v>
      </c>
      <c r="AH805" s="177">
        <f t="shared" si="34"/>
        <v>0</v>
      </c>
    </row>
    <row r="806" spans="23:34">
      <c r="W806" s="177">
        <f t="shared" si="35"/>
        <v>0</v>
      </c>
      <c r="AB806" s="178">
        <f t="shared" si="36"/>
        <v>0</v>
      </c>
      <c r="AH806" s="177">
        <f t="shared" si="34"/>
        <v>0</v>
      </c>
    </row>
    <row r="807" spans="23:34">
      <c r="W807" s="177">
        <f t="shared" si="35"/>
        <v>0</v>
      </c>
      <c r="AB807" s="178">
        <f t="shared" si="36"/>
        <v>0</v>
      </c>
      <c r="AH807" s="177">
        <f t="shared" si="34"/>
        <v>0</v>
      </c>
    </row>
    <row r="808" spans="23:34">
      <c r="W808" s="177">
        <f t="shared" si="35"/>
        <v>0</v>
      </c>
      <c r="AB808" s="178">
        <f t="shared" si="36"/>
        <v>0</v>
      </c>
      <c r="AH808" s="177">
        <f t="shared" si="34"/>
        <v>0</v>
      </c>
    </row>
    <row r="809" spans="23:34">
      <c r="W809" s="177">
        <f t="shared" si="35"/>
        <v>0</v>
      </c>
      <c r="AB809" s="178">
        <f t="shared" si="36"/>
        <v>0</v>
      </c>
      <c r="AH809" s="177">
        <f t="shared" si="34"/>
        <v>0</v>
      </c>
    </row>
    <row r="810" spans="23:34">
      <c r="W810" s="177">
        <f t="shared" si="35"/>
        <v>0</v>
      </c>
      <c r="AB810" s="178">
        <f t="shared" si="36"/>
        <v>0</v>
      </c>
      <c r="AH810" s="177">
        <f t="shared" si="34"/>
        <v>0</v>
      </c>
    </row>
    <row r="811" spans="23:34">
      <c r="W811" s="177">
        <f t="shared" si="35"/>
        <v>0</v>
      </c>
      <c r="AB811" s="178">
        <f t="shared" si="36"/>
        <v>0</v>
      </c>
      <c r="AH811" s="177">
        <f t="shared" si="34"/>
        <v>0</v>
      </c>
    </row>
    <row r="812" spans="23:34">
      <c r="W812" s="177">
        <f t="shared" si="35"/>
        <v>0</v>
      </c>
      <c r="AB812" s="178">
        <f t="shared" si="36"/>
        <v>0</v>
      </c>
      <c r="AH812" s="177">
        <f t="shared" si="34"/>
        <v>0</v>
      </c>
    </row>
    <row r="813" spans="23:34">
      <c r="W813" s="177">
        <f t="shared" si="35"/>
        <v>0</v>
      </c>
      <c r="AB813" s="178">
        <f t="shared" si="36"/>
        <v>0</v>
      </c>
      <c r="AH813" s="177">
        <f t="shared" si="34"/>
        <v>0</v>
      </c>
    </row>
    <row r="814" spans="23:34">
      <c r="W814" s="177">
        <f t="shared" si="35"/>
        <v>0</v>
      </c>
      <c r="AB814" s="178">
        <f t="shared" si="36"/>
        <v>0</v>
      </c>
      <c r="AH814" s="177">
        <f t="shared" si="34"/>
        <v>0</v>
      </c>
    </row>
    <row r="815" spans="23:34">
      <c r="W815" s="177">
        <f t="shared" si="35"/>
        <v>0</v>
      </c>
      <c r="AB815" s="178">
        <f t="shared" si="36"/>
        <v>0</v>
      </c>
      <c r="AH815" s="177">
        <f t="shared" si="34"/>
        <v>0</v>
      </c>
    </row>
    <row r="816" spans="23:34">
      <c r="W816" s="177">
        <f t="shared" si="35"/>
        <v>0</v>
      </c>
      <c r="AB816" s="178">
        <f t="shared" si="36"/>
        <v>0</v>
      </c>
      <c r="AH816" s="177">
        <f t="shared" ref="AH816:AH879" si="37">SUM(AF816:AG816)</f>
        <v>0</v>
      </c>
    </row>
    <row r="817" spans="23:34">
      <c r="W817" s="177">
        <f t="shared" si="35"/>
        <v>0</v>
      </c>
      <c r="AB817" s="178">
        <f t="shared" si="36"/>
        <v>0</v>
      </c>
      <c r="AH817" s="177">
        <f t="shared" si="37"/>
        <v>0</v>
      </c>
    </row>
    <row r="818" spans="23:34">
      <c r="W818" s="177">
        <f t="shared" si="35"/>
        <v>0</v>
      </c>
      <c r="AB818" s="178">
        <f t="shared" si="36"/>
        <v>0</v>
      </c>
      <c r="AH818" s="177">
        <f t="shared" si="37"/>
        <v>0</v>
      </c>
    </row>
    <row r="819" spans="23:34">
      <c r="W819" s="177">
        <f t="shared" ref="W819:W882" si="38">SUM(Q819:T819)</f>
        <v>0</v>
      </c>
      <c r="AB819" s="178">
        <f t="shared" si="36"/>
        <v>0</v>
      </c>
      <c r="AH819" s="177">
        <f t="shared" si="37"/>
        <v>0</v>
      </c>
    </row>
    <row r="820" spans="23:34">
      <c r="W820" s="177">
        <f t="shared" si="38"/>
        <v>0</v>
      </c>
      <c r="AB820" s="178">
        <f t="shared" si="36"/>
        <v>0</v>
      </c>
      <c r="AH820" s="177">
        <f t="shared" si="37"/>
        <v>0</v>
      </c>
    </row>
    <row r="821" spans="23:34">
      <c r="W821" s="177">
        <f t="shared" si="38"/>
        <v>0</v>
      </c>
      <c r="AB821" s="178">
        <f t="shared" si="36"/>
        <v>0</v>
      </c>
      <c r="AH821" s="177">
        <f t="shared" si="37"/>
        <v>0</v>
      </c>
    </row>
    <row r="822" spans="23:34">
      <c r="W822" s="177">
        <f t="shared" si="38"/>
        <v>0</v>
      </c>
      <c r="AB822" s="178">
        <f t="shared" si="36"/>
        <v>0</v>
      </c>
      <c r="AH822" s="177">
        <f t="shared" si="37"/>
        <v>0</v>
      </c>
    </row>
    <row r="823" spans="23:34">
      <c r="W823" s="177">
        <f t="shared" si="38"/>
        <v>0</v>
      </c>
      <c r="AB823" s="178">
        <f t="shared" si="36"/>
        <v>0</v>
      </c>
      <c r="AH823" s="177">
        <f t="shared" si="37"/>
        <v>0</v>
      </c>
    </row>
    <row r="824" spans="23:34">
      <c r="W824" s="177">
        <f t="shared" si="38"/>
        <v>0</v>
      </c>
      <c r="AB824" s="178">
        <f t="shared" si="36"/>
        <v>0</v>
      </c>
      <c r="AH824" s="177">
        <f t="shared" si="37"/>
        <v>0</v>
      </c>
    </row>
    <row r="825" spans="23:34">
      <c r="W825" s="177">
        <f t="shared" si="38"/>
        <v>0</v>
      </c>
      <c r="AB825" s="178">
        <f t="shared" si="36"/>
        <v>0</v>
      </c>
      <c r="AH825" s="177">
        <f t="shared" si="37"/>
        <v>0</v>
      </c>
    </row>
    <row r="826" spans="23:34">
      <c r="W826" s="177">
        <f t="shared" si="38"/>
        <v>0</v>
      </c>
      <c r="AB826" s="178">
        <f t="shared" si="36"/>
        <v>0</v>
      </c>
      <c r="AH826" s="177">
        <f t="shared" si="37"/>
        <v>0</v>
      </c>
    </row>
    <row r="827" spans="23:34">
      <c r="W827" s="177">
        <f t="shared" si="38"/>
        <v>0</v>
      </c>
      <c r="AB827" s="178">
        <f t="shared" ref="AB827:AB890" si="39">SUM(Z827:AA827)</f>
        <v>0</v>
      </c>
      <c r="AH827" s="177">
        <f t="shared" si="37"/>
        <v>0</v>
      </c>
    </row>
    <row r="828" spans="23:34">
      <c r="W828" s="177">
        <f t="shared" si="38"/>
        <v>0</v>
      </c>
      <c r="AB828" s="178">
        <f t="shared" si="39"/>
        <v>0</v>
      </c>
      <c r="AH828" s="177">
        <f t="shared" si="37"/>
        <v>0</v>
      </c>
    </row>
    <row r="829" spans="23:34">
      <c r="W829" s="177">
        <f t="shared" si="38"/>
        <v>0</v>
      </c>
      <c r="AB829" s="178">
        <f t="shared" si="39"/>
        <v>0</v>
      </c>
      <c r="AH829" s="177">
        <f t="shared" si="37"/>
        <v>0</v>
      </c>
    </row>
    <row r="830" spans="23:34">
      <c r="W830" s="177">
        <f t="shared" si="38"/>
        <v>0</v>
      </c>
      <c r="AB830" s="178">
        <f t="shared" si="39"/>
        <v>0</v>
      </c>
      <c r="AH830" s="177">
        <f t="shared" si="37"/>
        <v>0</v>
      </c>
    </row>
    <row r="831" spans="23:34">
      <c r="W831" s="177">
        <f t="shared" si="38"/>
        <v>0</v>
      </c>
      <c r="AB831" s="178">
        <f t="shared" si="39"/>
        <v>0</v>
      </c>
      <c r="AH831" s="177">
        <f t="shared" si="37"/>
        <v>0</v>
      </c>
    </row>
    <row r="832" spans="23:34">
      <c r="W832" s="177">
        <f t="shared" si="38"/>
        <v>0</v>
      </c>
      <c r="AB832" s="178">
        <f t="shared" si="39"/>
        <v>0</v>
      </c>
      <c r="AH832" s="177">
        <f t="shared" si="37"/>
        <v>0</v>
      </c>
    </row>
    <row r="833" spans="23:34">
      <c r="W833" s="177">
        <f t="shared" si="38"/>
        <v>0</v>
      </c>
      <c r="AB833" s="178">
        <f t="shared" si="39"/>
        <v>0</v>
      </c>
      <c r="AH833" s="177">
        <f t="shared" si="37"/>
        <v>0</v>
      </c>
    </row>
    <row r="834" spans="23:34">
      <c r="W834" s="177">
        <f t="shared" si="38"/>
        <v>0</v>
      </c>
      <c r="AB834" s="178">
        <f t="shared" si="39"/>
        <v>0</v>
      </c>
      <c r="AH834" s="177">
        <f t="shared" si="37"/>
        <v>0</v>
      </c>
    </row>
    <row r="835" spans="23:34">
      <c r="W835" s="177">
        <f t="shared" si="38"/>
        <v>0</v>
      </c>
      <c r="AB835" s="178">
        <f t="shared" si="39"/>
        <v>0</v>
      </c>
      <c r="AH835" s="177">
        <f t="shared" si="37"/>
        <v>0</v>
      </c>
    </row>
    <row r="836" spans="23:34">
      <c r="W836" s="177">
        <f t="shared" si="38"/>
        <v>0</v>
      </c>
      <c r="AB836" s="178">
        <f t="shared" si="39"/>
        <v>0</v>
      </c>
      <c r="AH836" s="177">
        <f t="shared" si="37"/>
        <v>0</v>
      </c>
    </row>
    <row r="837" spans="23:34">
      <c r="W837" s="177">
        <f t="shared" si="38"/>
        <v>0</v>
      </c>
      <c r="AB837" s="178">
        <f t="shared" si="39"/>
        <v>0</v>
      </c>
      <c r="AH837" s="177">
        <f t="shared" si="37"/>
        <v>0</v>
      </c>
    </row>
    <row r="838" spans="23:34">
      <c r="W838" s="177">
        <f t="shared" si="38"/>
        <v>0</v>
      </c>
      <c r="AB838" s="178">
        <f t="shared" si="39"/>
        <v>0</v>
      </c>
      <c r="AH838" s="177">
        <f t="shared" si="37"/>
        <v>0</v>
      </c>
    </row>
    <row r="839" spans="23:34">
      <c r="W839" s="177">
        <f t="shared" si="38"/>
        <v>0</v>
      </c>
      <c r="AB839" s="178">
        <f t="shared" si="39"/>
        <v>0</v>
      </c>
      <c r="AH839" s="177">
        <f t="shared" si="37"/>
        <v>0</v>
      </c>
    </row>
    <row r="840" spans="23:34">
      <c r="W840" s="177">
        <f t="shared" si="38"/>
        <v>0</v>
      </c>
      <c r="AB840" s="178">
        <f t="shared" si="39"/>
        <v>0</v>
      </c>
      <c r="AH840" s="177">
        <f t="shared" si="37"/>
        <v>0</v>
      </c>
    </row>
    <row r="841" spans="23:34">
      <c r="W841" s="177">
        <f t="shared" si="38"/>
        <v>0</v>
      </c>
      <c r="AB841" s="178">
        <f t="shared" si="39"/>
        <v>0</v>
      </c>
      <c r="AH841" s="177">
        <f t="shared" si="37"/>
        <v>0</v>
      </c>
    </row>
    <row r="842" spans="23:34">
      <c r="W842" s="177">
        <f t="shared" si="38"/>
        <v>0</v>
      </c>
      <c r="AB842" s="178">
        <f t="shared" si="39"/>
        <v>0</v>
      </c>
      <c r="AH842" s="177">
        <f t="shared" si="37"/>
        <v>0</v>
      </c>
    </row>
    <row r="843" spans="23:34">
      <c r="W843" s="177">
        <f t="shared" si="38"/>
        <v>0</v>
      </c>
      <c r="AB843" s="178">
        <f t="shared" si="39"/>
        <v>0</v>
      </c>
      <c r="AH843" s="177">
        <f t="shared" si="37"/>
        <v>0</v>
      </c>
    </row>
    <row r="844" spans="23:34">
      <c r="W844" s="177">
        <f t="shared" si="38"/>
        <v>0</v>
      </c>
      <c r="AB844" s="178">
        <f t="shared" si="39"/>
        <v>0</v>
      </c>
      <c r="AH844" s="177">
        <f t="shared" si="37"/>
        <v>0</v>
      </c>
    </row>
    <row r="845" spans="23:34">
      <c r="W845" s="177">
        <f t="shared" si="38"/>
        <v>0</v>
      </c>
      <c r="AB845" s="178">
        <f t="shared" si="39"/>
        <v>0</v>
      </c>
      <c r="AH845" s="177">
        <f t="shared" si="37"/>
        <v>0</v>
      </c>
    </row>
    <row r="846" spans="23:34">
      <c r="W846" s="177">
        <f t="shared" si="38"/>
        <v>0</v>
      </c>
      <c r="AB846" s="178">
        <f t="shared" si="39"/>
        <v>0</v>
      </c>
      <c r="AH846" s="177">
        <f t="shared" si="37"/>
        <v>0</v>
      </c>
    </row>
    <row r="847" spans="23:34">
      <c r="W847" s="177">
        <f t="shared" si="38"/>
        <v>0</v>
      </c>
      <c r="AB847" s="178">
        <f t="shared" si="39"/>
        <v>0</v>
      </c>
      <c r="AH847" s="177">
        <f t="shared" si="37"/>
        <v>0</v>
      </c>
    </row>
    <row r="848" spans="23:34">
      <c r="W848" s="177">
        <f t="shared" si="38"/>
        <v>0</v>
      </c>
      <c r="AB848" s="178">
        <f t="shared" si="39"/>
        <v>0</v>
      </c>
      <c r="AH848" s="177">
        <f t="shared" si="37"/>
        <v>0</v>
      </c>
    </row>
    <row r="849" spans="23:34">
      <c r="W849" s="177">
        <f t="shared" si="38"/>
        <v>0</v>
      </c>
      <c r="AB849" s="178">
        <f t="shared" si="39"/>
        <v>0</v>
      </c>
      <c r="AH849" s="177">
        <f t="shared" si="37"/>
        <v>0</v>
      </c>
    </row>
    <row r="850" spans="23:34">
      <c r="W850" s="177">
        <f t="shared" si="38"/>
        <v>0</v>
      </c>
      <c r="AB850" s="178">
        <f t="shared" si="39"/>
        <v>0</v>
      </c>
      <c r="AH850" s="177">
        <f t="shared" si="37"/>
        <v>0</v>
      </c>
    </row>
    <row r="851" spans="23:34">
      <c r="W851" s="177">
        <f t="shared" si="38"/>
        <v>0</v>
      </c>
      <c r="AB851" s="178">
        <f t="shared" si="39"/>
        <v>0</v>
      </c>
      <c r="AH851" s="177">
        <f t="shared" si="37"/>
        <v>0</v>
      </c>
    </row>
    <row r="852" spans="23:34">
      <c r="W852" s="177">
        <f t="shared" si="38"/>
        <v>0</v>
      </c>
      <c r="AB852" s="178">
        <f t="shared" si="39"/>
        <v>0</v>
      </c>
      <c r="AH852" s="177">
        <f t="shared" si="37"/>
        <v>0</v>
      </c>
    </row>
    <row r="853" spans="23:34">
      <c r="W853" s="177">
        <f t="shared" si="38"/>
        <v>0</v>
      </c>
      <c r="AB853" s="178">
        <f t="shared" si="39"/>
        <v>0</v>
      </c>
      <c r="AH853" s="177">
        <f t="shared" si="37"/>
        <v>0</v>
      </c>
    </row>
    <row r="854" spans="23:34">
      <c r="W854" s="177">
        <f t="shared" si="38"/>
        <v>0</v>
      </c>
      <c r="AB854" s="178">
        <f t="shared" si="39"/>
        <v>0</v>
      </c>
      <c r="AH854" s="177">
        <f t="shared" si="37"/>
        <v>0</v>
      </c>
    </row>
    <row r="855" spans="23:34">
      <c r="W855" s="177">
        <f t="shared" si="38"/>
        <v>0</v>
      </c>
      <c r="AB855" s="178">
        <f t="shared" si="39"/>
        <v>0</v>
      </c>
      <c r="AH855" s="177">
        <f t="shared" si="37"/>
        <v>0</v>
      </c>
    </row>
    <row r="856" spans="23:34">
      <c r="W856" s="177">
        <f t="shared" si="38"/>
        <v>0</v>
      </c>
      <c r="AB856" s="178">
        <f t="shared" si="39"/>
        <v>0</v>
      </c>
      <c r="AH856" s="177">
        <f t="shared" si="37"/>
        <v>0</v>
      </c>
    </row>
    <row r="857" spans="23:34">
      <c r="W857" s="177">
        <f t="shared" si="38"/>
        <v>0</v>
      </c>
      <c r="AB857" s="178">
        <f t="shared" si="39"/>
        <v>0</v>
      </c>
      <c r="AH857" s="177">
        <f t="shared" si="37"/>
        <v>0</v>
      </c>
    </row>
    <row r="858" spans="23:34">
      <c r="W858" s="177">
        <f t="shared" si="38"/>
        <v>0</v>
      </c>
      <c r="AB858" s="178">
        <f t="shared" si="39"/>
        <v>0</v>
      </c>
      <c r="AH858" s="177">
        <f t="shared" si="37"/>
        <v>0</v>
      </c>
    </row>
    <row r="859" spans="23:34">
      <c r="W859" s="177">
        <f t="shared" si="38"/>
        <v>0</v>
      </c>
      <c r="AB859" s="178">
        <f t="shared" si="39"/>
        <v>0</v>
      </c>
      <c r="AH859" s="177">
        <f t="shared" si="37"/>
        <v>0</v>
      </c>
    </row>
    <row r="860" spans="23:34">
      <c r="W860" s="177">
        <f t="shared" si="38"/>
        <v>0</v>
      </c>
      <c r="AB860" s="178">
        <f t="shared" si="39"/>
        <v>0</v>
      </c>
      <c r="AH860" s="177">
        <f t="shared" si="37"/>
        <v>0</v>
      </c>
    </row>
    <row r="861" spans="23:34">
      <c r="W861" s="177">
        <f t="shared" si="38"/>
        <v>0</v>
      </c>
      <c r="AB861" s="178">
        <f t="shared" si="39"/>
        <v>0</v>
      </c>
      <c r="AH861" s="177">
        <f t="shared" si="37"/>
        <v>0</v>
      </c>
    </row>
    <row r="862" spans="23:34">
      <c r="W862" s="177">
        <f t="shared" si="38"/>
        <v>0</v>
      </c>
      <c r="AB862" s="178">
        <f t="shared" si="39"/>
        <v>0</v>
      </c>
      <c r="AH862" s="177">
        <f t="shared" si="37"/>
        <v>0</v>
      </c>
    </row>
    <row r="863" spans="23:34">
      <c r="W863" s="177">
        <f t="shared" si="38"/>
        <v>0</v>
      </c>
      <c r="AB863" s="178">
        <f t="shared" si="39"/>
        <v>0</v>
      </c>
      <c r="AH863" s="177">
        <f t="shared" si="37"/>
        <v>0</v>
      </c>
    </row>
    <row r="864" spans="23:34">
      <c r="W864" s="177">
        <f t="shared" si="38"/>
        <v>0</v>
      </c>
      <c r="AB864" s="178">
        <f t="shared" si="39"/>
        <v>0</v>
      </c>
      <c r="AH864" s="177">
        <f t="shared" si="37"/>
        <v>0</v>
      </c>
    </row>
    <row r="865" spans="23:34">
      <c r="W865" s="177">
        <f t="shared" si="38"/>
        <v>0</v>
      </c>
      <c r="AB865" s="178">
        <f t="shared" si="39"/>
        <v>0</v>
      </c>
      <c r="AH865" s="177">
        <f t="shared" si="37"/>
        <v>0</v>
      </c>
    </row>
    <row r="866" spans="23:34">
      <c r="W866" s="177">
        <f t="shared" si="38"/>
        <v>0</v>
      </c>
      <c r="AB866" s="178">
        <f t="shared" si="39"/>
        <v>0</v>
      </c>
      <c r="AH866" s="177">
        <f t="shared" si="37"/>
        <v>0</v>
      </c>
    </row>
    <row r="867" spans="23:34">
      <c r="W867" s="177">
        <f t="shared" si="38"/>
        <v>0</v>
      </c>
      <c r="AB867" s="178">
        <f t="shared" si="39"/>
        <v>0</v>
      </c>
      <c r="AH867" s="177">
        <f t="shared" si="37"/>
        <v>0</v>
      </c>
    </row>
    <row r="868" spans="23:34">
      <c r="W868" s="177">
        <f t="shared" si="38"/>
        <v>0</v>
      </c>
      <c r="AB868" s="178">
        <f t="shared" si="39"/>
        <v>0</v>
      </c>
      <c r="AH868" s="177">
        <f t="shared" si="37"/>
        <v>0</v>
      </c>
    </row>
    <row r="869" spans="23:34">
      <c r="W869" s="177">
        <f t="shared" si="38"/>
        <v>0</v>
      </c>
      <c r="AB869" s="178">
        <f t="shared" si="39"/>
        <v>0</v>
      </c>
      <c r="AH869" s="177">
        <f t="shared" si="37"/>
        <v>0</v>
      </c>
    </row>
    <row r="870" spans="23:34">
      <c r="W870" s="177">
        <f t="shared" si="38"/>
        <v>0</v>
      </c>
      <c r="AB870" s="178">
        <f t="shared" si="39"/>
        <v>0</v>
      </c>
      <c r="AH870" s="177">
        <f t="shared" si="37"/>
        <v>0</v>
      </c>
    </row>
    <row r="871" spans="23:34">
      <c r="W871" s="177">
        <f t="shared" si="38"/>
        <v>0</v>
      </c>
      <c r="AB871" s="178">
        <f t="shared" si="39"/>
        <v>0</v>
      </c>
      <c r="AH871" s="177">
        <f t="shared" si="37"/>
        <v>0</v>
      </c>
    </row>
    <row r="872" spans="23:34">
      <c r="W872" s="177">
        <f t="shared" si="38"/>
        <v>0</v>
      </c>
      <c r="AB872" s="178">
        <f t="shared" si="39"/>
        <v>0</v>
      </c>
      <c r="AH872" s="177">
        <f t="shared" si="37"/>
        <v>0</v>
      </c>
    </row>
    <row r="873" spans="23:34">
      <c r="W873" s="177">
        <f t="shared" si="38"/>
        <v>0</v>
      </c>
      <c r="AB873" s="178">
        <f t="shared" si="39"/>
        <v>0</v>
      </c>
      <c r="AH873" s="177">
        <f t="shared" si="37"/>
        <v>0</v>
      </c>
    </row>
    <row r="874" spans="23:34">
      <c r="W874" s="177">
        <f t="shared" si="38"/>
        <v>0</v>
      </c>
      <c r="AB874" s="178">
        <f t="shared" si="39"/>
        <v>0</v>
      </c>
      <c r="AH874" s="177">
        <f t="shared" si="37"/>
        <v>0</v>
      </c>
    </row>
    <row r="875" spans="23:34">
      <c r="W875" s="177">
        <f t="shared" si="38"/>
        <v>0</v>
      </c>
      <c r="AB875" s="178">
        <f t="shared" si="39"/>
        <v>0</v>
      </c>
      <c r="AH875" s="177">
        <f t="shared" si="37"/>
        <v>0</v>
      </c>
    </row>
    <row r="876" spans="23:34">
      <c r="W876" s="177">
        <f t="shared" si="38"/>
        <v>0</v>
      </c>
      <c r="AB876" s="178">
        <f t="shared" si="39"/>
        <v>0</v>
      </c>
      <c r="AH876" s="177">
        <f t="shared" si="37"/>
        <v>0</v>
      </c>
    </row>
    <row r="877" spans="23:34">
      <c r="W877" s="177">
        <f t="shared" si="38"/>
        <v>0</v>
      </c>
      <c r="AB877" s="178">
        <f t="shared" si="39"/>
        <v>0</v>
      </c>
      <c r="AH877" s="177">
        <f t="shared" si="37"/>
        <v>0</v>
      </c>
    </row>
    <row r="878" spans="23:34">
      <c r="W878" s="177">
        <f t="shared" si="38"/>
        <v>0</v>
      </c>
      <c r="AB878" s="178">
        <f t="shared" si="39"/>
        <v>0</v>
      </c>
      <c r="AH878" s="177">
        <f t="shared" si="37"/>
        <v>0</v>
      </c>
    </row>
    <row r="879" spans="23:34">
      <c r="W879" s="177">
        <f t="shared" si="38"/>
        <v>0</v>
      </c>
      <c r="AB879" s="178">
        <f t="shared" si="39"/>
        <v>0</v>
      </c>
      <c r="AH879" s="177">
        <f t="shared" si="37"/>
        <v>0</v>
      </c>
    </row>
    <row r="880" spans="23:34">
      <c r="W880" s="177">
        <f t="shared" si="38"/>
        <v>0</v>
      </c>
      <c r="AB880" s="178">
        <f t="shared" si="39"/>
        <v>0</v>
      </c>
      <c r="AH880" s="177">
        <f t="shared" ref="AH880:AH943" si="40">SUM(AF880:AG880)</f>
        <v>0</v>
      </c>
    </row>
    <row r="881" spans="23:34">
      <c r="W881" s="177">
        <f t="shared" si="38"/>
        <v>0</v>
      </c>
      <c r="AB881" s="178">
        <f t="shared" si="39"/>
        <v>0</v>
      </c>
      <c r="AH881" s="177">
        <f t="shared" si="40"/>
        <v>0</v>
      </c>
    </row>
    <row r="882" spans="23:34">
      <c r="W882" s="177">
        <f t="shared" si="38"/>
        <v>0</v>
      </c>
      <c r="AB882" s="178">
        <f t="shared" si="39"/>
        <v>0</v>
      </c>
      <c r="AH882" s="177">
        <f t="shared" si="40"/>
        <v>0</v>
      </c>
    </row>
    <row r="883" spans="23:34">
      <c r="W883" s="177">
        <f t="shared" ref="W883:W946" si="41">SUM(Q883:T883)</f>
        <v>0</v>
      </c>
      <c r="AB883" s="178">
        <f t="shared" si="39"/>
        <v>0</v>
      </c>
      <c r="AH883" s="177">
        <f t="shared" si="40"/>
        <v>0</v>
      </c>
    </row>
    <row r="884" spans="23:34">
      <c r="W884" s="177">
        <f t="shared" si="41"/>
        <v>0</v>
      </c>
      <c r="AB884" s="178">
        <f t="shared" si="39"/>
        <v>0</v>
      </c>
      <c r="AH884" s="177">
        <f t="shared" si="40"/>
        <v>0</v>
      </c>
    </row>
    <row r="885" spans="23:34">
      <c r="W885" s="177">
        <f t="shared" si="41"/>
        <v>0</v>
      </c>
      <c r="AB885" s="178">
        <f t="shared" si="39"/>
        <v>0</v>
      </c>
      <c r="AH885" s="177">
        <f t="shared" si="40"/>
        <v>0</v>
      </c>
    </row>
    <row r="886" spans="23:34">
      <c r="W886" s="177">
        <f t="shared" si="41"/>
        <v>0</v>
      </c>
      <c r="AB886" s="178">
        <f t="shared" si="39"/>
        <v>0</v>
      </c>
      <c r="AH886" s="177">
        <f t="shared" si="40"/>
        <v>0</v>
      </c>
    </row>
    <row r="887" spans="23:34">
      <c r="W887" s="177">
        <f t="shared" si="41"/>
        <v>0</v>
      </c>
      <c r="AB887" s="178">
        <f t="shared" si="39"/>
        <v>0</v>
      </c>
      <c r="AH887" s="177">
        <f t="shared" si="40"/>
        <v>0</v>
      </c>
    </row>
    <row r="888" spans="23:34">
      <c r="W888" s="177">
        <f t="shared" si="41"/>
        <v>0</v>
      </c>
      <c r="AB888" s="178">
        <f t="shared" si="39"/>
        <v>0</v>
      </c>
      <c r="AH888" s="177">
        <f t="shared" si="40"/>
        <v>0</v>
      </c>
    </row>
    <row r="889" spans="23:34">
      <c r="W889" s="177">
        <f t="shared" si="41"/>
        <v>0</v>
      </c>
      <c r="AB889" s="178">
        <f t="shared" si="39"/>
        <v>0</v>
      </c>
      <c r="AH889" s="177">
        <f t="shared" si="40"/>
        <v>0</v>
      </c>
    </row>
    <row r="890" spans="23:34">
      <c r="W890" s="177">
        <f t="shared" si="41"/>
        <v>0</v>
      </c>
      <c r="AB890" s="178">
        <f t="shared" si="39"/>
        <v>0</v>
      </c>
      <c r="AH890" s="177">
        <f t="shared" si="40"/>
        <v>0</v>
      </c>
    </row>
    <row r="891" spans="23:34">
      <c r="W891" s="177">
        <f t="shared" si="41"/>
        <v>0</v>
      </c>
      <c r="AB891" s="178">
        <f t="shared" ref="AB891:AB954" si="42">SUM(Z891:AA891)</f>
        <v>0</v>
      </c>
      <c r="AH891" s="177">
        <f t="shared" si="40"/>
        <v>0</v>
      </c>
    </row>
    <row r="892" spans="23:34">
      <c r="W892" s="177">
        <f t="shared" si="41"/>
        <v>0</v>
      </c>
      <c r="AB892" s="178">
        <f t="shared" si="42"/>
        <v>0</v>
      </c>
      <c r="AH892" s="177">
        <f t="shared" si="40"/>
        <v>0</v>
      </c>
    </row>
    <row r="893" spans="23:34">
      <c r="W893" s="177">
        <f t="shared" si="41"/>
        <v>0</v>
      </c>
      <c r="AB893" s="178">
        <f t="shared" si="42"/>
        <v>0</v>
      </c>
      <c r="AH893" s="177">
        <f t="shared" si="40"/>
        <v>0</v>
      </c>
    </row>
    <row r="894" spans="23:34">
      <c r="W894" s="177">
        <f t="shared" si="41"/>
        <v>0</v>
      </c>
      <c r="AB894" s="178">
        <f t="shared" si="42"/>
        <v>0</v>
      </c>
      <c r="AH894" s="177">
        <f t="shared" si="40"/>
        <v>0</v>
      </c>
    </row>
    <row r="895" spans="23:34">
      <c r="W895" s="177">
        <f t="shared" si="41"/>
        <v>0</v>
      </c>
      <c r="AB895" s="178">
        <f t="shared" si="42"/>
        <v>0</v>
      </c>
      <c r="AH895" s="177">
        <f t="shared" si="40"/>
        <v>0</v>
      </c>
    </row>
    <row r="896" spans="23:34">
      <c r="W896" s="177">
        <f t="shared" si="41"/>
        <v>0</v>
      </c>
      <c r="AB896" s="178">
        <f t="shared" si="42"/>
        <v>0</v>
      </c>
      <c r="AH896" s="177">
        <f t="shared" si="40"/>
        <v>0</v>
      </c>
    </row>
    <row r="897" spans="23:34">
      <c r="W897" s="177">
        <f t="shared" si="41"/>
        <v>0</v>
      </c>
      <c r="AB897" s="178">
        <f t="shared" si="42"/>
        <v>0</v>
      </c>
      <c r="AH897" s="177">
        <f t="shared" si="40"/>
        <v>0</v>
      </c>
    </row>
    <row r="898" spans="23:34">
      <c r="W898" s="177">
        <f t="shared" si="41"/>
        <v>0</v>
      </c>
      <c r="AB898" s="178">
        <f t="shared" si="42"/>
        <v>0</v>
      </c>
      <c r="AH898" s="177">
        <f t="shared" si="40"/>
        <v>0</v>
      </c>
    </row>
    <row r="899" spans="23:34">
      <c r="W899" s="177">
        <f t="shared" si="41"/>
        <v>0</v>
      </c>
      <c r="AB899" s="178">
        <f t="shared" si="42"/>
        <v>0</v>
      </c>
      <c r="AH899" s="177">
        <f t="shared" si="40"/>
        <v>0</v>
      </c>
    </row>
    <row r="900" spans="23:34">
      <c r="W900" s="177">
        <f t="shared" si="41"/>
        <v>0</v>
      </c>
      <c r="AB900" s="178">
        <f t="shared" si="42"/>
        <v>0</v>
      </c>
      <c r="AH900" s="177">
        <f t="shared" si="40"/>
        <v>0</v>
      </c>
    </row>
    <row r="901" spans="23:34">
      <c r="W901" s="177">
        <f t="shared" si="41"/>
        <v>0</v>
      </c>
      <c r="AB901" s="178">
        <f t="shared" si="42"/>
        <v>0</v>
      </c>
      <c r="AH901" s="177">
        <f t="shared" si="40"/>
        <v>0</v>
      </c>
    </row>
    <row r="902" spans="23:34">
      <c r="W902" s="177">
        <f t="shared" si="41"/>
        <v>0</v>
      </c>
      <c r="AB902" s="178">
        <f t="shared" si="42"/>
        <v>0</v>
      </c>
      <c r="AH902" s="177">
        <f t="shared" si="40"/>
        <v>0</v>
      </c>
    </row>
    <row r="903" spans="23:34">
      <c r="W903" s="177">
        <f t="shared" si="41"/>
        <v>0</v>
      </c>
      <c r="AB903" s="178">
        <f t="shared" si="42"/>
        <v>0</v>
      </c>
      <c r="AH903" s="177">
        <f t="shared" si="40"/>
        <v>0</v>
      </c>
    </row>
    <row r="904" spans="23:34">
      <c r="W904" s="177">
        <f t="shared" si="41"/>
        <v>0</v>
      </c>
      <c r="AB904" s="178">
        <f t="shared" si="42"/>
        <v>0</v>
      </c>
      <c r="AH904" s="177">
        <f t="shared" si="40"/>
        <v>0</v>
      </c>
    </row>
    <row r="905" spans="23:34">
      <c r="W905" s="177">
        <f t="shared" si="41"/>
        <v>0</v>
      </c>
      <c r="AB905" s="178">
        <f t="shared" si="42"/>
        <v>0</v>
      </c>
      <c r="AH905" s="177">
        <f t="shared" si="40"/>
        <v>0</v>
      </c>
    </row>
    <row r="906" spans="23:34">
      <c r="W906" s="177">
        <f t="shared" si="41"/>
        <v>0</v>
      </c>
      <c r="AB906" s="178">
        <f t="shared" si="42"/>
        <v>0</v>
      </c>
      <c r="AH906" s="177">
        <f t="shared" si="40"/>
        <v>0</v>
      </c>
    </row>
    <row r="907" spans="23:34">
      <c r="W907" s="177">
        <f t="shared" si="41"/>
        <v>0</v>
      </c>
      <c r="AB907" s="178">
        <f t="shared" si="42"/>
        <v>0</v>
      </c>
      <c r="AH907" s="177">
        <f t="shared" si="40"/>
        <v>0</v>
      </c>
    </row>
    <row r="908" spans="23:34">
      <c r="W908" s="177">
        <f t="shared" si="41"/>
        <v>0</v>
      </c>
      <c r="AB908" s="178">
        <f t="shared" si="42"/>
        <v>0</v>
      </c>
      <c r="AH908" s="177">
        <f t="shared" si="40"/>
        <v>0</v>
      </c>
    </row>
    <row r="909" spans="23:34">
      <c r="W909" s="177">
        <f t="shared" si="41"/>
        <v>0</v>
      </c>
      <c r="AB909" s="178">
        <f t="shared" si="42"/>
        <v>0</v>
      </c>
      <c r="AH909" s="177">
        <f t="shared" si="40"/>
        <v>0</v>
      </c>
    </row>
    <row r="910" spans="23:34">
      <c r="W910" s="177">
        <f t="shared" si="41"/>
        <v>0</v>
      </c>
      <c r="AB910" s="178">
        <f t="shared" si="42"/>
        <v>0</v>
      </c>
      <c r="AH910" s="177">
        <f t="shared" si="40"/>
        <v>0</v>
      </c>
    </row>
    <row r="911" spans="23:34">
      <c r="W911" s="177">
        <f t="shared" si="41"/>
        <v>0</v>
      </c>
      <c r="AB911" s="178">
        <f t="shared" si="42"/>
        <v>0</v>
      </c>
      <c r="AH911" s="177">
        <f t="shared" si="40"/>
        <v>0</v>
      </c>
    </row>
    <row r="912" spans="23:34">
      <c r="W912" s="177">
        <f t="shared" si="41"/>
        <v>0</v>
      </c>
      <c r="AB912" s="178">
        <f t="shared" si="42"/>
        <v>0</v>
      </c>
      <c r="AH912" s="177">
        <f t="shared" si="40"/>
        <v>0</v>
      </c>
    </row>
    <row r="913" spans="23:34">
      <c r="W913" s="177">
        <f t="shared" si="41"/>
        <v>0</v>
      </c>
      <c r="AB913" s="178">
        <f t="shared" si="42"/>
        <v>0</v>
      </c>
      <c r="AH913" s="177">
        <f t="shared" si="40"/>
        <v>0</v>
      </c>
    </row>
    <row r="914" spans="23:34">
      <c r="W914" s="177">
        <f t="shared" si="41"/>
        <v>0</v>
      </c>
      <c r="AB914" s="178">
        <f t="shared" si="42"/>
        <v>0</v>
      </c>
      <c r="AH914" s="177">
        <f t="shared" si="40"/>
        <v>0</v>
      </c>
    </row>
    <row r="915" spans="23:34">
      <c r="W915" s="177">
        <f t="shared" si="41"/>
        <v>0</v>
      </c>
      <c r="AB915" s="178">
        <f t="shared" si="42"/>
        <v>0</v>
      </c>
      <c r="AH915" s="177">
        <f t="shared" si="40"/>
        <v>0</v>
      </c>
    </row>
    <row r="916" spans="23:34">
      <c r="W916" s="177">
        <f t="shared" si="41"/>
        <v>0</v>
      </c>
      <c r="AB916" s="178">
        <f t="shared" si="42"/>
        <v>0</v>
      </c>
      <c r="AH916" s="177">
        <f t="shared" si="40"/>
        <v>0</v>
      </c>
    </row>
    <row r="917" spans="23:34">
      <c r="W917" s="177">
        <f t="shared" si="41"/>
        <v>0</v>
      </c>
      <c r="AB917" s="178">
        <f t="shared" si="42"/>
        <v>0</v>
      </c>
      <c r="AH917" s="177">
        <f t="shared" si="40"/>
        <v>0</v>
      </c>
    </row>
    <row r="918" spans="23:34">
      <c r="W918" s="177">
        <f t="shared" si="41"/>
        <v>0</v>
      </c>
      <c r="AB918" s="178">
        <f t="shared" si="42"/>
        <v>0</v>
      </c>
      <c r="AH918" s="177">
        <f t="shared" si="40"/>
        <v>0</v>
      </c>
    </row>
    <row r="919" spans="23:34">
      <c r="W919" s="177">
        <f t="shared" si="41"/>
        <v>0</v>
      </c>
      <c r="AB919" s="178">
        <f t="shared" si="42"/>
        <v>0</v>
      </c>
      <c r="AH919" s="177">
        <f t="shared" si="40"/>
        <v>0</v>
      </c>
    </row>
    <row r="920" spans="23:34">
      <c r="W920" s="177">
        <f t="shared" si="41"/>
        <v>0</v>
      </c>
      <c r="AB920" s="178">
        <f t="shared" si="42"/>
        <v>0</v>
      </c>
      <c r="AH920" s="177">
        <f t="shared" si="40"/>
        <v>0</v>
      </c>
    </row>
    <row r="921" spans="23:34">
      <c r="W921" s="177">
        <f t="shared" si="41"/>
        <v>0</v>
      </c>
      <c r="AB921" s="178">
        <f t="shared" si="42"/>
        <v>0</v>
      </c>
      <c r="AH921" s="177">
        <f t="shared" si="40"/>
        <v>0</v>
      </c>
    </row>
    <row r="922" spans="23:34">
      <c r="W922" s="177">
        <f t="shared" si="41"/>
        <v>0</v>
      </c>
      <c r="AB922" s="178">
        <f t="shared" si="42"/>
        <v>0</v>
      </c>
      <c r="AH922" s="177">
        <f t="shared" si="40"/>
        <v>0</v>
      </c>
    </row>
    <row r="923" spans="23:34">
      <c r="W923" s="177">
        <f t="shared" si="41"/>
        <v>0</v>
      </c>
      <c r="AB923" s="178">
        <f t="shared" si="42"/>
        <v>0</v>
      </c>
      <c r="AH923" s="177">
        <f t="shared" si="40"/>
        <v>0</v>
      </c>
    </row>
    <row r="924" spans="23:34">
      <c r="W924" s="177">
        <f t="shared" si="41"/>
        <v>0</v>
      </c>
      <c r="AB924" s="178">
        <f t="shared" si="42"/>
        <v>0</v>
      </c>
      <c r="AH924" s="177">
        <f t="shared" si="40"/>
        <v>0</v>
      </c>
    </row>
    <row r="925" spans="23:34">
      <c r="W925" s="177">
        <f t="shared" si="41"/>
        <v>0</v>
      </c>
      <c r="AB925" s="178">
        <f t="shared" si="42"/>
        <v>0</v>
      </c>
      <c r="AH925" s="177">
        <f t="shared" si="40"/>
        <v>0</v>
      </c>
    </row>
    <row r="926" spans="23:34">
      <c r="W926" s="177">
        <f t="shared" si="41"/>
        <v>0</v>
      </c>
      <c r="AB926" s="178">
        <f t="shared" si="42"/>
        <v>0</v>
      </c>
      <c r="AH926" s="177">
        <f t="shared" si="40"/>
        <v>0</v>
      </c>
    </row>
    <row r="927" spans="23:34">
      <c r="W927" s="177">
        <f t="shared" si="41"/>
        <v>0</v>
      </c>
      <c r="AB927" s="178">
        <f t="shared" si="42"/>
        <v>0</v>
      </c>
      <c r="AH927" s="177">
        <f t="shared" si="40"/>
        <v>0</v>
      </c>
    </row>
    <row r="928" spans="23:34">
      <c r="W928" s="177">
        <f t="shared" si="41"/>
        <v>0</v>
      </c>
      <c r="AB928" s="178">
        <f t="shared" si="42"/>
        <v>0</v>
      </c>
      <c r="AH928" s="177">
        <f t="shared" si="40"/>
        <v>0</v>
      </c>
    </row>
    <row r="929" spans="23:34">
      <c r="W929" s="177">
        <f t="shared" si="41"/>
        <v>0</v>
      </c>
      <c r="AB929" s="178">
        <f t="shared" si="42"/>
        <v>0</v>
      </c>
      <c r="AH929" s="177">
        <f t="shared" si="40"/>
        <v>0</v>
      </c>
    </row>
    <row r="930" spans="23:34">
      <c r="W930" s="177">
        <f t="shared" si="41"/>
        <v>0</v>
      </c>
      <c r="AB930" s="178">
        <f t="shared" si="42"/>
        <v>0</v>
      </c>
      <c r="AH930" s="177">
        <f t="shared" si="40"/>
        <v>0</v>
      </c>
    </row>
    <row r="931" spans="23:34">
      <c r="W931" s="177">
        <f t="shared" si="41"/>
        <v>0</v>
      </c>
      <c r="AB931" s="178">
        <f t="shared" si="42"/>
        <v>0</v>
      </c>
      <c r="AH931" s="177">
        <f t="shared" si="40"/>
        <v>0</v>
      </c>
    </row>
    <row r="932" spans="23:34">
      <c r="W932" s="177">
        <f t="shared" si="41"/>
        <v>0</v>
      </c>
      <c r="AB932" s="178">
        <f t="shared" si="42"/>
        <v>0</v>
      </c>
      <c r="AH932" s="177">
        <f t="shared" si="40"/>
        <v>0</v>
      </c>
    </row>
    <row r="933" spans="23:34">
      <c r="W933" s="177">
        <f t="shared" si="41"/>
        <v>0</v>
      </c>
      <c r="AB933" s="178">
        <f t="shared" si="42"/>
        <v>0</v>
      </c>
      <c r="AH933" s="177">
        <f t="shared" si="40"/>
        <v>0</v>
      </c>
    </row>
    <row r="934" spans="23:34">
      <c r="W934" s="177">
        <f t="shared" si="41"/>
        <v>0</v>
      </c>
      <c r="AB934" s="178">
        <f t="shared" si="42"/>
        <v>0</v>
      </c>
      <c r="AH934" s="177">
        <f t="shared" si="40"/>
        <v>0</v>
      </c>
    </row>
    <row r="935" spans="23:34">
      <c r="W935" s="177">
        <f t="shared" si="41"/>
        <v>0</v>
      </c>
      <c r="AB935" s="178">
        <f t="shared" si="42"/>
        <v>0</v>
      </c>
      <c r="AH935" s="177">
        <f t="shared" si="40"/>
        <v>0</v>
      </c>
    </row>
    <row r="936" spans="23:34">
      <c r="W936" s="177">
        <f t="shared" si="41"/>
        <v>0</v>
      </c>
      <c r="AB936" s="178">
        <f t="shared" si="42"/>
        <v>0</v>
      </c>
      <c r="AH936" s="177">
        <f t="shared" si="40"/>
        <v>0</v>
      </c>
    </row>
    <row r="937" spans="23:34">
      <c r="W937" s="177">
        <f t="shared" si="41"/>
        <v>0</v>
      </c>
      <c r="AB937" s="178">
        <f t="shared" si="42"/>
        <v>0</v>
      </c>
      <c r="AH937" s="177">
        <f t="shared" si="40"/>
        <v>0</v>
      </c>
    </row>
    <row r="938" spans="23:34">
      <c r="W938" s="177">
        <f t="shared" si="41"/>
        <v>0</v>
      </c>
      <c r="AB938" s="178">
        <f t="shared" si="42"/>
        <v>0</v>
      </c>
      <c r="AH938" s="177">
        <f t="shared" si="40"/>
        <v>0</v>
      </c>
    </row>
    <row r="939" spans="23:34">
      <c r="W939" s="177">
        <f t="shared" si="41"/>
        <v>0</v>
      </c>
      <c r="AB939" s="178">
        <f t="shared" si="42"/>
        <v>0</v>
      </c>
      <c r="AH939" s="177">
        <f t="shared" si="40"/>
        <v>0</v>
      </c>
    </row>
    <row r="940" spans="23:34">
      <c r="W940" s="177">
        <f t="shared" si="41"/>
        <v>0</v>
      </c>
      <c r="AB940" s="178">
        <f t="shared" si="42"/>
        <v>0</v>
      </c>
      <c r="AH940" s="177">
        <f t="shared" si="40"/>
        <v>0</v>
      </c>
    </row>
    <row r="941" spans="23:34">
      <c r="W941" s="177">
        <f t="shared" si="41"/>
        <v>0</v>
      </c>
      <c r="AB941" s="178">
        <f t="shared" si="42"/>
        <v>0</v>
      </c>
      <c r="AH941" s="177">
        <f t="shared" si="40"/>
        <v>0</v>
      </c>
    </row>
    <row r="942" spans="23:34">
      <c r="W942" s="177">
        <f t="shared" si="41"/>
        <v>0</v>
      </c>
      <c r="AB942" s="178">
        <f t="shared" si="42"/>
        <v>0</v>
      </c>
      <c r="AH942" s="177">
        <f t="shared" si="40"/>
        <v>0</v>
      </c>
    </row>
    <row r="943" spans="23:34">
      <c r="W943" s="177">
        <f t="shared" si="41"/>
        <v>0</v>
      </c>
      <c r="AB943" s="178">
        <f t="shared" si="42"/>
        <v>0</v>
      </c>
      <c r="AH943" s="177">
        <f t="shared" si="40"/>
        <v>0</v>
      </c>
    </row>
    <row r="944" spans="23:34">
      <c r="W944" s="177">
        <f t="shared" si="41"/>
        <v>0</v>
      </c>
      <c r="AB944" s="178">
        <f t="shared" si="42"/>
        <v>0</v>
      </c>
      <c r="AH944" s="177">
        <f t="shared" ref="AH944:AH1007" si="43">SUM(AF944:AG944)</f>
        <v>0</v>
      </c>
    </row>
    <row r="945" spans="23:34">
      <c r="W945" s="177">
        <f t="shared" si="41"/>
        <v>0</v>
      </c>
      <c r="AB945" s="178">
        <f t="shared" si="42"/>
        <v>0</v>
      </c>
      <c r="AH945" s="177">
        <f t="shared" si="43"/>
        <v>0</v>
      </c>
    </row>
    <row r="946" spans="23:34">
      <c r="W946" s="177">
        <f t="shared" si="41"/>
        <v>0</v>
      </c>
      <c r="AB946" s="178">
        <f t="shared" si="42"/>
        <v>0</v>
      </c>
      <c r="AH946" s="177">
        <f t="shared" si="43"/>
        <v>0</v>
      </c>
    </row>
    <row r="947" spans="23:34">
      <c r="W947" s="177">
        <f t="shared" ref="W947:W1010" si="44">SUM(Q947:T947)</f>
        <v>0</v>
      </c>
      <c r="AB947" s="178">
        <f t="shared" si="42"/>
        <v>0</v>
      </c>
      <c r="AH947" s="177">
        <f t="shared" si="43"/>
        <v>0</v>
      </c>
    </row>
    <row r="948" spans="23:34">
      <c r="W948" s="177">
        <f t="shared" si="44"/>
        <v>0</v>
      </c>
      <c r="AB948" s="178">
        <f t="shared" si="42"/>
        <v>0</v>
      </c>
      <c r="AH948" s="177">
        <f t="shared" si="43"/>
        <v>0</v>
      </c>
    </row>
    <row r="949" spans="23:34">
      <c r="W949" s="177">
        <f t="shared" si="44"/>
        <v>0</v>
      </c>
      <c r="AB949" s="178">
        <f t="shared" si="42"/>
        <v>0</v>
      </c>
      <c r="AH949" s="177">
        <f t="shared" si="43"/>
        <v>0</v>
      </c>
    </row>
    <row r="950" spans="23:34">
      <c r="W950" s="177">
        <f t="shared" si="44"/>
        <v>0</v>
      </c>
      <c r="AB950" s="178">
        <f t="shared" si="42"/>
        <v>0</v>
      </c>
      <c r="AH950" s="177">
        <f t="shared" si="43"/>
        <v>0</v>
      </c>
    </row>
    <row r="951" spans="23:34">
      <c r="W951" s="177">
        <f t="shared" si="44"/>
        <v>0</v>
      </c>
      <c r="AB951" s="178">
        <f t="shared" si="42"/>
        <v>0</v>
      </c>
      <c r="AH951" s="177">
        <f t="shared" si="43"/>
        <v>0</v>
      </c>
    </row>
    <row r="952" spans="23:34">
      <c r="W952" s="177">
        <f t="shared" si="44"/>
        <v>0</v>
      </c>
      <c r="AB952" s="178">
        <f t="shared" si="42"/>
        <v>0</v>
      </c>
      <c r="AH952" s="177">
        <f t="shared" si="43"/>
        <v>0</v>
      </c>
    </row>
    <row r="953" spans="23:34">
      <c r="W953" s="177">
        <f t="shared" si="44"/>
        <v>0</v>
      </c>
      <c r="AB953" s="178">
        <f t="shared" si="42"/>
        <v>0</v>
      </c>
      <c r="AH953" s="177">
        <f t="shared" si="43"/>
        <v>0</v>
      </c>
    </row>
    <row r="954" spans="23:34">
      <c r="W954" s="177">
        <f t="shared" si="44"/>
        <v>0</v>
      </c>
      <c r="AB954" s="178">
        <f t="shared" si="42"/>
        <v>0</v>
      </c>
      <c r="AH954" s="177">
        <f t="shared" si="43"/>
        <v>0</v>
      </c>
    </row>
    <row r="955" spans="23:34">
      <c r="W955" s="177">
        <f t="shared" si="44"/>
        <v>0</v>
      </c>
      <c r="AB955" s="178">
        <f t="shared" ref="AB955:AB1018" si="45">SUM(Z955:AA955)</f>
        <v>0</v>
      </c>
      <c r="AH955" s="177">
        <f t="shared" si="43"/>
        <v>0</v>
      </c>
    </row>
    <row r="956" spans="23:34">
      <c r="W956" s="177">
        <f t="shared" si="44"/>
        <v>0</v>
      </c>
      <c r="AB956" s="178">
        <f t="shared" si="45"/>
        <v>0</v>
      </c>
      <c r="AH956" s="177">
        <f t="shared" si="43"/>
        <v>0</v>
      </c>
    </row>
    <row r="957" spans="23:34">
      <c r="W957" s="177">
        <f t="shared" si="44"/>
        <v>0</v>
      </c>
      <c r="AB957" s="178">
        <f t="shared" si="45"/>
        <v>0</v>
      </c>
      <c r="AH957" s="177">
        <f t="shared" si="43"/>
        <v>0</v>
      </c>
    </row>
    <row r="958" spans="23:34">
      <c r="W958" s="177">
        <f t="shared" si="44"/>
        <v>0</v>
      </c>
      <c r="AB958" s="178">
        <f t="shared" si="45"/>
        <v>0</v>
      </c>
      <c r="AH958" s="177">
        <f t="shared" si="43"/>
        <v>0</v>
      </c>
    </row>
    <row r="959" spans="23:34">
      <c r="W959" s="177">
        <f t="shared" si="44"/>
        <v>0</v>
      </c>
      <c r="AB959" s="178">
        <f t="shared" si="45"/>
        <v>0</v>
      </c>
      <c r="AH959" s="177">
        <f t="shared" si="43"/>
        <v>0</v>
      </c>
    </row>
    <row r="960" spans="23:34">
      <c r="W960" s="177">
        <f t="shared" si="44"/>
        <v>0</v>
      </c>
      <c r="AB960" s="178">
        <f t="shared" si="45"/>
        <v>0</v>
      </c>
      <c r="AH960" s="177">
        <f t="shared" si="43"/>
        <v>0</v>
      </c>
    </row>
    <row r="961" spans="23:34">
      <c r="W961" s="177">
        <f t="shared" si="44"/>
        <v>0</v>
      </c>
      <c r="AB961" s="178">
        <f t="shared" si="45"/>
        <v>0</v>
      </c>
      <c r="AH961" s="177">
        <f t="shared" si="43"/>
        <v>0</v>
      </c>
    </row>
    <row r="962" spans="23:34">
      <c r="W962" s="177">
        <f t="shared" si="44"/>
        <v>0</v>
      </c>
      <c r="AB962" s="178">
        <f t="shared" si="45"/>
        <v>0</v>
      </c>
      <c r="AH962" s="177">
        <f t="shared" si="43"/>
        <v>0</v>
      </c>
    </row>
    <row r="963" spans="23:34">
      <c r="W963" s="177">
        <f t="shared" si="44"/>
        <v>0</v>
      </c>
      <c r="AB963" s="178">
        <f t="shared" si="45"/>
        <v>0</v>
      </c>
      <c r="AH963" s="177">
        <f t="shared" si="43"/>
        <v>0</v>
      </c>
    </row>
    <row r="964" spans="23:34">
      <c r="W964" s="177">
        <f t="shared" si="44"/>
        <v>0</v>
      </c>
      <c r="AB964" s="178">
        <f t="shared" si="45"/>
        <v>0</v>
      </c>
      <c r="AH964" s="177">
        <f t="shared" si="43"/>
        <v>0</v>
      </c>
    </row>
    <row r="965" spans="23:34">
      <c r="W965" s="177">
        <f t="shared" si="44"/>
        <v>0</v>
      </c>
      <c r="AB965" s="178">
        <f t="shared" si="45"/>
        <v>0</v>
      </c>
      <c r="AH965" s="177">
        <f t="shared" si="43"/>
        <v>0</v>
      </c>
    </row>
    <row r="966" spans="23:34">
      <c r="W966" s="177">
        <f t="shared" si="44"/>
        <v>0</v>
      </c>
      <c r="AB966" s="178">
        <f t="shared" si="45"/>
        <v>0</v>
      </c>
      <c r="AH966" s="177">
        <f t="shared" si="43"/>
        <v>0</v>
      </c>
    </row>
    <row r="967" spans="23:34">
      <c r="W967" s="177">
        <f t="shared" si="44"/>
        <v>0</v>
      </c>
      <c r="AB967" s="178">
        <f t="shared" si="45"/>
        <v>0</v>
      </c>
      <c r="AH967" s="177">
        <f t="shared" si="43"/>
        <v>0</v>
      </c>
    </row>
    <row r="968" spans="23:34">
      <c r="W968" s="177">
        <f t="shared" si="44"/>
        <v>0</v>
      </c>
      <c r="AB968" s="178">
        <f t="shared" si="45"/>
        <v>0</v>
      </c>
      <c r="AH968" s="177">
        <f t="shared" si="43"/>
        <v>0</v>
      </c>
    </row>
    <row r="969" spans="23:34">
      <c r="W969" s="177">
        <f t="shared" si="44"/>
        <v>0</v>
      </c>
      <c r="AB969" s="178">
        <f t="shared" si="45"/>
        <v>0</v>
      </c>
      <c r="AH969" s="177">
        <f t="shared" si="43"/>
        <v>0</v>
      </c>
    </row>
    <row r="970" spans="23:34">
      <c r="W970" s="177">
        <f t="shared" si="44"/>
        <v>0</v>
      </c>
      <c r="AB970" s="178">
        <f t="shared" si="45"/>
        <v>0</v>
      </c>
      <c r="AH970" s="177">
        <f t="shared" si="43"/>
        <v>0</v>
      </c>
    </row>
    <row r="971" spans="23:34">
      <c r="W971" s="177">
        <f t="shared" si="44"/>
        <v>0</v>
      </c>
      <c r="AB971" s="178">
        <f t="shared" si="45"/>
        <v>0</v>
      </c>
      <c r="AH971" s="177">
        <f t="shared" si="43"/>
        <v>0</v>
      </c>
    </row>
    <row r="972" spans="23:34">
      <c r="W972" s="177">
        <f t="shared" si="44"/>
        <v>0</v>
      </c>
      <c r="AB972" s="178">
        <f t="shared" si="45"/>
        <v>0</v>
      </c>
      <c r="AH972" s="177">
        <f t="shared" si="43"/>
        <v>0</v>
      </c>
    </row>
    <row r="973" spans="23:34">
      <c r="W973" s="177">
        <f t="shared" si="44"/>
        <v>0</v>
      </c>
      <c r="AB973" s="178">
        <f t="shared" si="45"/>
        <v>0</v>
      </c>
      <c r="AH973" s="177">
        <f t="shared" si="43"/>
        <v>0</v>
      </c>
    </row>
    <row r="974" spans="23:34">
      <c r="W974" s="177">
        <f t="shared" si="44"/>
        <v>0</v>
      </c>
      <c r="AB974" s="178">
        <f t="shared" si="45"/>
        <v>0</v>
      </c>
      <c r="AH974" s="177">
        <f t="shared" si="43"/>
        <v>0</v>
      </c>
    </row>
    <row r="975" spans="23:34">
      <c r="W975" s="177">
        <f t="shared" si="44"/>
        <v>0</v>
      </c>
      <c r="AB975" s="178">
        <f t="shared" si="45"/>
        <v>0</v>
      </c>
      <c r="AH975" s="177">
        <f t="shared" si="43"/>
        <v>0</v>
      </c>
    </row>
    <row r="976" spans="23:34">
      <c r="W976" s="177">
        <f t="shared" si="44"/>
        <v>0</v>
      </c>
      <c r="AB976" s="178">
        <f t="shared" si="45"/>
        <v>0</v>
      </c>
      <c r="AH976" s="177">
        <f t="shared" si="43"/>
        <v>0</v>
      </c>
    </row>
    <row r="977" spans="23:34">
      <c r="W977" s="177">
        <f t="shared" si="44"/>
        <v>0</v>
      </c>
      <c r="AB977" s="178">
        <f t="shared" si="45"/>
        <v>0</v>
      </c>
      <c r="AH977" s="177">
        <f t="shared" si="43"/>
        <v>0</v>
      </c>
    </row>
    <row r="978" spans="23:34">
      <c r="W978" s="177">
        <f t="shared" si="44"/>
        <v>0</v>
      </c>
      <c r="AB978" s="178">
        <f t="shared" si="45"/>
        <v>0</v>
      </c>
      <c r="AH978" s="177">
        <f t="shared" si="43"/>
        <v>0</v>
      </c>
    </row>
    <row r="979" spans="23:34">
      <c r="W979" s="177">
        <f t="shared" si="44"/>
        <v>0</v>
      </c>
      <c r="AB979" s="178">
        <f t="shared" si="45"/>
        <v>0</v>
      </c>
      <c r="AH979" s="177">
        <f t="shared" si="43"/>
        <v>0</v>
      </c>
    </row>
    <row r="980" spans="23:34">
      <c r="W980" s="177">
        <f t="shared" si="44"/>
        <v>0</v>
      </c>
      <c r="AB980" s="178">
        <f t="shared" si="45"/>
        <v>0</v>
      </c>
      <c r="AH980" s="177">
        <f t="shared" si="43"/>
        <v>0</v>
      </c>
    </row>
    <row r="981" spans="23:34">
      <c r="W981" s="177">
        <f t="shared" si="44"/>
        <v>0</v>
      </c>
      <c r="AB981" s="178">
        <f t="shared" si="45"/>
        <v>0</v>
      </c>
      <c r="AH981" s="177">
        <f t="shared" si="43"/>
        <v>0</v>
      </c>
    </row>
    <row r="982" spans="23:34">
      <c r="W982" s="177">
        <f t="shared" si="44"/>
        <v>0</v>
      </c>
      <c r="AB982" s="178">
        <f t="shared" si="45"/>
        <v>0</v>
      </c>
      <c r="AH982" s="177">
        <f t="shared" si="43"/>
        <v>0</v>
      </c>
    </row>
    <row r="983" spans="23:34">
      <c r="W983" s="177">
        <f t="shared" si="44"/>
        <v>0</v>
      </c>
      <c r="AB983" s="178">
        <f t="shared" si="45"/>
        <v>0</v>
      </c>
      <c r="AH983" s="177">
        <f t="shared" si="43"/>
        <v>0</v>
      </c>
    </row>
    <row r="984" spans="23:34">
      <c r="W984" s="177">
        <f t="shared" si="44"/>
        <v>0</v>
      </c>
      <c r="AB984" s="178">
        <f t="shared" si="45"/>
        <v>0</v>
      </c>
      <c r="AH984" s="177">
        <f t="shared" si="43"/>
        <v>0</v>
      </c>
    </row>
    <row r="985" spans="23:34">
      <c r="W985" s="177">
        <f t="shared" si="44"/>
        <v>0</v>
      </c>
      <c r="AB985" s="178">
        <f t="shared" si="45"/>
        <v>0</v>
      </c>
      <c r="AH985" s="177">
        <f t="shared" si="43"/>
        <v>0</v>
      </c>
    </row>
    <row r="986" spans="23:34">
      <c r="W986" s="177">
        <f t="shared" si="44"/>
        <v>0</v>
      </c>
      <c r="AB986" s="178">
        <f t="shared" si="45"/>
        <v>0</v>
      </c>
      <c r="AH986" s="177">
        <f t="shared" si="43"/>
        <v>0</v>
      </c>
    </row>
    <row r="987" spans="23:34">
      <c r="W987" s="177">
        <f t="shared" si="44"/>
        <v>0</v>
      </c>
      <c r="AB987" s="178">
        <f t="shared" si="45"/>
        <v>0</v>
      </c>
      <c r="AH987" s="177">
        <f t="shared" si="43"/>
        <v>0</v>
      </c>
    </row>
    <row r="988" spans="23:34">
      <c r="W988" s="177">
        <f t="shared" si="44"/>
        <v>0</v>
      </c>
      <c r="AB988" s="178">
        <f t="shared" si="45"/>
        <v>0</v>
      </c>
      <c r="AH988" s="177">
        <f t="shared" si="43"/>
        <v>0</v>
      </c>
    </row>
    <row r="989" spans="23:34">
      <c r="W989" s="177">
        <f t="shared" si="44"/>
        <v>0</v>
      </c>
      <c r="AB989" s="178">
        <f t="shared" si="45"/>
        <v>0</v>
      </c>
      <c r="AH989" s="177">
        <f t="shared" si="43"/>
        <v>0</v>
      </c>
    </row>
    <row r="990" spans="23:34">
      <c r="W990" s="177">
        <f t="shared" si="44"/>
        <v>0</v>
      </c>
      <c r="AB990" s="178">
        <f t="shared" si="45"/>
        <v>0</v>
      </c>
      <c r="AH990" s="177">
        <f t="shared" si="43"/>
        <v>0</v>
      </c>
    </row>
    <row r="991" spans="23:34">
      <c r="W991" s="177">
        <f t="shared" si="44"/>
        <v>0</v>
      </c>
      <c r="AB991" s="178">
        <f t="shared" si="45"/>
        <v>0</v>
      </c>
      <c r="AH991" s="177">
        <f t="shared" si="43"/>
        <v>0</v>
      </c>
    </row>
    <row r="992" spans="23:34">
      <c r="W992" s="177">
        <f t="shared" si="44"/>
        <v>0</v>
      </c>
      <c r="AB992" s="178">
        <f t="shared" si="45"/>
        <v>0</v>
      </c>
      <c r="AH992" s="177">
        <f t="shared" si="43"/>
        <v>0</v>
      </c>
    </row>
    <row r="993" spans="23:34">
      <c r="W993" s="177">
        <f t="shared" si="44"/>
        <v>0</v>
      </c>
      <c r="AB993" s="178">
        <f t="shared" si="45"/>
        <v>0</v>
      </c>
      <c r="AH993" s="177">
        <f t="shared" si="43"/>
        <v>0</v>
      </c>
    </row>
    <row r="994" spans="23:34">
      <c r="W994" s="177">
        <f t="shared" si="44"/>
        <v>0</v>
      </c>
      <c r="AB994" s="178">
        <f t="shared" si="45"/>
        <v>0</v>
      </c>
      <c r="AH994" s="177">
        <f t="shared" si="43"/>
        <v>0</v>
      </c>
    </row>
    <row r="995" spans="23:34">
      <c r="W995" s="177">
        <f t="shared" si="44"/>
        <v>0</v>
      </c>
      <c r="AB995" s="178">
        <f t="shared" si="45"/>
        <v>0</v>
      </c>
      <c r="AH995" s="177">
        <f t="shared" si="43"/>
        <v>0</v>
      </c>
    </row>
    <row r="996" spans="23:34">
      <c r="W996" s="177">
        <f t="shared" si="44"/>
        <v>0</v>
      </c>
      <c r="AB996" s="178">
        <f t="shared" si="45"/>
        <v>0</v>
      </c>
      <c r="AH996" s="177">
        <f t="shared" si="43"/>
        <v>0</v>
      </c>
    </row>
    <row r="997" spans="23:34">
      <c r="W997" s="177">
        <f t="shared" si="44"/>
        <v>0</v>
      </c>
      <c r="AB997" s="178">
        <f t="shared" si="45"/>
        <v>0</v>
      </c>
      <c r="AH997" s="177">
        <f t="shared" si="43"/>
        <v>0</v>
      </c>
    </row>
    <row r="998" spans="23:34">
      <c r="W998" s="177">
        <f t="shared" si="44"/>
        <v>0</v>
      </c>
      <c r="AB998" s="178">
        <f t="shared" si="45"/>
        <v>0</v>
      </c>
      <c r="AH998" s="177">
        <f t="shared" si="43"/>
        <v>0</v>
      </c>
    </row>
    <row r="999" spans="23:34">
      <c r="W999" s="177">
        <f t="shared" si="44"/>
        <v>0</v>
      </c>
      <c r="AB999" s="178">
        <f t="shared" si="45"/>
        <v>0</v>
      </c>
      <c r="AH999" s="177">
        <f t="shared" si="43"/>
        <v>0</v>
      </c>
    </row>
    <row r="1000" spans="23:34">
      <c r="W1000" s="177">
        <f t="shared" si="44"/>
        <v>0</v>
      </c>
      <c r="AB1000" s="178">
        <f t="shared" si="45"/>
        <v>0</v>
      </c>
      <c r="AH1000" s="177">
        <f t="shared" si="43"/>
        <v>0</v>
      </c>
    </row>
    <row r="1001" spans="23:34">
      <c r="W1001" s="177">
        <f t="shared" si="44"/>
        <v>0</v>
      </c>
      <c r="AB1001" s="178">
        <f t="shared" si="45"/>
        <v>0</v>
      </c>
      <c r="AH1001" s="177">
        <f t="shared" si="43"/>
        <v>0</v>
      </c>
    </row>
    <row r="1002" spans="23:34">
      <c r="W1002" s="177">
        <f t="shared" si="44"/>
        <v>0</v>
      </c>
      <c r="AB1002" s="178">
        <f t="shared" si="45"/>
        <v>0</v>
      </c>
      <c r="AH1002" s="177">
        <f t="shared" si="43"/>
        <v>0</v>
      </c>
    </row>
    <row r="1003" spans="23:34">
      <c r="W1003" s="177">
        <f t="shared" si="44"/>
        <v>0</v>
      </c>
      <c r="AB1003" s="178">
        <f t="shared" si="45"/>
        <v>0</v>
      </c>
      <c r="AH1003" s="177">
        <f t="shared" si="43"/>
        <v>0</v>
      </c>
    </row>
    <row r="1004" spans="23:34">
      <c r="W1004" s="177">
        <f t="shared" si="44"/>
        <v>0</v>
      </c>
      <c r="AB1004" s="178">
        <f t="shared" si="45"/>
        <v>0</v>
      </c>
      <c r="AH1004" s="177">
        <f t="shared" si="43"/>
        <v>0</v>
      </c>
    </row>
    <row r="1005" spans="23:34">
      <c r="W1005" s="177">
        <f t="shared" si="44"/>
        <v>0</v>
      </c>
      <c r="AB1005" s="178">
        <f t="shared" si="45"/>
        <v>0</v>
      </c>
      <c r="AH1005" s="177">
        <f t="shared" si="43"/>
        <v>0</v>
      </c>
    </row>
    <row r="1006" spans="23:34">
      <c r="W1006" s="177">
        <f t="shared" si="44"/>
        <v>0</v>
      </c>
      <c r="AB1006" s="178">
        <f t="shared" si="45"/>
        <v>0</v>
      </c>
      <c r="AH1006" s="177">
        <f t="shared" si="43"/>
        <v>0</v>
      </c>
    </row>
    <row r="1007" spans="23:34">
      <c r="W1007" s="177">
        <f t="shared" si="44"/>
        <v>0</v>
      </c>
      <c r="AB1007" s="178">
        <f t="shared" si="45"/>
        <v>0</v>
      </c>
      <c r="AH1007" s="177">
        <f t="shared" si="43"/>
        <v>0</v>
      </c>
    </row>
    <row r="1008" spans="23:34">
      <c r="W1008" s="177">
        <f t="shared" si="44"/>
        <v>0</v>
      </c>
      <c r="AB1008" s="178">
        <f t="shared" si="45"/>
        <v>0</v>
      </c>
      <c r="AH1008" s="177">
        <f t="shared" ref="AH1008:AH1071" si="46">SUM(AF1008:AG1008)</f>
        <v>0</v>
      </c>
    </row>
    <row r="1009" spans="23:34">
      <c r="W1009" s="177">
        <f t="shared" si="44"/>
        <v>0</v>
      </c>
      <c r="AB1009" s="178">
        <f t="shared" si="45"/>
        <v>0</v>
      </c>
      <c r="AH1009" s="177">
        <f t="shared" si="46"/>
        <v>0</v>
      </c>
    </row>
    <row r="1010" spans="23:34">
      <c r="W1010" s="177">
        <f t="shared" si="44"/>
        <v>0</v>
      </c>
      <c r="AB1010" s="178">
        <f t="shared" si="45"/>
        <v>0</v>
      </c>
      <c r="AH1010" s="177">
        <f t="shared" si="46"/>
        <v>0</v>
      </c>
    </row>
    <row r="1011" spans="23:34">
      <c r="W1011" s="177">
        <f t="shared" ref="W1011:W1074" si="47">SUM(Q1011:T1011)</f>
        <v>0</v>
      </c>
      <c r="AB1011" s="178">
        <f t="shared" si="45"/>
        <v>0</v>
      </c>
      <c r="AH1011" s="177">
        <f t="shared" si="46"/>
        <v>0</v>
      </c>
    </row>
    <row r="1012" spans="23:34">
      <c r="W1012" s="177">
        <f t="shared" si="47"/>
        <v>0</v>
      </c>
      <c r="AB1012" s="178">
        <f t="shared" si="45"/>
        <v>0</v>
      </c>
      <c r="AH1012" s="177">
        <f t="shared" si="46"/>
        <v>0</v>
      </c>
    </row>
    <row r="1013" spans="23:34">
      <c r="W1013" s="177">
        <f t="shared" si="47"/>
        <v>0</v>
      </c>
      <c r="AB1013" s="178">
        <f t="shared" si="45"/>
        <v>0</v>
      </c>
      <c r="AH1013" s="177">
        <f t="shared" si="46"/>
        <v>0</v>
      </c>
    </row>
    <row r="1014" spans="23:34">
      <c r="W1014" s="177">
        <f t="shared" si="47"/>
        <v>0</v>
      </c>
      <c r="AB1014" s="178">
        <f t="shared" si="45"/>
        <v>0</v>
      </c>
      <c r="AH1014" s="177">
        <f t="shared" si="46"/>
        <v>0</v>
      </c>
    </row>
    <row r="1015" spans="23:34">
      <c r="W1015" s="177">
        <f t="shared" si="47"/>
        <v>0</v>
      </c>
      <c r="AB1015" s="178">
        <f t="shared" si="45"/>
        <v>0</v>
      </c>
      <c r="AH1015" s="177">
        <f t="shared" si="46"/>
        <v>0</v>
      </c>
    </row>
    <row r="1016" spans="23:34">
      <c r="W1016" s="177">
        <f t="shared" si="47"/>
        <v>0</v>
      </c>
      <c r="AB1016" s="178">
        <f t="shared" si="45"/>
        <v>0</v>
      </c>
      <c r="AH1016" s="177">
        <f t="shared" si="46"/>
        <v>0</v>
      </c>
    </row>
    <row r="1017" spans="23:34">
      <c r="W1017" s="177">
        <f t="shared" si="47"/>
        <v>0</v>
      </c>
      <c r="AB1017" s="178">
        <f t="shared" si="45"/>
        <v>0</v>
      </c>
      <c r="AH1017" s="177">
        <f t="shared" si="46"/>
        <v>0</v>
      </c>
    </row>
    <row r="1018" spans="23:34">
      <c r="W1018" s="177">
        <f t="shared" si="47"/>
        <v>0</v>
      </c>
      <c r="AB1018" s="178">
        <f t="shared" si="45"/>
        <v>0</v>
      </c>
      <c r="AH1018" s="177">
        <f t="shared" si="46"/>
        <v>0</v>
      </c>
    </row>
    <row r="1019" spans="23:34">
      <c r="W1019" s="177">
        <f t="shared" si="47"/>
        <v>0</v>
      </c>
      <c r="AB1019" s="178">
        <f t="shared" ref="AB1019:AB1082" si="48">SUM(Z1019:AA1019)</f>
        <v>0</v>
      </c>
      <c r="AH1019" s="177">
        <f t="shared" si="46"/>
        <v>0</v>
      </c>
    </row>
    <row r="1020" spans="23:34">
      <c r="W1020" s="177">
        <f t="shared" si="47"/>
        <v>0</v>
      </c>
      <c r="AB1020" s="178">
        <f t="shared" si="48"/>
        <v>0</v>
      </c>
      <c r="AH1020" s="177">
        <f t="shared" si="46"/>
        <v>0</v>
      </c>
    </row>
    <row r="1021" spans="23:34">
      <c r="W1021" s="177">
        <f t="shared" si="47"/>
        <v>0</v>
      </c>
      <c r="AB1021" s="178">
        <f t="shared" si="48"/>
        <v>0</v>
      </c>
      <c r="AH1021" s="177">
        <f t="shared" si="46"/>
        <v>0</v>
      </c>
    </row>
    <row r="1022" spans="23:34">
      <c r="W1022" s="177">
        <f t="shared" si="47"/>
        <v>0</v>
      </c>
      <c r="AB1022" s="178">
        <f t="shared" si="48"/>
        <v>0</v>
      </c>
      <c r="AH1022" s="177">
        <f t="shared" si="46"/>
        <v>0</v>
      </c>
    </row>
    <row r="1023" spans="23:34">
      <c r="W1023" s="177">
        <f t="shared" si="47"/>
        <v>0</v>
      </c>
      <c r="AB1023" s="178">
        <f t="shared" si="48"/>
        <v>0</v>
      </c>
      <c r="AH1023" s="177">
        <f t="shared" si="46"/>
        <v>0</v>
      </c>
    </row>
    <row r="1024" spans="23:34">
      <c r="W1024" s="177">
        <f t="shared" si="47"/>
        <v>0</v>
      </c>
      <c r="AB1024" s="178">
        <f t="shared" si="48"/>
        <v>0</v>
      </c>
      <c r="AH1024" s="177">
        <f t="shared" si="46"/>
        <v>0</v>
      </c>
    </row>
    <row r="1025" spans="23:34">
      <c r="W1025" s="177">
        <f t="shared" si="47"/>
        <v>0</v>
      </c>
      <c r="AB1025" s="178">
        <f t="shared" si="48"/>
        <v>0</v>
      </c>
      <c r="AH1025" s="177">
        <f t="shared" si="46"/>
        <v>0</v>
      </c>
    </row>
    <row r="1026" spans="23:34">
      <c r="W1026" s="177">
        <f t="shared" si="47"/>
        <v>0</v>
      </c>
      <c r="AB1026" s="178">
        <f t="shared" si="48"/>
        <v>0</v>
      </c>
      <c r="AH1026" s="177">
        <f t="shared" si="46"/>
        <v>0</v>
      </c>
    </row>
    <row r="1027" spans="23:34">
      <c r="W1027" s="177">
        <f t="shared" si="47"/>
        <v>0</v>
      </c>
      <c r="AB1027" s="178">
        <f t="shared" si="48"/>
        <v>0</v>
      </c>
      <c r="AH1027" s="177">
        <f t="shared" si="46"/>
        <v>0</v>
      </c>
    </row>
    <row r="1028" spans="23:34">
      <c r="W1028" s="177">
        <f t="shared" si="47"/>
        <v>0</v>
      </c>
      <c r="AB1028" s="178">
        <f t="shared" si="48"/>
        <v>0</v>
      </c>
      <c r="AH1028" s="177">
        <f t="shared" si="46"/>
        <v>0</v>
      </c>
    </row>
    <row r="1029" spans="23:34">
      <c r="W1029" s="177">
        <f t="shared" si="47"/>
        <v>0</v>
      </c>
      <c r="AB1029" s="178">
        <f t="shared" si="48"/>
        <v>0</v>
      </c>
      <c r="AH1029" s="177">
        <f t="shared" si="46"/>
        <v>0</v>
      </c>
    </row>
    <row r="1030" spans="23:34">
      <c r="W1030" s="177">
        <f t="shared" si="47"/>
        <v>0</v>
      </c>
      <c r="AB1030" s="178">
        <f t="shared" si="48"/>
        <v>0</v>
      </c>
      <c r="AH1030" s="177">
        <f t="shared" si="46"/>
        <v>0</v>
      </c>
    </row>
    <row r="1031" spans="23:34">
      <c r="W1031" s="177">
        <f t="shared" si="47"/>
        <v>0</v>
      </c>
      <c r="AB1031" s="178">
        <f t="shared" si="48"/>
        <v>0</v>
      </c>
      <c r="AH1031" s="177">
        <f t="shared" si="46"/>
        <v>0</v>
      </c>
    </row>
    <row r="1032" spans="23:34">
      <c r="W1032" s="177">
        <f t="shared" si="47"/>
        <v>0</v>
      </c>
      <c r="AB1032" s="178">
        <f t="shared" si="48"/>
        <v>0</v>
      </c>
      <c r="AH1032" s="177">
        <f t="shared" si="46"/>
        <v>0</v>
      </c>
    </row>
    <row r="1033" spans="23:34">
      <c r="W1033" s="177">
        <f t="shared" si="47"/>
        <v>0</v>
      </c>
      <c r="AB1033" s="178">
        <f t="shared" si="48"/>
        <v>0</v>
      </c>
      <c r="AH1033" s="177">
        <f t="shared" si="46"/>
        <v>0</v>
      </c>
    </row>
    <row r="1034" spans="23:34">
      <c r="W1034" s="177">
        <f t="shared" si="47"/>
        <v>0</v>
      </c>
      <c r="AB1034" s="178">
        <f t="shared" si="48"/>
        <v>0</v>
      </c>
      <c r="AH1034" s="177">
        <f t="shared" si="46"/>
        <v>0</v>
      </c>
    </row>
    <row r="1035" spans="23:34">
      <c r="W1035" s="177">
        <f t="shared" si="47"/>
        <v>0</v>
      </c>
      <c r="AB1035" s="178">
        <f t="shared" si="48"/>
        <v>0</v>
      </c>
      <c r="AH1035" s="177">
        <f t="shared" si="46"/>
        <v>0</v>
      </c>
    </row>
    <row r="1036" spans="23:34">
      <c r="W1036" s="177">
        <f t="shared" si="47"/>
        <v>0</v>
      </c>
      <c r="AB1036" s="178">
        <f t="shared" si="48"/>
        <v>0</v>
      </c>
      <c r="AH1036" s="177">
        <f t="shared" si="46"/>
        <v>0</v>
      </c>
    </row>
    <row r="1037" spans="23:34">
      <c r="W1037" s="177">
        <f t="shared" si="47"/>
        <v>0</v>
      </c>
      <c r="AB1037" s="178">
        <f t="shared" si="48"/>
        <v>0</v>
      </c>
      <c r="AH1037" s="177">
        <f t="shared" si="46"/>
        <v>0</v>
      </c>
    </row>
    <row r="1038" spans="23:34">
      <c r="W1038" s="177">
        <f t="shared" si="47"/>
        <v>0</v>
      </c>
      <c r="AB1038" s="178">
        <f t="shared" si="48"/>
        <v>0</v>
      </c>
      <c r="AH1038" s="177">
        <f t="shared" si="46"/>
        <v>0</v>
      </c>
    </row>
    <row r="1039" spans="23:34">
      <c r="W1039" s="177">
        <f t="shared" si="47"/>
        <v>0</v>
      </c>
      <c r="AB1039" s="178">
        <f t="shared" si="48"/>
        <v>0</v>
      </c>
      <c r="AH1039" s="177">
        <f t="shared" si="46"/>
        <v>0</v>
      </c>
    </row>
    <row r="1040" spans="23:34">
      <c r="W1040" s="177">
        <f t="shared" si="47"/>
        <v>0</v>
      </c>
      <c r="AB1040" s="178">
        <f t="shared" si="48"/>
        <v>0</v>
      </c>
      <c r="AH1040" s="177">
        <f t="shared" si="46"/>
        <v>0</v>
      </c>
    </row>
    <row r="1041" spans="23:34">
      <c r="W1041" s="177">
        <f t="shared" si="47"/>
        <v>0</v>
      </c>
      <c r="AB1041" s="178">
        <f t="shared" si="48"/>
        <v>0</v>
      </c>
      <c r="AH1041" s="177">
        <f t="shared" si="46"/>
        <v>0</v>
      </c>
    </row>
    <row r="1042" spans="23:34">
      <c r="W1042" s="177">
        <f t="shared" si="47"/>
        <v>0</v>
      </c>
      <c r="AB1042" s="178">
        <f t="shared" si="48"/>
        <v>0</v>
      </c>
      <c r="AH1042" s="177">
        <f t="shared" si="46"/>
        <v>0</v>
      </c>
    </row>
    <row r="1043" spans="23:34">
      <c r="W1043" s="177">
        <f t="shared" si="47"/>
        <v>0</v>
      </c>
      <c r="AB1043" s="178">
        <f t="shared" si="48"/>
        <v>0</v>
      </c>
      <c r="AH1043" s="177">
        <f t="shared" si="46"/>
        <v>0</v>
      </c>
    </row>
    <row r="1044" spans="23:34">
      <c r="W1044" s="177">
        <f t="shared" si="47"/>
        <v>0</v>
      </c>
      <c r="AB1044" s="178">
        <f t="shared" si="48"/>
        <v>0</v>
      </c>
      <c r="AH1044" s="177">
        <f t="shared" si="46"/>
        <v>0</v>
      </c>
    </row>
    <row r="1045" spans="23:34">
      <c r="W1045" s="177">
        <f t="shared" si="47"/>
        <v>0</v>
      </c>
      <c r="AB1045" s="178">
        <f t="shared" si="48"/>
        <v>0</v>
      </c>
      <c r="AH1045" s="177">
        <f t="shared" si="46"/>
        <v>0</v>
      </c>
    </row>
    <row r="1046" spans="23:34">
      <c r="W1046" s="177">
        <f t="shared" si="47"/>
        <v>0</v>
      </c>
      <c r="AB1046" s="178">
        <f t="shared" si="48"/>
        <v>0</v>
      </c>
      <c r="AH1046" s="177">
        <f t="shared" si="46"/>
        <v>0</v>
      </c>
    </row>
    <row r="1047" spans="23:34">
      <c r="W1047" s="177">
        <f t="shared" si="47"/>
        <v>0</v>
      </c>
      <c r="AB1047" s="178">
        <f t="shared" si="48"/>
        <v>0</v>
      </c>
      <c r="AH1047" s="177">
        <f t="shared" si="46"/>
        <v>0</v>
      </c>
    </row>
    <row r="1048" spans="23:34">
      <c r="W1048" s="177">
        <f t="shared" si="47"/>
        <v>0</v>
      </c>
      <c r="AB1048" s="178">
        <f t="shared" si="48"/>
        <v>0</v>
      </c>
      <c r="AH1048" s="177">
        <f t="shared" si="46"/>
        <v>0</v>
      </c>
    </row>
    <row r="1049" spans="23:34">
      <c r="W1049" s="177">
        <f t="shared" si="47"/>
        <v>0</v>
      </c>
      <c r="AB1049" s="178">
        <f t="shared" si="48"/>
        <v>0</v>
      </c>
      <c r="AH1049" s="177">
        <f t="shared" si="46"/>
        <v>0</v>
      </c>
    </row>
    <row r="1050" spans="23:34">
      <c r="W1050" s="177">
        <f t="shared" si="47"/>
        <v>0</v>
      </c>
      <c r="AB1050" s="178">
        <f t="shared" si="48"/>
        <v>0</v>
      </c>
      <c r="AH1050" s="177">
        <f t="shared" si="46"/>
        <v>0</v>
      </c>
    </row>
    <row r="1051" spans="23:34">
      <c r="W1051" s="177">
        <f t="shared" si="47"/>
        <v>0</v>
      </c>
      <c r="AB1051" s="178">
        <f t="shared" si="48"/>
        <v>0</v>
      </c>
      <c r="AH1051" s="177">
        <f t="shared" si="46"/>
        <v>0</v>
      </c>
    </row>
    <row r="1052" spans="23:34">
      <c r="W1052" s="177">
        <f t="shared" si="47"/>
        <v>0</v>
      </c>
      <c r="AB1052" s="178">
        <f t="shared" si="48"/>
        <v>0</v>
      </c>
      <c r="AH1052" s="177">
        <f t="shared" si="46"/>
        <v>0</v>
      </c>
    </row>
    <row r="1053" spans="23:34">
      <c r="W1053" s="177">
        <f t="shared" si="47"/>
        <v>0</v>
      </c>
      <c r="AB1053" s="178">
        <f t="shared" si="48"/>
        <v>0</v>
      </c>
      <c r="AH1053" s="177">
        <f t="shared" si="46"/>
        <v>0</v>
      </c>
    </row>
    <row r="1054" spans="23:34">
      <c r="W1054" s="177">
        <f t="shared" si="47"/>
        <v>0</v>
      </c>
      <c r="AB1054" s="178">
        <f t="shared" si="48"/>
        <v>0</v>
      </c>
      <c r="AH1054" s="177">
        <f t="shared" si="46"/>
        <v>0</v>
      </c>
    </row>
    <row r="1055" spans="23:34">
      <c r="W1055" s="177">
        <f t="shared" si="47"/>
        <v>0</v>
      </c>
      <c r="AB1055" s="178">
        <f t="shared" si="48"/>
        <v>0</v>
      </c>
      <c r="AH1055" s="177">
        <f t="shared" si="46"/>
        <v>0</v>
      </c>
    </row>
    <row r="1056" spans="23:34">
      <c r="W1056" s="177">
        <f t="shared" si="47"/>
        <v>0</v>
      </c>
      <c r="AB1056" s="178">
        <f t="shared" si="48"/>
        <v>0</v>
      </c>
      <c r="AH1056" s="177">
        <f t="shared" si="46"/>
        <v>0</v>
      </c>
    </row>
    <row r="1057" spans="23:34">
      <c r="W1057" s="177">
        <f t="shared" si="47"/>
        <v>0</v>
      </c>
      <c r="AB1057" s="178">
        <f t="shared" si="48"/>
        <v>0</v>
      </c>
      <c r="AH1057" s="177">
        <f t="shared" si="46"/>
        <v>0</v>
      </c>
    </row>
    <row r="1058" spans="23:34">
      <c r="W1058" s="177">
        <f t="shared" si="47"/>
        <v>0</v>
      </c>
      <c r="AB1058" s="178">
        <f t="shared" si="48"/>
        <v>0</v>
      </c>
      <c r="AH1058" s="177">
        <f t="shared" si="46"/>
        <v>0</v>
      </c>
    </row>
    <row r="1059" spans="23:34">
      <c r="W1059" s="177">
        <f t="shared" si="47"/>
        <v>0</v>
      </c>
      <c r="AB1059" s="178">
        <f t="shared" si="48"/>
        <v>0</v>
      </c>
      <c r="AH1059" s="177">
        <f t="shared" si="46"/>
        <v>0</v>
      </c>
    </row>
    <row r="1060" spans="23:34">
      <c r="W1060" s="177">
        <f t="shared" si="47"/>
        <v>0</v>
      </c>
      <c r="AB1060" s="178">
        <f t="shared" si="48"/>
        <v>0</v>
      </c>
      <c r="AH1060" s="177">
        <f t="shared" si="46"/>
        <v>0</v>
      </c>
    </row>
    <row r="1061" spans="23:34">
      <c r="W1061" s="177">
        <f t="shared" si="47"/>
        <v>0</v>
      </c>
      <c r="AB1061" s="178">
        <f t="shared" si="48"/>
        <v>0</v>
      </c>
      <c r="AH1061" s="177">
        <f t="shared" si="46"/>
        <v>0</v>
      </c>
    </row>
    <row r="1062" spans="23:34">
      <c r="W1062" s="177">
        <f t="shared" si="47"/>
        <v>0</v>
      </c>
      <c r="AB1062" s="178">
        <f t="shared" si="48"/>
        <v>0</v>
      </c>
      <c r="AH1062" s="177">
        <f t="shared" si="46"/>
        <v>0</v>
      </c>
    </row>
    <row r="1063" spans="23:34">
      <c r="W1063" s="177">
        <f t="shared" si="47"/>
        <v>0</v>
      </c>
      <c r="AB1063" s="178">
        <f t="shared" si="48"/>
        <v>0</v>
      </c>
      <c r="AH1063" s="177">
        <f t="shared" si="46"/>
        <v>0</v>
      </c>
    </row>
    <row r="1064" spans="23:34">
      <c r="W1064" s="177">
        <f t="shared" si="47"/>
        <v>0</v>
      </c>
      <c r="AB1064" s="178">
        <f t="shared" si="48"/>
        <v>0</v>
      </c>
      <c r="AH1064" s="177">
        <f t="shared" si="46"/>
        <v>0</v>
      </c>
    </row>
    <row r="1065" spans="23:34">
      <c r="W1065" s="177">
        <f t="shared" si="47"/>
        <v>0</v>
      </c>
      <c r="AB1065" s="178">
        <f t="shared" si="48"/>
        <v>0</v>
      </c>
      <c r="AH1065" s="177">
        <f t="shared" si="46"/>
        <v>0</v>
      </c>
    </row>
    <row r="1066" spans="23:34">
      <c r="W1066" s="177">
        <f t="shared" si="47"/>
        <v>0</v>
      </c>
      <c r="AB1066" s="178">
        <f t="shared" si="48"/>
        <v>0</v>
      </c>
      <c r="AH1066" s="177">
        <f t="shared" si="46"/>
        <v>0</v>
      </c>
    </row>
    <row r="1067" spans="23:34">
      <c r="W1067" s="177">
        <f t="shared" si="47"/>
        <v>0</v>
      </c>
      <c r="AB1067" s="178">
        <f t="shared" si="48"/>
        <v>0</v>
      </c>
      <c r="AH1067" s="177">
        <f t="shared" si="46"/>
        <v>0</v>
      </c>
    </row>
    <row r="1068" spans="23:34">
      <c r="W1068" s="177">
        <f t="shared" si="47"/>
        <v>0</v>
      </c>
      <c r="AB1068" s="178">
        <f t="shared" si="48"/>
        <v>0</v>
      </c>
      <c r="AH1068" s="177">
        <f t="shared" si="46"/>
        <v>0</v>
      </c>
    </row>
    <row r="1069" spans="23:34">
      <c r="W1069" s="177">
        <f t="shared" si="47"/>
        <v>0</v>
      </c>
      <c r="AB1069" s="178">
        <f t="shared" si="48"/>
        <v>0</v>
      </c>
      <c r="AH1069" s="177">
        <f t="shared" si="46"/>
        <v>0</v>
      </c>
    </row>
    <row r="1070" spans="23:34">
      <c r="W1070" s="177">
        <f t="shared" si="47"/>
        <v>0</v>
      </c>
      <c r="AB1070" s="178">
        <f t="shared" si="48"/>
        <v>0</v>
      </c>
      <c r="AH1070" s="177">
        <f t="shared" si="46"/>
        <v>0</v>
      </c>
    </row>
    <row r="1071" spans="23:34">
      <c r="W1071" s="177">
        <f t="shared" si="47"/>
        <v>0</v>
      </c>
      <c r="AB1071" s="178">
        <f t="shared" si="48"/>
        <v>0</v>
      </c>
      <c r="AH1071" s="177">
        <f t="shared" si="46"/>
        <v>0</v>
      </c>
    </row>
    <row r="1072" spans="23:34">
      <c r="W1072" s="177">
        <f t="shared" si="47"/>
        <v>0</v>
      </c>
      <c r="AB1072" s="178">
        <f t="shared" si="48"/>
        <v>0</v>
      </c>
      <c r="AH1072" s="177">
        <f t="shared" ref="AH1072:AH1135" si="49">SUM(AF1072:AG1072)</f>
        <v>0</v>
      </c>
    </row>
    <row r="1073" spans="23:34">
      <c r="W1073" s="177">
        <f t="shared" si="47"/>
        <v>0</v>
      </c>
      <c r="AB1073" s="178">
        <f t="shared" si="48"/>
        <v>0</v>
      </c>
      <c r="AH1073" s="177">
        <f t="shared" si="49"/>
        <v>0</v>
      </c>
    </row>
    <row r="1074" spans="23:34">
      <c r="W1074" s="177">
        <f t="shared" si="47"/>
        <v>0</v>
      </c>
      <c r="AB1074" s="178">
        <f t="shared" si="48"/>
        <v>0</v>
      </c>
      <c r="AH1074" s="177">
        <f t="shared" si="49"/>
        <v>0</v>
      </c>
    </row>
    <row r="1075" spans="23:34">
      <c r="W1075" s="177">
        <f t="shared" ref="W1075:W1138" si="50">SUM(Q1075:T1075)</f>
        <v>0</v>
      </c>
      <c r="AB1075" s="178">
        <f t="shared" si="48"/>
        <v>0</v>
      </c>
      <c r="AH1075" s="177">
        <f t="shared" si="49"/>
        <v>0</v>
      </c>
    </row>
    <row r="1076" spans="23:34">
      <c r="W1076" s="177">
        <f t="shared" si="50"/>
        <v>0</v>
      </c>
      <c r="AB1076" s="178">
        <f t="shared" si="48"/>
        <v>0</v>
      </c>
      <c r="AH1076" s="177">
        <f t="shared" si="49"/>
        <v>0</v>
      </c>
    </row>
    <row r="1077" spans="23:34">
      <c r="W1077" s="177">
        <f t="shared" si="50"/>
        <v>0</v>
      </c>
      <c r="AB1077" s="178">
        <f t="shared" si="48"/>
        <v>0</v>
      </c>
      <c r="AH1077" s="177">
        <f t="shared" si="49"/>
        <v>0</v>
      </c>
    </row>
    <row r="1078" spans="23:34">
      <c r="W1078" s="177">
        <f t="shared" si="50"/>
        <v>0</v>
      </c>
      <c r="AB1078" s="178">
        <f t="shared" si="48"/>
        <v>0</v>
      </c>
      <c r="AH1078" s="177">
        <f t="shared" si="49"/>
        <v>0</v>
      </c>
    </row>
    <row r="1079" spans="23:34">
      <c r="W1079" s="177">
        <f t="shared" si="50"/>
        <v>0</v>
      </c>
      <c r="AB1079" s="178">
        <f t="shared" si="48"/>
        <v>0</v>
      </c>
      <c r="AH1079" s="177">
        <f t="shared" si="49"/>
        <v>0</v>
      </c>
    </row>
    <row r="1080" spans="23:34">
      <c r="W1080" s="177">
        <f t="shared" si="50"/>
        <v>0</v>
      </c>
      <c r="AB1080" s="178">
        <f t="shared" si="48"/>
        <v>0</v>
      </c>
      <c r="AH1080" s="177">
        <f t="shared" si="49"/>
        <v>0</v>
      </c>
    </row>
    <row r="1081" spans="23:34">
      <c r="W1081" s="177">
        <f t="shared" si="50"/>
        <v>0</v>
      </c>
      <c r="AB1081" s="178">
        <f t="shared" si="48"/>
        <v>0</v>
      </c>
      <c r="AH1081" s="177">
        <f t="shared" si="49"/>
        <v>0</v>
      </c>
    </row>
    <row r="1082" spans="23:34">
      <c r="W1082" s="177">
        <f t="shared" si="50"/>
        <v>0</v>
      </c>
      <c r="AB1082" s="178">
        <f t="shared" si="48"/>
        <v>0</v>
      </c>
      <c r="AH1082" s="177">
        <f t="shared" si="49"/>
        <v>0</v>
      </c>
    </row>
    <row r="1083" spans="23:34">
      <c r="W1083" s="177">
        <f t="shared" si="50"/>
        <v>0</v>
      </c>
      <c r="AB1083" s="178">
        <f t="shared" ref="AB1083:AB1146" si="51">SUM(Z1083:AA1083)</f>
        <v>0</v>
      </c>
      <c r="AH1083" s="177">
        <f t="shared" si="49"/>
        <v>0</v>
      </c>
    </row>
    <row r="1084" spans="23:34">
      <c r="W1084" s="177">
        <f t="shared" si="50"/>
        <v>0</v>
      </c>
      <c r="AB1084" s="178">
        <f t="shared" si="51"/>
        <v>0</v>
      </c>
      <c r="AH1084" s="177">
        <f t="shared" si="49"/>
        <v>0</v>
      </c>
    </row>
    <row r="1085" spans="23:34">
      <c r="W1085" s="177">
        <f t="shared" si="50"/>
        <v>0</v>
      </c>
      <c r="AB1085" s="178">
        <f t="shared" si="51"/>
        <v>0</v>
      </c>
      <c r="AH1085" s="177">
        <f t="shared" si="49"/>
        <v>0</v>
      </c>
    </row>
    <row r="1086" spans="23:34">
      <c r="W1086" s="177">
        <f t="shared" si="50"/>
        <v>0</v>
      </c>
      <c r="AB1086" s="178">
        <f t="shared" si="51"/>
        <v>0</v>
      </c>
      <c r="AH1086" s="177">
        <f t="shared" si="49"/>
        <v>0</v>
      </c>
    </row>
    <row r="1087" spans="23:34">
      <c r="W1087" s="177">
        <f t="shared" si="50"/>
        <v>0</v>
      </c>
      <c r="AB1087" s="178">
        <f t="shared" si="51"/>
        <v>0</v>
      </c>
      <c r="AH1087" s="177">
        <f t="shared" si="49"/>
        <v>0</v>
      </c>
    </row>
    <row r="1088" spans="23:34">
      <c r="W1088" s="177">
        <f t="shared" si="50"/>
        <v>0</v>
      </c>
      <c r="AB1088" s="178">
        <f t="shared" si="51"/>
        <v>0</v>
      </c>
      <c r="AH1088" s="177">
        <f t="shared" si="49"/>
        <v>0</v>
      </c>
    </row>
    <row r="1089" spans="23:34">
      <c r="W1089" s="177">
        <f t="shared" si="50"/>
        <v>0</v>
      </c>
      <c r="AB1089" s="178">
        <f t="shared" si="51"/>
        <v>0</v>
      </c>
      <c r="AH1089" s="177">
        <f t="shared" si="49"/>
        <v>0</v>
      </c>
    </row>
    <row r="1090" spans="23:34">
      <c r="W1090" s="177">
        <f t="shared" si="50"/>
        <v>0</v>
      </c>
      <c r="AB1090" s="178">
        <f t="shared" si="51"/>
        <v>0</v>
      </c>
      <c r="AH1090" s="177">
        <f t="shared" si="49"/>
        <v>0</v>
      </c>
    </row>
    <row r="1091" spans="23:34">
      <c r="W1091" s="177">
        <f t="shared" si="50"/>
        <v>0</v>
      </c>
      <c r="AB1091" s="178">
        <f t="shared" si="51"/>
        <v>0</v>
      </c>
      <c r="AH1091" s="177">
        <f t="shared" si="49"/>
        <v>0</v>
      </c>
    </row>
    <row r="1092" spans="23:34">
      <c r="W1092" s="177">
        <f t="shared" si="50"/>
        <v>0</v>
      </c>
      <c r="AB1092" s="178">
        <f t="shared" si="51"/>
        <v>0</v>
      </c>
      <c r="AH1092" s="177">
        <f t="shared" si="49"/>
        <v>0</v>
      </c>
    </row>
    <row r="1093" spans="23:34">
      <c r="W1093" s="177">
        <f t="shared" si="50"/>
        <v>0</v>
      </c>
      <c r="AB1093" s="178">
        <f t="shared" si="51"/>
        <v>0</v>
      </c>
      <c r="AH1093" s="177">
        <f t="shared" si="49"/>
        <v>0</v>
      </c>
    </row>
    <row r="1094" spans="23:34">
      <c r="W1094" s="177">
        <f t="shared" si="50"/>
        <v>0</v>
      </c>
      <c r="AB1094" s="178">
        <f t="shared" si="51"/>
        <v>0</v>
      </c>
      <c r="AH1094" s="177">
        <f t="shared" si="49"/>
        <v>0</v>
      </c>
    </row>
    <row r="1095" spans="23:34">
      <c r="W1095" s="177">
        <f t="shared" si="50"/>
        <v>0</v>
      </c>
      <c r="AB1095" s="178">
        <f t="shared" si="51"/>
        <v>0</v>
      </c>
      <c r="AH1095" s="177">
        <f t="shared" si="49"/>
        <v>0</v>
      </c>
    </row>
    <row r="1096" spans="23:34">
      <c r="W1096" s="177">
        <f t="shared" si="50"/>
        <v>0</v>
      </c>
      <c r="AB1096" s="178">
        <f t="shared" si="51"/>
        <v>0</v>
      </c>
      <c r="AH1096" s="177">
        <f t="shared" si="49"/>
        <v>0</v>
      </c>
    </row>
    <row r="1097" spans="23:34">
      <c r="W1097" s="177">
        <f t="shared" si="50"/>
        <v>0</v>
      </c>
      <c r="AB1097" s="178">
        <f t="shared" si="51"/>
        <v>0</v>
      </c>
      <c r="AH1097" s="177">
        <f t="shared" si="49"/>
        <v>0</v>
      </c>
    </row>
    <row r="1098" spans="23:34">
      <c r="W1098" s="177">
        <f t="shared" si="50"/>
        <v>0</v>
      </c>
      <c r="AB1098" s="178">
        <f t="shared" si="51"/>
        <v>0</v>
      </c>
      <c r="AH1098" s="177">
        <f t="shared" si="49"/>
        <v>0</v>
      </c>
    </row>
    <row r="1099" spans="23:34">
      <c r="W1099" s="177">
        <f t="shared" si="50"/>
        <v>0</v>
      </c>
      <c r="AB1099" s="178">
        <f t="shared" si="51"/>
        <v>0</v>
      </c>
      <c r="AH1099" s="177">
        <f t="shared" si="49"/>
        <v>0</v>
      </c>
    </row>
    <row r="1100" spans="23:34">
      <c r="W1100" s="177">
        <f t="shared" si="50"/>
        <v>0</v>
      </c>
      <c r="AB1100" s="178">
        <f t="shared" si="51"/>
        <v>0</v>
      </c>
      <c r="AH1100" s="177">
        <f t="shared" si="49"/>
        <v>0</v>
      </c>
    </row>
    <row r="1101" spans="23:34">
      <c r="W1101" s="177">
        <f t="shared" si="50"/>
        <v>0</v>
      </c>
      <c r="AB1101" s="178">
        <f t="shared" si="51"/>
        <v>0</v>
      </c>
      <c r="AH1101" s="177">
        <f t="shared" si="49"/>
        <v>0</v>
      </c>
    </row>
    <row r="1102" spans="23:34">
      <c r="W1102" s="177">
        <f t="shared" si="50"/>
        <v>0</v>
      </c>
      <c r="AB1102" s="178">
        <f t="shared" si="51"/>
        <v>0</v>
      </c>
      <c r="AH1102" s="177">
        <f t="shared" si="49"/>
        <v>0</v>
      </c>
    </row>
    <row r="1103" spans="23:34">
      <c r="W1103" s="177">
        <f t="shared" si="50"/>
        <v>0</v>
      </c>
      <c r="AB1103" s="178">
        <f t="shared" si="51"/>
        <v>0</v>
      </c>
      <c r="AH1103" s="177">
        <f t="shared" si="49"/>
        <v>0</v>
      </c>
    </row>
    <row r="1104" spans="23:34">
      <c r="W1104" s="177">
        <f t="shared" si="50"/>
        <v>0</v>
      </c>
      <c r="AB1104" s="178">
        <f t="shared" si="51"/>
        <v>0</v>
      </c>
      <c r="AH1104" s="177">
        <f t="shared" si="49"/>
        <v>0</v>
      </c>
    </row>
    <row r="1105" spans="23:34">
      <c r="W1105" s="177">
        <f t="shared" si="50"/>
        <v>0</v>
      </c>
      <c r="AB1105" s="178">
        <f t="shared" si="51"/>
        <v>0</v>
      </c>
      <c r="AH1105" s="177">
        <f t="shared" si="49"/>
        <v>0</v>
      </c>
    </row>
    <row r="1106" spans="23:34">
      <c r="W1106" s="177">
        <f t="shared" si="50"/>
        <v>0</v>
      </c>
      <c r="AB1106" s="178">
        <f t="shared" si="51"/>
        <v>0</v>
      </c>
      <c r="AH1106" s="177">
        <f t="shared" si="49"/>
        <v>0</v>
      </c>
    </row>
    <row r="1107" spans="23:34">
      <c r="W1107" s="177">
        <f t="shared" si="50"/>
        <v>0</v>
      </c>
      <c r="AB1107" s="178">
        <f t="shared" si="51"/>
        <v>0</v>
      </c>
      <c r="AH1107" s="177">
        <f t="shared" si="49"/>
        <v>0</v>
      </c>
    </row>
    <row r="1108" spans="23:34">
      <c r="W1108" s="177">
        <f t="shared" si="50"/>
        <v>0</v>
      </c>
      <c r="AB1108" s="178">
        <f t="shared" si="51"/>
        <v>0</v>
      </c>
      <c r="AH1108" s="177">
        <f t="shared" si="49"/>
        <v>0</v>
      </c>
    </row>
    <row r="1109" spans="23:34">
      <c r="W1109" s="177">
        <f t="shared" si="50"/>
        <v>0</v>
      </c>
      <c r="AB1109" s="178">
        <f t="shared" si="51"/>
        <v>0</v>
      </c>
      <c r="AH1109" s="177">
        <f t="shared" si="49"/>
        <v>0</v>
      </c>
    </row>
    <row r="1110" spans="23:34">
      <c r="W1110" s="177">
        <f t="shared" si="50"/>
        <v>0</v>
      </c>
      <c r="AB1110" s="178">
        <f t="shared" si="51"/>
        <v>0</v>
      </c>
      <c r="AH1110" s="177">
        <f t="shared" si="49"/>
        <v>0</v>
      </c>
    </row>
    <row r="1111" spans="23:34">
      <c r="W1111" s="177">
        <f t="shared" si="50"/>
        <v>0</v>
      </c>
      <c r="AB1111" s="178">
        <f t="shared" si="51"/>
        <v>0</v>
      </c>
      <c r="AH1111" s="177">
        <f t="shared" si="49"/>
        <v>0</v>
      </c>
    </row>
    <row r="1112" spans="23:34">
      <c r="W1112" s="177">
        <f t="shared" si="50"/>
        <v>0</v>
      </c>
      <c r="AB1112" s="178">
        <f t="shared" si="51"/>
        <v>0</v>
      </c>
      <c r="AH1112" s="177">
        <f t="shared" si="49"/>
        <v>0</v>
      </c>
    </row>
    <row r="1113" spans="23:34">
      <c r="W1113" s="177">
        <f t="shared" si="50"/>
        <v>0</v>
      </c>
      <c r="AB1113" s="178">
        <f t="shared" si="51"/>
        <v>0</v>
      </c>
      <c r="AH1113" s="177">
        <f t="shared" si="49"/>
        <v>0</v>
      </c>
    </row>
    <row r="1114" spans="23:34">
      <c r="W1114" s="177">
        <f t="shared" si="50"/>
        <v>0</v>
      </c>
      <c r="AB1114" s="178">
        <f t="shared" si="51"/>
        <v>0</v>
      </c>
      <c r="AH1114" s="177">
        <f t="shared" si="49"/>
        <v>0</v>
      </c>
    </row>
    <row r="1115" spans="23:34">
      <c r="W1115" s="177">
        <f t="shared" si="50"/>
        <v>0</v>
      </c>
      <c r="AB1115" s="178">
        <f t="shared" si="51"/>
        <v>0</v>
      </c>
      <c r="AH1115" s="177">
        <f t="shared" si="49"/>
        <v>0</v>
      </c>
    </row>
    <row r="1116" spans="23:34">
      <c r="W1116" s="177">
        <f t="shared" si="50"/>
        <v>0</v>
      </c>
      <c r="AB1116" s="178">
        <f t="shared" si="51"/>
        <v>0</v>
      </c>
      <c r="AH1116" s="177">
        <f t="shared" si="49"/>
        <v>0</v>
      </c>
    </row>
    <row r="1117" spans="23:34">
      <c r="W1117" s="177">
        <f t="shared" si="50"/>
        <v>0</v>
      </c>
      <c r="AB1117" s="178">
        <f t="shared" si="51"/>
        <v>0</v>
      </c>
      <c r="AH1117" s="177">
        <f t="shared" si="49"/>
        <v>0</v>
      </c>
    </row>
    <row r="1118" spans="23:34">
      <c r="W1118" s="177">
        <f t="shared" si="50"/>
        <v>0</v>
      </c>
      <c r="AB1118" s="178">
        <f t="shared" si="51"/>
        <v>0</v>
      </c>
      <c r="AH1118" s="177">
        <f t="shared" si="49"/>
        <v>0</v>
      </c>
    </row>
    <row r="1119" spans="23:34">
      <c r="W1119" s="177">
        <f t="shared" si="50"/>
        <v>0</v>
      </c>
      <c r="AB1119" s="178">
        <f t="shared" si="51"/>
        <v>0</v>
      </c>
      <c r="AH1119" s="177">
        <f t="shared" si="49"/>
        <v>0</v>
      </c>
    </row>
    <row r="1120" spans="23:34">
      <c r="W1120" s="177">
        <f t="shared" si="50"/>
        <v>0</v>
      </c>
      <c r="AB1120" s="178">
        <f t="shared" si="51"/>
        <v>0</v>
      </c>
      <c r="AH1120" s="177">
        <f t="shared" si="49"/>
        <v>0</v>
      </c>
    </row>
    <row r="1121" spans="23:34">
      <c r="W1121" s="177">
        <f t="shared" si="50"/>
        <v>0</v>
      </c>
      <c r="AB1121" s="178">
        <f t="shared" si="51"/>
        <v>0</v>
      </c>
      <c r="AH1121" s="177">
        <f t="shared" si="49"/>
        <v>0</v>
      </c>
    </row>
    <row r="1122" spans="23:34">
      <c r="W1122" s="177">
        <f t="shared" si="50"/>
        <v>0</v>
      </c>
      <c r="AB1122" s="178">
        <f t="shared" si="51"/>
        <v>0</v>
      </c>
      <c r="AH1122" s="177">
        <f t="shared" si="49"/>
        <v>0</v>
      </c>
    </row>
    <row r="1123" spans="23:34">
      <c r="W1123" s="177">
        <f t="shared" si="50"/>
        <v>0</v>
      </c>
      <c r="AB1123" s="178">
        <f t="shared" si="51"/>
        <v>0</v>
      </c>
      <c r="AH1123" s="177">
        <f t="shared" si="49"/>
        <v>0</v>
      </c>
    </row>
    <row r="1124" spans="23:34">
      <c r="W1124" s="177">
        <f t="shared" si="50"/>
        <v>0</v>
      </c>
      <c r="AB1124" s="178">
        <f t="shared" si="51"/>
        <v>0</v>
      </c>
      <c r="AH1124" s="177">
        <f t="shared" si="49"/>
        <v>0</v>
      </c>
    </row>
    <row r="1125" spans="23:34">
      <c r="W1125" s="177">
        <f t="shared" si="50"/>
        <v>0</v>
      </c>
      <c r="AB1125" s="178">
        <f t="shared" si="51"/>
        <v>0</v>
      </c>
      <c r="AH1125" s="177">
        <f t="shared" si="49"/>
        <v>0</v>
      </c>
    </row>
    <row r="1126" spans="23:34">
      <c r="W1126" s="177">
        <f t="shared" si="50"/>
        <v>0</v>
      </c>
      <c r="AB1126" s="178">
        <f t="shared" si="51"/>
        <v>0</v>
      </c>
      <c r="AH1126" s="177">
        <f t="shared" si="49"/>
        <v>0</v>
      </c>
    </row>
    <row r="1127" spans="23:34">
      <c r="W1127" s="177">
        <f t="shared" si="50"/>
        <v>0</v>
      </c>
      <c r="AB1127" s="178">
        <f t="shared" si="51"/>
        <v>0</v>
      </c>
      <c r="AH1127" s="177">
        <f t="shared" si="49"/>
        <v>0</v>
      </c>
    </row>
    <row r="1128" spans="23:34">
      <c r="W1128" s="177">
        <f t="shared" si="50"/>
        <v>0</v>
      </c>
      <c r="AB1128" s="178">
        <f t="shared" si="51"/>
        <v>0</v>
      </c>
      <c r="AH1128" s="177">
        <f t="shared" si="49"/>
        <v>0</v>
      </c>
    </row>
    <row r="1129" spans="23:34">
      <c r="W1129" s="177">
        <f t="shared" si="50"/>
        <v>0</v>
      </c>
      <c r="AB1129" s="178">
        <f t="shared" si="51"/>
        <v>0</v>
      </c>
      <c r="AH1129" s="177">
        <f t="shared" si="49"/>
        <v>0</v>
      </c>
    </row>
    <row r="1130" spans="23:34">
      <c r="W1130" s="177">
        <f t="shared" si="50"/>
        <v>0</v>
      </c>
      <c r="AB1130" s="178">
        <f t="shared" si="51"/>
        <v>0</v>
      </c>
      <c r="AH1130" s="177">
        <f t="shared" si="49"/>
        <v>0</v>
      </c>
    </row>
    <row r="1131" spans="23:34">
      <c r="W1131" s="177">
        <f t="shared" si="50"/>
        <v>0</v>
      </c>
      <c r="AB1131" s="178">
        <f t="shared" si="51"/>
        <v>0</v>
      </c>
      <c r="AH1131" s="177">
        <f t="shared" si="49"/>
        <v>0</v>
      </c>
    </row>
    <row r="1132" spans="23:34">
      <c r="W1132" s="177">
        <f t="shared" si="50"/>
        <v>0</v>
      </c>
      <c r="AB1132" s="178">
        <f t="shared" si="51"/>
        <v>0</v>
      </c>
      <c r="AH1132" s="177">
        <f t="shared" si="49"/>
        <v>0</v>
      </c>
    </row>
    <row r="1133" spans="23:34">
      <c r="W1133" s="177">
        <f t="shared" si="50"/>
        <v>0</v>
      </c>
      <c r="AB1133" s="178">
        <f t="shared" si="51"/>
        <v>0</v>
      </c>
      <c r="AH1133" s="177">
        <f t="shared" si="49"/>
        <v>0</v>
      </c>
    </row>
    <row r="1134" spans="23:34">
      <c r="W1134" s="177">
        <f t="shared" si="50"/>
        <v>0</v>
      </c>
      <c r="AB1134" s="178">
        <f t="shared" si="51"/>
        <v>0</v>
      </c>
      <c r="AH1134" s="177">
        <f t="shared" si="49"/>
        <v>0</v>
      </c>
    </row>
    <row r="1135" spans="23:34">
      <c r="W1135" s="177">
        <f t="shared" si="50"/>
        <v>0</v>
      </c>
      <c r="AB1135" s="178">
        <f t="shared" si="51"/>
        <v>0</v>
      </c>
      <c r="AH1135" s="177">
        <f t="shared" si="49"/>
        <v>0</v>
      </c>
    </row>
    <row r="1136" spans="23:34">
      <c r="W1136" s="177">
        <f t="shared" si="50"/>
        <v>0</v>
      </c>
      <c r="AB1136" s="178">
        <f t="shared" si="51"/>
        <v>0</v>
      </c>
      <c r="AH1136" s="177">
        <f t="shared" ref="AH1136:AH1199" si="52">SUM(AF1136:AG1136)</f>
        <v>0</v>
      </c>
    </row>
    <row r="1137" spans="23:34">
      <c r="W1137" s="177">
        <f t="shared" si="50"/>
        <v>0</v>
      </c>
      <c r="AB1137" s="178">
        <f t="shared" si="51"/>
        <v>0</v>
      </c>
      <c r="AH1137" s="177">
        <f t="shared" si="52"/>
        <v>0</v>
      </c>
    </row>
    <row r="1138" spans="23:34">
      <c r="W1138" s="177">
        <f t="shared" si="50"/>
        <v>0</v>
      </c>
      <c r="AB1138" s="178">
        <f t="shared" si="51"/>
        <v>0</v>
      </c>
      <c r="AH1138" s="177">
        <f t="shared" si="52"/>
        <v>0</v>
      </c>
    </row>
    <row r="1139" spans="23:34">
      <c r="W1139" s="177">
        <f t="shared" ref="W1139:W1202" si="53">SUM(Q1139:T1139)</f>
        <v>0</v>
      </c>
      <c r="AB1139" s="178">
        <f t="shared" si="51"/>
        <v>0</v>
      </c>
      <c r="AH1139" s="177">
        <f t="shared" si="52"/>
        <v>0</v>
      </c>
    </row>
    <row r="1140" spans="23:34">
      <c r="W1140" s="177">
        <f t="shared" si="53"/>
        <v>0</v>
      </c>
      <c r="AB1140" s="178">
        <f t="shared" si="51"/>
        <v>0</v>
      </c>
      <c r="AH1140" s="177">
        <f t="shared" si="52"/>
        <v>0</v>
      </c>
    </row>
    <row r="1141" spans="23:34">
      <c r="W1141" s="177">
        <f t="shared" si="53"/>
        <v>0</v>
      </c>
      <c r="AB1141" s="178">
        <f t="shared" si="51"/>
        <v>0</v>
      </c>
      <c r="AH1141" s="177">
        <f t="shared" si="52"/>
        <v>0</v>
      </c>
    </row>
    <row r="1142" spans="23:34">
      <c r="W1142" s="177">
        <f t="shared" si="53"/>
        <v>0</v>
      </c>
      <c r="AB1142" s="178">
        <f t="shared" si="51"/>
        <v>0</v>
      </c>
      <c r="AH1142" s="177">
        <f t="shared" si="52"/>
        <v>0</v>
      </c>
    </row>
    <row r="1143" spans="23:34">
      <c r="W1143" s="177">
        <f t="shared" si="53"/>
        <v>0</v>
      </c>
      <c r="AB1143" s="178">
        <f t="shared" si="51"/>
        <v>0</v>
      </c>
      <c r="AH1143" s="177">
        <f t="shared" si="52"/>
        <v>0</v>
      </c>
    </row>
    <row r="1144" spans="23:34">
      <c r="W1144" s="177">
        <f t="shared" si="53"/>
        <v>0</v>
      </c>
      <c r="AB1144" s="178">
        <f t="shared" si="51"/>
        <v>0</v>
      </c>
      <c r="AH1144" s="177">
        <f t="shared" si="52"/>
        <v>0</v>
      </c>
    </row>
    <row r="1145" spans="23:34">
      <c r="W1145" s="177">
        <f t="shared" si="53"/>
        <v>0</v>
      </c>
      <c r="AB1145" s="178">
        <f t="shared" si="51"/>
        <v>0</v>
      </c>
      <c r="AH1145" s="177">
        <f t="shared" si="52"/>
        <v>0</v>
      </c>
    </row>
    <row r="1146" spans="23:34">
      <c r="W1146" s="177">
        <f t="shared" si="53"/>
        <v>0</v>
      </c>
      <c r="AB1146" s="178">
        <f t="shared" si="51"/>
        <v>0</v>
      </c>
      <c r="AH1146" s="177">
        <f t="shared" si="52"/>
        <v>0</v>
      </c>
    </row>
    <row r="1147" spans="23:34">
      <c r="W1147" s="177">
        <f t="shared" si="53"/>
        <v>0</v>
      </c>
      <c r="AB1147" s="178">
        <f t="shared" ref="AB1147:AB1210" si="54">SUM(Z1147:AA1147)</f>
        <v>0</v>
      </c>
      <c r="AH1147" s="177">
        <f t="shared" si="52"/>
        <v>0</v>
      </c>
    </row>
    <row r="1148" spans="23:34">
      <c r="W1148" s="177">
        <f t="shared" si="53"/>
        <v>0</v>
      </c>
      <c r="AB1148" s="178">
        <f t="shared" si="54"/>
        <v>0</v>
      </c>
      <c r="AH1148" s="177">
        <f t="shared" si="52"/>
        <v>0</v>
      </c>
    </row>
    <row r="1149" spans="23:34">
      <c r="W1149" s="177">
        <f t="shared" si="53"/>
        <v>0</v>
      </c>
      <c r="AB1149" s="178">
        <f t="shared" si="54"/>
        <v>0</v>
      </c>
      <c r="AH1149" s="177">
        <f t="shared" si="52"/>
        <v>0</v>
      </c>
    </row>
    <row r="1150" spans="23:34">
      <c r="W1150" s="177">
        <f t="shared" si="53"/>
        <v>0</v>
      </c>
      <c r="AB1150" s="178">
        <f t="shared" si="54"/>
        <v>0</v>
      </c>
      <c r="AH1150" s="177">
        <f t="shared" si="52"/>
        <v>0</v>
      </c>
    </row>
    <row r="1151" spans="23:34">
      <c r="W1151" s="177">
        <f t="shared" si="53"/>
        <v>0</v>
      </c>
      <c r="AB1151" s="178">
        <f t="shared" si="54"/>
        <v>0</v>
      </c>
      <c r="AH1151" s="177">
        <f t="shared" si="52"/>
        <v>0</v>
      </c>
    </row>
    <row r="1152" spans="23:34">
      <c r="W1152" s="177">
        <f t="shared" si="53"/>
        <v>0</v>
      </c>
      <c r="AB1152" s="178">
        <f t="shared" si="54"/>
        <v>0</v>
      </c>
      <c r="AH1152" s="177">
        <f t="shared" si="52"/>
        <v>0</v>
      </c>
    </row>
    <row r="1153" spans="23:34">
      <c r="W1153" s="177">
        <f t="shared" si="53"/>
        <v>0</v>
      </c>
      <c r="AB1153" s="178">
        <f t="shared" si="54"/>
        <v>0</v>
      </c>
      <c r="AH1153" s="177">
        <f t="shared" si="52"/>
        <v>0</v>
      </c>
    </row>
    <row r="1154" spans="23:34">
      <c r="W1154" s="177">
        <f t="shared" si="53"/>
        <v>0</v>
      </c>
      <c r="AB1154" s="178">
        <f t="shared" si="54"/>
        <v>0</v>
      </c>
      <c r="AH1154" s="177">
        <f t="shared" si="52"/>
        <v>0</v>
      </c>
    </row>
    <row r="1155" spans="23:34">
      <c r="W1155" s="177">
        <f t="shared" si="53"/>
        <v>0</v>
      </c>
      <c r="AB1155" s="178">
        <f t="shared" si="54"/>
        <v>0</v>
      </c>
      <c r="AH1155" s="177">
        <f t="shared" si="52"/>
        <v>0</v>
      </c>
    </row>
    <row r="1156" spans="23:34">
      <c r="W1156" s="177">
        <f t="shared" si="53"/>
        <v>0</v>
      </c>
      <c r="AB1156" s="178">
        <f t="shared" si="54"/>
        <v>0</v>
      </c>
      <c r="AH1156" s="177">
        <f t="shared" si="52"/>
        <v>0</v>
      </c>
    </row>
    <row r="1157" spans="23:34">
      <c r="W1157" s="177">
        <f t="shared" si="53"/>
        <v>0</v>
      </c>
      <c r="AB1157" s="178">
        <f t="shared" si="54"/>
        <v>0</v>
      </c>
      <c r="AH1157" s="177">
        <f t="shared" si="52"/>
        <v>0</v>
      </c>
    </row>
    <row r="1158" spans="23:34">
      <c r="W1158" s="177">
        <f t="shared" si="53"/>
        <v>0</v>
      </c>
      <c r="AB1158" s="178">
        <f t="shared" si="54"/>
        <v>0</v>
      </c>
      <c r="AH1158" s="177">
        <f t="shared" si="52"/>
        <v>0</v>
      </c>
    </row>
    <row r="1159" spans="23:34">
      <c r="W1159" s="177">
        <f t="shared" si="53"/>
        <v>0</v>
      </c>
      <c r="AB1159" s="178">
        <f t="shared" si="54"/>
        <v>0</v>
      </c>
      <c r="AH1159" s="177">
        <f t="shared" si="52"/>
        <v>0</v>
      </c>
    </row>
    <row r="1160" spans="23:34">
      <c r="W1160" s="177">
        <f t="shared" si="53"/>
        <v>0</v>
      </c>
      <c r="AB1160" s="178">
        <f t="shared" si="54"/>
        <v>0</v>
      </c>
      <c r="AH1160" s="177">
        <f t="shared" si="52"/>
        <v>0</v>
      </c>
    </row>
    <row r="1161" spans="23:34">
      <c r="W1161" s="177">
        <f t="shared" si="53"/>
        <v>0</v>
      </c>
      <c r="AB1161" s="178">
        <f t="shared" si="54"/>
        <v>0</v>
      </c>
      <c r="AH1161" s="177">
        <f t="shared" si="52"/>
        <v>0</v>
      </c>
    </row>
    <row r="1162" spans="23:34">
      <c r="W1162" s="177">
        <f t="shared" si="53"/>
        <v>0</v>
      </c>
      <c r="AB1162" s="178">
        <f t="shared" si="54"/>
        <v>0</v>
      </c>
      <c r="AH1162" s="177">
        <f t="shared" si="52"/>
        <v>0</v>
      </c>
    </row>
    <row r="1163" spans="23:34">
      <c r="W1163" s="177">
        <f t="shared" si="53"/>
        <v>0</v>
      </c>
      <c r="AB1163" s="178">
        <f t="shared" si="54"/>
        <v>0</v>
      </c>
      <c r="AH1163" s="177">
        <f t="shared" si="52"/>
        <v>0</v>
      </c>
    </row>
    <row r="1164" spans="23:34">
      <c r="W1164" s="177">
        <f t="shared" si="53"/>
        <v>0</v>
      </c>
      <c r="AB1164" s="178">
        <f t="shared" si="54"/>
        <v>0</v>
      </c>
      <c r="AH1164" s="177">
        <f t="shared" si="52"/>
        <v>0</v>
      </c>
    </row>
    <row r="1165" spans="23:34">
      <c r="W1165" s="177">
        <f t="shared" si="53"/>
        <v>0</v>
      </c>
      <c r="AB1165" s="178">
        <f t="shared" si="54"/>
        <v>0</v>
      </c>
      <c r="AH1165" s="177">
        <f t="shared" si="52"/>
        <v>0</v>
      </c>
    </row>
    <row r="1166" spans="23:34">
      <c r="W1166" s="177">
        <f t="shared" si="53"/>
        <v>0</v>
      </c>
      <c r="AB1166" s="178">
        <f t="shared" si="54"/>
        <v>0</v>
      </c>
      <c r="AH1166" s="177">
        <f t="shared" si="52"/>
        <v>0</v>
      </c>
    </row>
    <row r="1167" spans="23:34">
      <c r="W1167" s="177">
        <f t="shared" si="53"/>
        <v>0</v>
      </c>
      <c r="AB1167" s="178">
        <f t="shared" si="54"/>
        <v>0</v>
      </c>
      <c r="AH1167" s="177">
        <f t="shared" si="52"/>
        <v>0</v>
      </c>
    </row>
    <row r="1168" spans="23:34">
      <c r="W1168" s="177">
        <f t="shared" si="53"/>
        <v>0</v>
      </c>
      <c r="AB1168" s="178">
        <f t="shared" si="54"/>
        <v>0</v>
      </c>
      <c r="AH1168" s="177">
        <f t="shared" si="52"/>
        <v>0</v>
      </c>
    </row>
    <row r="1169" spans="23:34">
      <c r="W1169" s="177">
        <f t="shared" si="53"/>
        <v>0</v>
      </c>
      <c r="AB1169" s="178">
        <f t="shared" si="54"/>
        <v>0</v>
      </c>
      <c r="AH1169" s="177">
        <f t="shared" si="52"/>
        <v>0</v>
      </c>
    </row>
    <row r="1170" spans="23:34">
      <c r="W1170" s="177">
        <f t="shared" si="53"/>
        <v>0</v>
      </c>
      <c r="AB1170" s="178">
        <f t="shared" si="54"/>
        <v>0</v>
      </c>
      <c r="AH1170" s="177">
        <f t="shared" si="52"/>
        <v>0</v>
      </c>
    </row>
    <row r="1171" spans="23:34">
      <c r="W1171" s="177">
        <f t="shared" si="53"/>
        <v>0</v>
      </c>
      <c r="AB1171" s="178">
        <f t="shared" si="54"/>
        <v>0</v>
      </c>
      <c r="AH1171" s="177">
        <f t="shared" si="52"/>
        <v>0</v>
      </c>
    </row>
    <row r="1172" spans="23:34">
      <c r="W1172" s="177">
        <f t="shared" si="53"/>
        <v>0</v>
      </c>
      <c r="AB1172" s="178">
        <f t="shared" si="54"/>
        <v>0</v>
      </c>
      <c r="AH1172" s="177">
        <f t="shared" si="52"/>
        <v>0</v>
      </c>
    </row>
    <row r="1173" spans="23:34">
      <c r="W1173" s="177">
        <f t="shared" si="53"/>
        <v>0</v>
      </c>
      <c r="AB1173" s="178">
        <f t="shared" si="54"/>
        <v>0</v>
      </c>
      <c r="AH1173" s="177">
        <f t="shared" si="52"/>
        <v>0</v>
      </c>
    </row>
    <row r="1174" spans="23:34">
      <c r="W1174" s="177">
        <f t="shared" si="53"/>
        <v>0</v>
      </c>
      <c r="AB1174" s="178">
        <f t="shared" si="54"/>
        <v>0</v>
      </c>
      <c r="AH1174" s="177">
        <f t="shared" si="52"/>
        <v>0</v>
      </c>
    </row>
    <row r="1175" spans="23:34">
      <c r="W1175" s="177">
        <f t="shared" si="53"/>
        <v>0</v>
      </c>
      <c r="AB1175" s="178">
        <f t="shared" si="54"/>
        <v>0</v>
      </c>
      <c r="AH1175" s="177">
        <f t="shared" si="52"/>
        <v>0</v>
      </c>
    </row>
    <row r="1176" spans="23:34">
      <c r="W1176" s="177">
        <f t="shared" si="53"/>
        <v>0</v>
      </c>
      <c r="AB1176" s="178">
        <f t="shared" si="54"/>
        <v>0</v>
      </c>
      <c r="AH1176" s="177">
        <f t="shared" si="52"/>
        <v>0</v>
      </c>
    </row>
    <row r="1177" spans="23:34">
      <c r="W1177" s="177">
        <f t="shared" si="53"/>
        <v>0</v>
      </c>
      <c r="AB1177" s="178">
        <f t="shared" si="54"/>
        <v>0</v>
      </c>
      <c r="AH1177" s="177">
        <f t="shared" si="52"/>
        <v>0</v>
      </c>
    </row>
    <row r="1178" spans="23:34">
      <c r="W1178" s="177">
        <f t="shared" si="53"/>
        <v>0</v>
      </c>
      <c r="AB1178" s="178">
        <f t="shared" si="54"/>
        <v>0</v>
      </c>
      <c r="AH1178" s="177">
        <f t="shared" si="52"/>
        <v>0</v>
      </c>
    </row>
    <row r="1179" spans="23:34">
      <c r="W1179" s="177">
        <f t="shared" si="53"/>
        <v>0</v>
      </c>
      <c r="AB1179" s="178">
        <f t="shared" si="54"/>
        <v>0</v>
      </c>
      <c r="AH1179" s="177">
        <f t="shared" si="52"/>
        <v>0</v>
      </c>
    </row>
    <row r="1180" spans="23:34">
      <c r="W1180" s="177">
        <f t="shared" si="53"/>
        <v>0</v>
      </c>
      <c r="AB1180" s="178">
        <f t="shared" si="54"/>
        <v>0</v>
      </c>
      <c r="AH1180" s="177">
        <f t="shared" si="52"/>
        <v>0</v>
      </c>
    </row>
    <row r="1181" spans="23:34">
      <c r="W1181" s="177">
        <f t="shared" si="53"/>
        <v>0</v>
      </c>
      <c r="AB1181" s="178">
        <f t="shared" si="54"/>
        <v>0</v>
      </c>
      <c r="AH1181" s="177">
        <f t="shared" si="52"/>
        <v>0</v>
      </c>
    </row>
    <row r="1182" spans="23:34">
      <c r="W1182" s="177">
        <f t="shared" si="53"/>
        <v>0</v>
      </c>
      <c r="AB1182" s="178">
        <f t="shared" si="54"/>
        <v>0</v>
      </c>
      <c r="AH1182" s="177">
        <f t="shared" si="52"/>
        <v>0</v>
      </c>
    </row>
    <row r="1183" spans="23:34">
      <c r="W1183" s="177">
        <f t="shared" si="53"/>
        <v>0</v>
      </c>
      <c r="AB1183" s="178">
        <f t="shared" si="54"/>
        <v>0</v>
      </c>
      <c r="AH1183" s="177">
        <f t="shared" si="52"/>
        <v>0</v>
      </c>
    </row>
    <row r="1184" spans="23:34">
      <c r="W1184" s="177">
        <f t="shared" si="53"/>
        <v>0</v>
      </c>
      <c r="AB1184" s="178">
        <f t="shared" si="54"/>
        <v>0</v>
      </c>
      <c r="AH1184" s="177">
        <f t="shared" si="52"/>
        <v>0</v>
      </c>
    </row>
    <row r="1185" spans="23:34">
      <c r="W1185" s="177">
        <f t="shared" si="53"/>
        <v>0</v>
      </c>
      <c r="AB1185" s="178">
        <f t="shared" si="54"/>
        <v>0</v>
      </c>
      <c r="AH1185" s="177">
        <f t="shared" si="52"/>
        <v>0</v>
      </c>
    </row>
    <row r="1186" spans="23:34">
      <c r="W1186" s="177">
        <f t="shared" si="53"/>
        <v>0</v>
      </c>
      <c r="AB1186" s="178">
        <f t="shared" si="54"/>
        <v>0</v>
      </c>
      <c r="AH1186" s="177">
        <f t="shared" si="52"/>
        <v>0</v>
      </c>
    </row>
    <row r="1187" spans="23:34">
      <c r="W1187" s="177">
        <f t="shared" si="53"/>
        <v>0</v>
      </c>
      <c r="AB1187" s="178">
        <f t="shared" si="54"/>
        <v>0</v>
      </c>
      <c r="AH1187" s="177">
        <f t="shared" si="52"/>
        <v>0</v>
      </c>
    </row>
    <row r="1188" spans="23:34">
      <c r="W1188" s="177">
        <f t="shared" si="53"/>
        <v>0</v>
      </c>
      <c r="AB1188" s="178">
        <f t="shared" si="54"/>
        <v>0</v>
      </c>
      <c r="AH1188" s="177">
        <f t="shared" si="52"/>
        <v>0</v>
      </c>
    </row>
    <row r="1189" spans="23:34">
      <c r="W1189" s="177">
        <f t="shared" si="53"/>
        <v>0</v>
      </c>
      <c r="AB1189" s="178">
        <f t="shared" si="54"/>
        <v>0</v>
      </c>
      <c r="AH1189" s="177">
        <f t="shared" si="52"/>
        <v>0</v>
      </c>
    </row>
    <row r="1190" spans="23:34">
      <c r="W1190" s="177">
        <f t="shared" si="53"/>
        <v>0</v>
      </c>
      <c r="AB1190" s="178">
        <f t="shared" si="54"/>
        <v>0</v>
      </c>
      <c r="AH1190" s="177">
        <f t="shared" si="52"/>
        <v>0</v>
      </c>
    </row>
    <row r="1191" spans="23:34">
      <c r="W1191" s="177">
        <f t="shared" si="53"/>
        <v>0</v>
      </c>
      <c r="AB1191" s="178">
        <f t="shared" si="54"/>
        <v>0</v>
      </c>
      <c r="AH1191" s="177">
        <f t="shared" si="52"/>
        <v>0</v>
      </c>
    </row>
    <row r="1192" spans="23:34">
      <c r="W1192" s="177">
        <f t="shared" si="53"/>
        <v>0</v>
      </c>
      <c r="AB1192" s="178">
        <f t="shared" si="54"/>
        <v>0</v>
      </c>
      <c r="AH1192" s="177">
        <f t="shared" si="52"/>
        <v>0</v>
      </c>
    </row>
    <row r="1193" spans="23:34">
      <c r="W1193" s="177">
        <f t="shared" si="53"/>
        <v>0</v>
      </c>
      <c r="AB1193" s="178">
        <f t="shared" si="54"/>
        <v>0</v>
      </c>
      <c r="AH1193" s="177">
        <f t="shared" si="52"/>
        <v>0</v>
      </c>
    </row>
    <row r="1194" spans="23:34">
      <c r="W1194" s="177">
        <f t="shared" si="53"/>
        <v>0</v>
      </c>
      <c r="AB1194" s="178">
        <f t="shared" si="54"/>
        <v>0</v>
      </c>
      <c r="AH1194" s="177">
        <f t="shared" si="52"/>
        <v>0</v>
      </c>
    </row>
    <row r="1195" spans="23:34">
      <c r="W1195" s="177">
        <f t="shared" si="53"/>
        <v>0</v>
      </c>
      <c r="AB1195" s="178">
        <f t="shared" si="54"/>
        <v>0</v>
      </c>
      <c r="AH1195" s="177">
        <f t="shared" si="52"/>
        <v>0</v>
      </c>
    </row>
    <row r="1196" spans="23:34">
      <c r="W1196" s="177">
        <f t="shared" si="53"/>
        <v>0</v>
      </c>
      <c r="AB1196" s="178">
        <f t="shared" si="54"/>
        <v>0</v>
      </c>
      <c r="AH1196" s="177">
        <f t="shared" si="52"/>
        <v>0</v>
      </c>
    </row>
    <row r="1197" spans="23:34">
      <c r="W1197" s="177">
        <f t="shared" si="53"/>
        <v>0</v>
      </c>
      <c r="AB1197" s="178">
        <f t="shared" si="54"/>
        <v>0</v>
      </c>
      <c r="AH1197" s="177">
        <f t="shared" si="52"/>
        <v>0</v>
      </c>
    </row>
    <row r="1198" spans="23:34">
      <c r="W1198" s="177">
        <f t="shared" si="53"/>
        <v>0</v>
      </c>
      <c r="AB1198" s="178">
        <f t="shared" si="54"/>
        <v>0</v>
      </c>
      <c r="AH1198" s="177">
        <f t="shared" si="52"/>
        <v>0</v>
      </c>
    </row>
    <row r="1199" spans="23:34">
      <c r="W1199" s="177">
        <f t="shared" si="53"/>
        <v>0</v>
      </c>
      <c r="AB1199" s="178">
        <f t="shared" si="54"/>
        <v>0</v>
      </c>
      <c r="AH1199" s="177">
        <f t="shared" si="52"/>
        <v>0</v>
      </c>
    </row>
    <row r="1200" spans="23:34">
      <c r="W1200" s="177">
        <f t="shared" si="53"/>
        <v>0</v>
      </c>
      <c r="AB1200" s="178">
        <f t="shared" si="54"/>
        <v>0</v>
      </c>
      <c r="AH1200" s="177">
        <f t="shared" ref="AH1200:AH1263" si="55">SUM(AF1200:AG1200)</f>
        <v>0</v>
      </c>
    </row>
    <row r="1201" spans="23:34">
      <c r="W1201" s="177">
        <f t="shared" si="53"/>
        <v>0</v>
      </c>
      <c r="AB1201" s="178">
        <f t="shared" si="54"/>
        <v>0</v>
      </c>
      <c r="AH1201" s="177">
        <f t="shared" si="55"/>
        <v>0</v>
      </c>
    </row>
    <row r="1202" spans="23:34">
      <c r="W1202" s="177">
        <f t="shared" si="53"/>
        <v>0</v>
      </c>
      <c r="AB1202" s="178">
        <f t="shared" si="54"/>
        <v>0</v>
      </c>
      <c r="AH1202" s="177">
        <f t="shared" si="55"/>
        <v>0</v>
      </c>
    </row>
    <row r="1203" spans="23:34">
      <c r="W1203" s="177">
        <f t="shared" ref="W1203:W1266" si="56">SUM(Q1203:T1203)</f>
        <v>0</v>
      </c>
      <c r="AB1203" s="178">
        <f t="shared" si="54"/>
        <v>0</v>
      </c>
      <c r="AH1203" s="177">
        <f t="shared" si="55"/>
        <v>0</v>
      </c>
    </row>
    <row r="1204" spans="23:34">
      <c r="W1204" s="177">
        <f t="shared" si="56"/>
        <v>0</v>
      </c>
      <c r="AB1204" s="178">
        <f t="shared" si="54"/>
        <v>0</v>
      </c>
      <c r="AH1204" s="177">
        <f t="shared" si="55"/>
        <v>0</v>
      </c>
    </row>
    <row r="1205" spans="23:34">
      <c r="W1205" s="177">
        <f t="shared" si="56"/>
        <v>0</v>
      </c>
      <c r="AB1205" s="178">
        <f t="shared" si="54"/>
        <v>0</v>
      </c>
      <c r="AH1205" s="177">
        <f t="shared" si="55"/>
        <v>0</v>
      </c>
    </row>
    <row r="1206" spans="23:34">
      <c r="W1206" s="177">
        <f t="shared" si="56"/>
        <v>0</v>
      </c>
      <c r="AB1206" s="178">
        <f t="shared" si="54"/>
        <v>0</v>
      </c>
      <c r="AH1206" s="177">
        <f t="shared" si="55"/>
        <v>0</v>
      </c>
    </row>
    <row r="1207" spans="23:34">
      <c r="W1207" s="177">
        <f t="shared" si="56"/>
        <v>0</v>
      </c>
      <c r="AB1207" s="178">
        <f t="shared" si="54"/>
        <v>0</v>
      </c>
      <c r="AH1207" s="177">
        <f t="shared" si="55"/>
        <v>0</v>
      </c>
    </row>
    <row r="1208" spans="23:34">
      <c r="W1208" s="177">
        <f t="shared" si="56"/>
        <v>0</v>
      </c>
      <c r="AB1208" s="178">
        <f t="shared" si="54"/>
        <v>0</v>
      </c>
      <c r="AH1208" s="177">
        <f t="shared" si="55"/>
        <v>0</v>
      </c>
    </row>
    <row r="1209" spans="23:34">
      <c r="W1209" s="177">
        <f t="shared" si="56"/>
        <v>0</v>
      </c>
      <c r="AB1209" s="178">
        <f t="shared" si="54"/>
        <v>0</v>
      </c>
      <c r="AH1209" s="177">
        <f t="shared" si="55"/>
        <v>0</v>
      </c>
    </row>
    <row r="1210" spans="23:34">
      <c r="W1210" s="177">
        <f t="shared" si="56"/>
        <v>0</v>
      </c>
      <c r="AB1210" s="178">
        <f t="shared" si="54"/>
        <v>0</v>
      </c>
      <c r="AH1210" s="177">
        <f t="shared" si="55"/>
        <v>0</v>
      </c>
    </row>
    <row r="1211" spans="23:34">
      <c r="W1211" s="177">
        <f t="shared" si="56"/>
        <v>0</v>
      </c>
      <c r="AB1211" s="178">
        <f t="shared" ref="AB1211:AB1274" si="57">SUM(Z1211:AA1211)</f>
        <v>0</v>
      </c>
      <c r="AH1211" s="177">
        <f t="shared" si="55"/>
        <v>0</v>
      </c>
    </row>
    <row r="1212" spans="23:34">
      <c r="W1212" s="177">
        <f t="shared" si="56"/>
        <v>0</v>
      </c>
      <c r="AB1212" s="178">
        <f t="shared" si="57"/>
        <v>0</v>
      </c>
      <c r="AH1212" s="177">
        <f t="shared" si="55"/>
        <v>0</v>
      </c>
    </row>
    <row r="1213" spans="23:34">
      <c r="W1213" s="177">
        <f t="shared" si="56"/>
        <v>0</v>
      </c>
      <c r="AB1213" s="178">
        <f t="shared" si="57"/>
        <v>0</v>
      </c>
      <c r="AH1213" s="177">
        <f t="shared" si="55"/>
        <v>0</v>
      </c>
    </row>
    <row r="1214" spans="23:34">
      <c r="W1214" s="177">
        <f t="shared" si="56"/>
        <v>0</v>
      </c>
      <c r="AB1214" s="178">
        <f t="shared" si="57"/>
        <v>0</v>
      </c>
      <c r="AH1214" s="177">
        <f t="shared" si="55"/>
        <v>0</v>
      </c>
    </row>
    <row r="1215" spans="23:34">
      <c r="W1215" s="177">
        <f t="shared" si="56"/>
        <v>0</v>
      </c>
      <c r="AB1215" s="178">
        <f t="shared" si="57"/>
        <v>0</v>
      </c>
      <c r="AH1215" s="177">
        <f t="shared" si="55"/>
        <v>0</v>
      </c>
    </row>
    <row r="1216" spans="23:34">
      <c r="W1216" s="177">
        <f t="shared" si="56"/>
        <v>0</v>
      </c>
      <c r="AB1216" s="178">
        <f t="shared" si="57"/>
        <v>0</v>
      </c>
      <c r="AH1216" s="177">
        <f t="shared" si="55"/>
        <v>0</v>
      </c>
    </row>
    <row r="1217" spans="23:34">
      <c r="W1217" s="177">
        <f t="shared" si="56"/>
        <v>0</v>
      </c>
      <c r="AB1217" s="178">
        <f t="shared" si="57"/>
        <v>0</v>
      </c>
      <c r="AH1217" s="177">
        <f t="shared" si="55"/>
        <v>0</v>
      </c>
    </row>
    <row r="1218" spans="23:34">
      <c r="W1218" s="177">
        <f t="shared" si="56"/>
        <v>0</v>
      </c>
      <c r="AB1218" s="178">
        <f t="shared" si="57"/>
        <v>0</v>
      </c>
      <c r="AH1218" s="177">
        <f t="shared" si="55"/>
        <v>0</v>
      </c>
    </row>
    <row r="1219" spans="23:34">
      <c r="W1219" s="177">
        <f t="shared" si="56"/>
        <v>0</v>
      </c>
      <c r="AB1219" s="178">
        <f t="shared" si="57"/>
        <v>0</v>
      </c>
      <c r="AH1219" s="177">
        <f t="shared" si="55"/>
        <v>0</v>
      </c>
    </row>
    <row r="1220" spans="23:34">
      <c r="W1220" s="177">
        <f t="shared" si="56"/>
        <v>0</v>
      </c>
      <c r="AB1220" s="178">
        <f t="shared" si="57"/>
        <v>0</v>
      </c>
      <c r="AH1220" s="177">
        <f t="shared" si="55"/>
        <v>0</v>
      </c>
    </row>
    <row r="1221" spans="23:34">
      <c r="W1221" s="177">
        <f t="shared" si="56"/>
        <v>0</v>
      </c>
      <c r="AB1221" s="178">
        <f t="shared" si="57"/>
        <v>0</v>
      </c>
      <c r="AH1221" s="177">
        <f t="shared" si="55"/>
        <v>0</v>
      </c>
    </row>
    <row r="1222" spans="23:34">
      <c r="W1222" s="177">
        <f t="shared" si="56"/>
        <v>0</v>
      </c>
      <c r="AB1222" s="178">
        <f t="shared" si="57"/>
        <v>0</v>
      </c>
      <c r="AH1222" s="177">
        <f t="shared" si="55"/>
        <v>0</v>
      </c>
    </row>
    <row r="1223" spans="23:34">
      <c r="W1223" s="177">
        <f t="shared" si="56"/>
        <v>0</v>
      </c>
      <c r="AB1223" s="178">
        <f t="shared" si="57"/>
        <v>0</v>
      </c>
      <c r="AH1223" s="177">
        <f t="shared" si="55"/>
        <v>0</v>
      </c>
    </row>
    <row r="1224" spans="23:34">
      <c r="W1224" s="177">
        <f t="shared" si="56"/>
        <v>0</v>
      </c>
      <c r="AB1224" s="178">
        <f t="shared" si="57"/>
        <v>0</v>
      </c>
      <c r="AH1224" s="177">
        <f t="shared" si="55"/>
        <v>0</v>
      </c>
    </row>
    <row r="1225" spans="23:34">
      <c r="W1225" s="177">
        <f t="shared" si="56"/>
        <v>0</v>
      </c>
      <c r="AB1225" s="178">
        <f t="shared" si="57"/>
        <v>0</v>
      </c>
      <c r="AH1225" s="177">
        <f t="shared" si="55"/>
        <v>0</v>
      </c>
    </row>
    <row r="1226" spans="23:34">
      <c r="W1226" s="177">
        <f t="shared" si="56"/>
        <v>0</v>
      </c>
      <c r="AB1226" s="178">
        <f t="shared" si="57"/>
        <v>0</v>
      </c>
      <c r="AH1226" s="177">
        <f t="shared" si="55"/>
        <v>0</v>
      </c>
    </row>
    <row r="1227" spans="23:34">
      <c r="W1227" s="177">
        <f t="shared" si="56"/>
        <v>0</v>
      </c>
      <c r="AB1227" s="178">
        <f t="shared" si="57"/>
        <v>0</v>
      </c>
      <c r="AH1227" s="177">
        <f t="shared" si="55"/>
        <v>0</v>
      </c>
    </row>
    <row r="1228" spans="23:34">
      <c r="W1228" s="177">
        <f t="shared" si="56"/>
        <v>0</v>
      </c>
      <c r="AB1228" s="178">
        <f t="shared" si="57"/>
        <v>0</v>
      </c>
      <c r="AH1228" s="177">
        <f t="shared" si="55"/>
        <v>0</v>
      </c>
    </row>
    <row r="1229" spans="23:34">
      <c r="W1229" s="177">
        <f t="shared" si="56"/>
        <v>0</v>
      </c>
      <c r="AB1229" s="178">
        <f t="shared" si="57"/>
        <v>0</v>
      </c>
      <c r="AH1229" s="177">
        <f t="shared" si="55"/>
        <v>0</v>
      </c>
    </row>
    <row r="1230" spans="23:34">
      <c r="W1230" s="177">
        <f t="shared" si="56"/>
        <v>0</v>
      </c>
      <c r="AB1230" s="178">
        <f t="shared" si="57"/>
        <v>0</v>
      </c>
      <c r="AH1230" s="177">
        <f t="shared" si="55"/>
        <v>0</v>
      </c>
    </row>
    <row r="1231" spans="23:34">
      <c r="W1231" s="177">
        <f t="shared" si="56"/>
        <v>0</v>
      </c>
      <c r="AB1231" s="178">
        <f t="shared" si="57"/>
        <v>0</v>
      </c>
      <c r="AH1231" s="177">
        <f t="shared" si="55"/>
        <v>0</v>
      </c>
    </row>
    <row r="1232" spans="23:34">
      <c r="W1232" s="177">
        <f t="shared" si="56"/>
        <v>0</v>
      </c>
      <c r="AB1232" s="178">
        <f t="shared" si="57"/>
        <v>0</v>
      </c>
      <c r="AH1232" s="177">
        <f t="shared" si="55"/>
        <v>0</v>
      </c>
    </row>
    <row r="1233" spans="23:34">
      <c r="W1233" s="177">
        <f t="shared" si="56"/>
        <v>0</v>
      </c>
      <c r="AB1233" s="178">
        <f t="shared" si="57"/>
        <v>0</v>
      </c>
      <c r="AH1233" s="177">
        <f t="shared" si="55"/>
        <v>0</v>
      </c>
    </row>
    <row r="1234" spans="23:34">
      <c r="W1234" s="177">
        <f t="shared" si="56"/>
        <v>0</v>
      </c>
      <c r="AB1234" s="178">
        <f t="shared" si="57"/>
        <v>0</v>
      </c>
      <c r="AH1234" s="177">
        <f t="shared" si="55"/>
        <v>0</v>
      </c>
    </row>
    <row r="1235" spans="23:34">
      <c r="W1235" s="177">
        <f t="shared" si="56"/>
        <v>0</v>
      </c>
      <c r="AB1235" s="178">
        <f t="shared" si="57"/>
        <v>0</v>
      </c>
      <c r="AH1235" s="177">
        <f t="shared" si="55"/>
        <v>0</v>
      </c>
    </row>
    <row r="1236" spans="23:34">
      <c r="W1236" s="177">
        <f t="shared" si="56"/>
        <v>0</v>
      </c>
      <c r="AB1236" s="178">
        <f t="shared" si="57"/>
        <v>0</v>
      </c>
      <c r="AH1236" s="177">
        <f t="shared" si="55"/>
        <v>0</v>
      </c>
    </row>
    <row r="1237" spans="23:34">
      <c r="W1237" s="177">
        <f t="shared" si="56"/>
        <v>0</v>
      </c>
      <c r="AB1237" s="178">
        <f t="shared" si="57"/>
        <v>0</v>
      </c>
      <c r="AH1237" s="177">
        <f t="shared" si="55"/>
        <v>0</v>
      </c>
    </row>
    <row r="1238" spans="23:34">
      <c r="W1238" s="177">
        <f t="shared" si="56"/>
        <v>0</v>
      </c>
      <c r="AB1238" s="178">
        <f t="shared" si="57"/>
        <v>0</v>
      </c>
      <c r="AH1238" s="177">
        <f t="shared" si="55"/>
        <v>0</v>
      </c>
    </row>
    <row r="1239" spans="23:34">
      <c r="W1239" s="177">
        <f t="shared" si="56"/>
        <v>0</v>
      </c>
      <c r="AB1239" s="178">
        <f t="shared" si="57"/>
        <v>0</v>
      </c>
      <c r="AH1239" s="177">
        <f t="shared" si="55"/>
        <v>0</v>
      </c>
    </row>
    <row r="1240" spans="23:34">
      <c r="W1240" s="177">
        <f t="shared" si="56"/>
        <v>0</v>
      </c>
      <c r="AB1240" s="178">
        <f t="shared" si="57"/>
        <v>0</v>
      </c>
      <c r="AH1240" s="177">
        <f t="shared" si="55"/>
        <v>0</v>
      </c>
    </row>
    <row r="1241" spans="23:34">
      <c r="W1241" s="177">
        <f t="shared" si="56"/>
        <v>0</v>
      </c>
      <c r="AB1241" s="178">
        <f t="shared" si="57"/>
        <v>0</v>
      </c>
      <c r="AH1241" s="177">
        <f t="shared" si="55"/>
        <v>0</v>
      </c>
    </row>
    <row r="1242" spans="23:34">
      <c r="W1242" s="177">
        <f t="shared" si="56"/>
        <v>0</v>
      </c>
      <c r="AB1242" s="178">
        <f t="shared" si="57"/>
        <v>0</v>
      </c>
      <c r="AH1242" s="177">
        <f t="shared" si="55"/>
        <v>0</v>
      </c>
    </row>
    <row r="1243" spans="23:34">
      <c r="W1243" s="177">
        <f t="shared" si="56"/>
        <v>0</v>
      </c>
      <c r="AB1243" s="178">
        <f t="shared" si="57"/>
        <v>0</v>
      </c>
      <c r="AH1243" s="177">
        <f t="shared" si="55"/>
        <v>0</v>
      </c>
    </row>
    <row r="1244" spans="23:34">
      <c r="W1244" s="177">
        <f t="shared" si="56"/>
        <v>0</v>
      </c>
      <c r="AB1244" s="178">
        <f t="shared" si="57"/>
        <v>0</v>
      </c>
      <c r="AH1244" s="177">
        <f t="shared" si="55"/>
        <v>0</v>
      </c>
    </row>
    <row r="1245" spans="23:34">
      <c r="W1245" s="177">
        <f t="shared" si="56"/>
        <v>0</v>
      </c>
      <c r="AB1245" s="178">
        <f t="shared" si="57"/>
        <v>0</v>
      </c>
      <c r="AH1245" s="177">
        <f t="shared" si="55"/>
        <v>0</v>
      </c>
    </row>
    <row r="1246" spans="23:34">
      <c r="W1246" s="177">
        <f t="shared" si="56"/>
        <v>0</v>
      </c>
      <c r="AB1246" s="178">
        <f t="shared" si="57"/>
        <v>0</v>
      </c>
      <c r="AH1246" s="177">
        <f t="shared" si="55"/>
        <v>0</v>
      </c>
    </row>
    <row r="1247" spans="23:34">
      <c r="W1247" s="177">
        <f t="shared" si="56"/>
        <v>0</v>
      </c>
      <c r="AB1247" s="178">
        <f t="shared" si="57"/>
        <v>0</v>
      </c>
      <c r="AH1247" s="177">
        <f t="shared" si="55"/>
        <v>0</v>
      </c>
    </row>
    <row r="1248" spans="23:34">
      <c r="W1248" s="177">
        <f t="shared" si="56"/>
        <v>0</v>
      </c>
      <c r="AB1248" s="178">
        <f t="shared" si="57"/>
        <v>0</v>
      </c>
      <c r="AH1248" s="177">
        <f t="shared" si="55"/>
        <v>0</v>
      </c>
    </row>
    <row r="1249" spans="23:34">
      <c r="W1249" s="177">
        <f t="shared" si="56"/>
        <v>0</v>
      </c>
      <c r="AB1249" s="178">
        <f t="shared" si="57"/>
        <v>0</v>
      </c>
      <c r="AH1249" s="177">
        <f t="shared" si="55"/>
        <v>0</v>
      </c>
    </row>
    <row r="1250" spans="23:34">
      <c r="W1250" s="177">
        <f t="shared" si="56"/>
        <v>0</v>
      </c>
      <c r="AB1250" s="178">
        <f t="shared" si="57"/>
        <v>0</v>
      </c>
      <c r="AH1250" s="177">
        <f t="shared" si="55"/>
        <v>0</v>
      </c>
    </row>
    <row r="1251" spans="23:34">
      <c r="W1251" s="177">
        <f t="shared" si="56"/>
        <v>0</v>
      </c>
      <c r="AB1251" s="178">
        <f t="shared" si="57"/>
        <v>0</v>
      </c>
      <c r="AH1251" s="177">
        <f t="shared" si="55"/>
        <v>0</v>
      </c>
    </row>
    <row r="1252" spans="23:34">
      <c r="W1252" s="177">
        <f t="shared" si="56"/>
        <v>0</v>
      </c>
      <c r="AB1252" s="178">
        <f t="shared" si="57"/>
        <v>0</v>
      </c>
      <c r="AH1252" s="177">
        <f t="shared" si="55"/>
        <v>0</v>
      </c>
    </row>
    <row r="1253" spans="23:34">
      <c r="W1253" s="177">
        <f t="shared" si="56"/>
        <v>0</v>
      </c>
      <c r="AB1253" s="178">
        <f t="shared" si="57"/>
        <v>0</v>
      </c>
      <c r="AH1253" s="177">
        <f t="shared" si="55"/>
        <v>0</v>
      </c>
    </row>
    <row r="1254" spans="23:34">
      <c r="W1254" s="177">
        <f t="shared" si="56"/>
        <v>0</v>
      </c>
      <c r="AB1254" s="178">
        <f t="shared" si="57"/>
        <v>0</v>
      </c>
      <c r="AH1254" s="177">
        <f t="shared" si="55"/>
        <v>0</v>
      </c>
    </row>
    <row r="1255" spans="23:34">
      <c r="W1255" s="177">
        <f t="shared" si="56"/>
        <v>0</v>
      </c>
      <c r="AB1255" s="178">
        <f t="shared" si="57"/>
        <v>0</v>
      </c>
      <c r="AH1255" s="177">
        <f t="shared" si="55"/>
        <v>0</v>
      </c>
    </row>
    <row r="1256" spans="23:34">
      <c r="W1256" s="177">
        <f t="shared" si="56"/>
        <v>0</v>
      </c>
      <c r="AB1256" s="178">
        <f t="shared" si="57"/>
        <v>0</v>
      </c>
      <c r="AH1256" s="177">
        <f t="shared" si="55"/>
        <v>0</v>
      </c>
    </row>
    <row r="1257" spans="23:34">
      <c r="W1257" s="177">
        <f t="shared" si="56"/>
        <v>0</v>
      </c>
      <c r="AB1257" s="178">
        <f t="shared" si="57"/>
        <v>0</v>
      </c>
      <c r="AH1257" s="177">
        <f t="shared" si="55"/>
        <v>0</v>
      </c>
    </row>
    <row r="1258" spans="23:34">
      <c r="W1258" s="177">
        <f t="shared" si="56"/>
        <v>0</v>
      </c>
      <c r="AB1258" s="178">
        <f t="shared" si="57"/>
        <v>0</v>
      </c>
      <c r="AH1258" s="177">
        <f t="shared" si="55"/>
        <v>0</v>
      </c>
    </row>
    <row r="1259" spans="23:34">
      <c r="W1259" s="177">
        <f t="shared" si="56"/>
        <v>0</v>
      </c>
      <c r="AB1259" s="178">
        <f t="shared" si="57"/>
        <v>0</v>
      </c>
      <c r="AH1259" s="177">
        <f t="shared" si="55"/>
        <v>0</v>
      </c>
    </row>
    <row r="1260" spans="23:34">
      <c r="W1260" s="177">
        <f t="shared" si="56"/>
        <v>0</v>
      </c>
      <c r="AB1260" s="178">
        <f t="shared" si="57"/>
        <v>0</v>
      </c>
      <c r="AH1260" s="177">
        <f t="shared" si="55"/>
        <v>0</v>
      </c>
    </row>
    <row r="1261" spans="23:34">
      <c r="W1261" s="177">
        <f t="shared" si="56"/>
        <v>0</v>
      </c>
      <c r="AB1261" s="178">
        <f t="shared" si="57"/>
        <v>0</v>
      </c>
      <c r="AH1261" s="177">
        <f t="shared" si="55"/>
        <v>0</v>
      </c>
    </row>
    <row r="1262" spans="23:34">
      <c r="W1262" s="177">
        <f t="shared" si="56"/>
        <v>0</v>
      </c>
      <c r="AB1262" s="178">
        <f t="shared" si="57"/>
        <v>0</v>
      </c>
      <c r="AH1262" s="177">
        <f t="shared" si="55"/>
        <v>0</v>
      </c>
    </row>
    <row r="1263" spans="23:34">
      <c r="W1263" s="177">
        <f t="shared" si="56"/>
        <v>0</v>
      </c>
      <c r="AB1263" s="178">
        <f t="shared" si="57"/>
        <v>0</v>
      </c>
      <c r="AH1263" s="177">
        <f t="shared" si="55"/>
        <v>0</v>
      </c>
    </row>
    <row r="1264" spans="23:34">
      <c r="W1264" s="177">
        <f t="shared" si="56"/>
        <v>0</v>
      </c>
      <c r="AB1264" s="178">
        <f t="shared" si="57"/>
        <v>0</v>
      </c>
      <c r="AH1264" s="177">
        <f t="shared" ref="AH1264:AH1327" si="58">SUM(AF1264:AG1264)</f>
        <v>0</v>
      </c>
    </row>
    <row r="1265" spans="23:34">
      <c r="W1265" s="177">
        <f t="shared" si="56"/>
        <v>0</v>
      </c>
      <c r="AB1265" s="178">
        <f t="shared" si="57"/>
        <v>0</v>
      </c>
      <c r="AH1265" s="177">
        <f t="shared" si="58"/>
        <v>0</v>
      </c>
    </row>
    <row r="1266" spans="23:34">
      <c r="W1266" s="177">
        <f t="shared" si="56"/>
        <v>0</v>
      </c>
      <c r="AB1266" s="178">
        <f t="shared" si="57"/>
        <v>0</v>
      </c>
      <c r="AH1266" s="177">
        <f t="shared" si="58"/>
        <v>0</v>
      </c>
    </row>
    <row r="1267" spans="23:34">
      <c r="W1267" s="177">
        <f t="shared" ref="W1267:W1330" si="59">SUM(Q1267:T1267)</f>
        <v>0</v>
      </c>
      <c r="AB1267" s="178">
        <f t="shared" si="57"/>
        <v>0</v>
      </c>
      <c r="AH1267" s="177">
        <f t="shared" si="58"/>
        <v>0</v>
      </c>
    </row>
    <row r="1268" spans="23:34">
      <c r="W1268" s="177">
        <f t="shared" si="59"/>
        <v>0</v>
      </c>
      <c r="AB1268" s="178">
        <f t="shared" si="57"/>
        <v>0</v>
      </c>
      <c r="AH1268" s="177">
        <f t="shared" si="58"/>
        <v>0</v>
      </c>
    </row>
    <row r="1269" spans="23:34">
      <c r="W1269" s="177">
        <f t="shared" si="59"/>
        <v>0</v>
      </c>
      <c r="AB1269" s="178">
        <f t="shared" si="57"/>
        <v>0</v>
      </c>
      <c r="AH1269" s="177">
        <f t="shared" si="58"/>
        <v>0</v>
      </c>
    </row>
    <row r="1270" spans="23:34">
      <c r="W1270" s="177">
        <f t="shared" si="59"/>
        <v>0</v>
      </c>
      <c r="AB1270" s="178">
        <f t="shared" si="57"/>
        <v>0</v>
      </c>
      <c r="AH1270" s="177">
        <f t="shared" si="58"/>
        <v>0</v>
      </c>
    </row>
    <row r="1271" spans="23:34">
      <c r="W1271" s="177">
        <f t="shared" si="59"/>
        <v>0</v>
      </c>
      <c r="AB1271" s="178">
        <f t="shared" si="57"/>
        <v>0</v>
      </c>
      <c r="AH1271" s="177">
        <f t="shared" si="58"/>
        <v>0</v>
      </c>
    </row>
    <row r="1272" spans="23:34">
      <c r="W1272" s="177">
        <f t="shared" si="59"/>
        <v>0</v>
      </c>
      <c r="AB1272" s="178">
        <f t="shared" si="57"/>
        <v>0</v>
      </c>
      <c r="AH1272" s="177">
        <f t="shared" si="58"/>
        <v>0</v>
      </c>
    </row>
    <row r="1273" spans="23:34">
      <c r="W1273" s="177">
        <f t="shared" si="59"/>
        <v>0</v>
      </c>
      <c r="AB1273" s="178">
        <f t="shared" si="57"/>
        <v>0</v>
      </c>
      <c r="AH1273" s="177">
        <f t="shared" si="58"/>
        <v>0</v>
      </c>
    </row>
    <row r="1274" spans="23:34">
      <c r="W1274" s="177">
        <f t="shared" si="59"/>
        <v>0</v>
      </c>
      <c r="AB1274" s="178">
        <f t="shared" si="57"/>
        <v>0</v>
      </c>
      <c r="AH1274" s="177">
        <f t="shared" si="58"/>
        <v>0</v>
      </c>
    </row>
    <row r="1275" spans="23:34">
      <c r="W1275" s="177">
        <f t="shared" si="59"/>
        <v>0</v>
      </c>
      <c r="AB1275" s="178">
        <f t="shared" ref="AB1275:AB1338" si="60">SUM(Z1275:AA1275)</f>
        <v>0</v>
      </c>
      <c r="AH1275" s="177">
        <f t="shared" si="58"/>
        <v>0</v>
      </c>
    </row>
    <row r="1276" spans="23:34">
      <c r="W1276" s="177">
        <f t="shared" si="59"/>
        <v>0</v>
      </c>
      <c r="AB1276" s="178">
        <f t="shared" si="60"/>
        <v>0</v>
      </c>
      <c r="AH1276" s="177">
        <f t="shared" si="58"/>
        <v>0</v>
      </c>
    </row>
    <row r="1277" spans="23:34">
      <c r="W1277" s="177">
        <f t="shared" si="59"/>
        <v>0</v>
      </c>
      <c r="AB1277" s="178">
        <f t="shared" si="60"/>
        <v>0</v>
      </c>
      <c r="AH1277" s="177">
        <f t="shared" si="58"/>
        <v>0</v>
      </c>
    </row>
    <row r="1278" spans="23:34">
      <c r="W1278" s="177">
        <f t="shared" si="59"/>
        <v>0</v>
      </c>
      <c r="AB1278" s="178">
        <f t="shared" si="60"/>
        <v>0</v>
      </c>
      <c r="AH1278" s="177">
        <f t="shared" si="58"/>
        <v>0</v>
      </c>
    </row>
    <row r="1279" spans="23:34">
      <c r="W1279" s="177">
        <f t="shared" si="59"/>
        <v>0</v>
      </c>
      <c r="AB1279" s="178">
        <f t="shared" si="60"/>
        <v>0</v>
      </c>
      <c r="AH1279" s="177">
        <f t="shared" si="58"/>
        <v>0</v>
      </c>
    </row>
    <row r="1280" spans="23:34">
      <c r="W1280" s="177">
        <f t="shared" si="59"/>
        <v>0</v>
      </c>
      <c r="AB1280" s="178">
        <f t="shared" si="60"/>
        <v>0</v>
      </c>
      <c r="AH1280" s="177">
        <f t="shared" si="58"/>
        <v>0</v>
      </c>
    </row>
    <row r="1281" spans="23:34">
      <c r="W1281" s="177">
        <f t="shared" si="59"/>
        <v>0</v>
      </c>
      <c r="AB1281" s="178">
        <f t="shared" si="60"/>
        <v>0</v>
      </c>
      <c r="AH1281" s="177">
        <f t="shared" si="58"/>
        <v>0</v>
      </c>
    </row>
    <row r="1282" spans="23:34">
      <c r="W1282" s="177">
        <f t="shared" si="59"/>
        <v>0</v>
      </c>
      <c r="AB1282" s="178">
        <f t="shared" si="60"/>
        <v>0</v>
      </c>
      <c r="AH1282" s="177">
        <f t="shared" si="58"/>
        <v>0</v>
      </c>
    </row>
    <row r="1283" spans="23:34">
      <c r="W1283" s="177">
        <f t="shared" si="59"/>
        <v>0</v>
      </c>
      <c r="AB1283" s="178">
        <f t="shared" si="60"/>
        <v>0</v>
      </c>
      <c r="AH1283" s="177">
        <f t="shared" si="58"/>
        <v>0</v>
      </c>
    </row>
    <row r="1284" spans="23:34">
      <c r="W1284" s="177">
        <f t="shared" si="59"/>
        <v>0</v>
      </c>
      <c r="AB1284" s="178">
        <f t="shared" si="60"/>
        <v>0</v>
      </c>
      <c r="AH1284" s="177">
        <f t="shared" si="58"/>
        <v>0</v>
      </c>
    </row>
    <row r="1285" spans="23:34">
      <c r="W1285" s="177">
        <f t="shared" si="59"/>
        <v>0</v>
      </c>
      <c r="AB1285" s="178">
        <f t="shared" si="60"/>
        <v>0</v>
      </c>
      <c r="AH1285" s="177">
        <f t="shared" si="58"/>
        <v>0</v>
      </c>
    </row>
    <row r="1286" spans="23:34">
      <c r="W1286" s="177">
        <f t="shared" si="59"/>
        <v>0</v>
      </c>
      <c r="AB1286" s="178">
        <f t="shared" si="60"/>
        <v>0</v>
      </c>
      <c r="AH1286" s="177">
        <f t="shared" si="58"/>
        <v>0</v>
      </c>
    </row>
    <row r="1287" spans="23:34">
      <c r="W1287" s="177">
        <f t="shared" si="59"/>
        <v>0</v>
      </c>
      <c r="AB1287" s="178">
        <f t="shared" si="60"/>
        <v>0</v>
      </c>
      <c r="AH1287" s="177">
        <f t="shared" si="58"/>
        <v>0</v>
      </c>
    </row>
    <row r="1288" spans="23:34">
      <c r="W1288" s="177">
        <f t="shared" si="59"/>
        <v>0</v>
      </c>
      <c r="AB1288" s="178">
        <f t="shared" si="60"/>
        <v>0</v>
      </c>
      <c r="AH1288" s="177">
        <f t="shared" si="58"/>
        <v>0</v>
      </c>
    </row>
    <row r="1289" spans="23:34">
      <c r="W1289" s="177">
        <f t="shared" si="59"/>
        <v>0</v>
      </c>
      <c r="AB1289" s="178">
        <f t="shared" si="60"/>
        <v>0</v>
      </c>
      <c r="AH1289" s="177">
        <f t="shared" si="58"/>
        <v>0</v>
      </c>
    </row>
    <row r="1290" spans="23:34">
      <c r="W1290" s="177">
        <f t="shared" si="59"/>
        <v>0</v>
      </c>
      <c r="AB1290" s="178">
        <f t="shared" si="60"/>
        <v>0</v>
      </c>
      <c r="AH1290" s="177">
        <f t="shared" si="58"/>
        <v>0</v>
      </c>
    </row>
    <row r="1291" spans="23:34">
      <c r="W1291" s="177">
        <f t="shared" si="59"/>
        <v>0</v>
      </c>
      <c r="AB1291" s="178">
        <f t="shared" si="60"/>
        <v>0</v>
      </c>
      <c r="AH1291" s="177">
        <f t="shared" si="58"/>
        <v>0</v>
      </c>
    </row>
    <row r="1292" spans="23:34">
      <c r="W1292" s="177">
        <f t="shared" si="59"/>
        <v>0</v>
      </c>
      <c r="AB1292" s="178">
        <f t="shared" si="60"/>
        <v>0</v>
      </c>
      <c r="AH1292" s="177">
        <f t="shared" si="58"/>
        <v>0</v>
      </c>
    </row>
    <row r="1293" spans="23:34">
      <c r="W1293" s="177">
        <f t="shared" si="59"/>
        <v>0</v>
      </c>
      <c r="AB1293" s="178">
        <f t="shared" si="60"/>
        <v>0</v>
      </c>
      <c r="AH1293" s="177">
        <f t="shared" si="58"/>
        <v>0</v>
      </c>
    </row>
    <row r="1294" spans="23:34">
      <c r="W1294" s="177">
        <f t="shared" si="59"/>
        <v>0</v>
      </c>
      <c r="AB1294" s="178">
        <f t="shared" si="60"/>
        <v>0</v>
      </c>
      <c r="AH1294" s="177">
        <f t="shared" si="58"/>
        <v>0</v>
      </c>
    </row>
    <row r="1295" spans="23:34">
      <c r="W1295" s="177">
        <f t="shared" si="59"/>
        <v>0</v>
      </c>
      <c r="AB1295" s="178">
        <f t="shared" si="60"/>
        <v>0</v>
      </c>
      <c r="AH1295" s="177">
        <f t="shared" si="58"/>
        <v>0</v>
      </c>
    </row>
    <row r="1296" spans="23:34">
      <c r="W1296" s="177">
        <f t="shared" si="59"/>
        <v>0</v>
      </c>
      <c r="AB1296" s="178">
        <f t="shared" si="60"/>
        <v>0</v>
      </c>
      <c r="AH1296" s="177">
        <f t="shared" si="58"/>
        <v>0</v>
      </c>
    </row>
    <row r="1297" spans="23:34">
      <c r="W1297" s="177">
        <f t="shared" si="59"/>
        <v>0</v>
      </c>
      <c r="AB1297" s="178">
        <f t="shared" si="60"/>
        <v>0</v>
      </c>
      <c r="AH1297" s="177">
        <f t="shared" si="58"/>
        <v>0</v>
      </c>
    </row>
    <row r="1298" spans="23:34">
      <c r="W1298" s="177">
        <f t="shared" si="59"/>
        <v>0</v>
      </c>
      <c r="AB1298" s="178">
        <f t="shared" si="60"/>
        <v>0</v>
      </c>
      <c r="AH1298" s="177">
        <f t="shared" si="58"/>
        <v>0</v>
      </c>
    </row>
    <row r="1299" spans="23:34">
      <c r="W1299" s="177">
        <f t="shared" si="59"/>
        <v>0</v>
      </c>
      <c r="AB1299" s="178">
        <f t="shared" si="60"/>
        <v>0</v>
      </c>
      <c r="AH1299" s="177">
        <f t="shared" si="58"/>
        <v>0</v>
      </c>
    </row>
    <row r="1300" spans="23:34">
      <c r="W1300" s="177">
        <f t="shared" si="59"/>
        <v>0</v>
      </c>
      <c r="AB1300" s="178">
        <f t="shared" si="60"/>
        <v>0</v>
      </c>
      <c r="AH1300" s="177">
        <f t="shared" si="58"/>
        <v>0</v>
      </c>
    </row>
    <row r="1301" spans="23:34">
      <c r="W1301" s="177">
        <f t="shared" si="59"/>
        <v>0</v>
      </c>
      <c r="AB1301" s="178">
        <f t="shared" si="60"/>
        <v>0</v>
      </c>
      <c r="AH1301" s="177">
        <f t="shared" si="58"/>
        <v>0</v>
      </c>
    </row>
    <row r="1302" spans="23:34">
      <c r="W1302" s="177">
        <f t="shared" si="59"/>
        <v>0</v>
      </c>
      <c r="AB1302" s="178">
        <f t="shared" si="60"/>
        <v>0</v>
      </c>
      <c r="AH1302" s="177">
        <f t="shared" si="58"/>
        <v>0</v>
      </c>
    </row>
    <row r="1303" spans="23:34">
      <c r="W1303" s="177">
        <f t="shared" si="59"/>
        <v>0</v>
      </c>
      <c r="AB1303" s="178">
        <f t="shared" si="60"/>
        <v>0</v>
      </c>
      <c r="AH1303" s="177">
        <f t="shared" si="58"/>
        <v>0</v>
      </c>
    </row>
    <row r="1304" spans="23:34">
      <c r="W1304" s="177">
        <f t="shared" si="59"/>
        <v>0</v>
      </c>
      <c r="AB1304" s="178">
        <f t="shared" si="60"/>
        <v>0</v>
      </c>
      <c r="AH1304" s="177">
        <f t="shared" si="58"/>
        <v>0</v>
      </c>
    </row>
    <row r="1305" spans="23:34">
      <c r="W1305" s="177">
        <f t="shared" si="59"/>
        <v>0</v>
      </c>
      <c r="AB1305" s="178">
        <f t="shared" si="60"/>
        <v>0</v>
      </c>
      <c r="AH1305" s="177">
        <f t="shared" si="58"/>
        <v>0</v>
      </c>
    </row>
    <row r="1306" spans="23:34">
      <c r="W1306" s="177">
        <f t="shared" si="59"/>
        <v>0</v>
      </c>
      <c r="AB1306" s="178">
        <f t="shared" si="60"/>
        <v>0</v>
      </c>
      <c r="AH1306" s="177">
        <f t="shared" si="58"/>
        <v>0</v>
      </c>
    </row>
    <row r="1307" spans="23:34">
      <c r="W1307" s="177">
        <f t="shared" si="59"/>
        <v>0</v>
      </c>
      <c r="AB1307" s="178">
        <f t="shared" si="60"/>
        <v>0</v>
      </c>
      <c r="AH1307" s="177">
        <f t="shared" si="58"/>
        <v>0</v>
      </c>
    </row>
    <row r="1308" spans="23:34">
      <c r="W1308" s="177">
        <f t="shared" si="59"/>
        <v>0</v>
      </c>
      <c r="AB1308" s="178">
        <f t="shared" si="60"/>
        <v>0</v>
      </c>
      <c r="AH1308" s="177">
        <f t="shared" si="58"/>
        <v>0</v>
      </c>
    </row>
    <row r="1309" spans="23:34">
      <c r="W1309" s="177">
        <f t="shared" si="59"/>
        <v>0</v>
      </c>
      <c r="AB1309" s="178">
        <f t="shared" si="60"/>
        <v>0</v>
      </c>
      <c r="AH1309" s="177">
        <f t="shared" si="58"/>
        <v>0</v>
      </c>
    </row>
    <row r="1310" spans="23:34">
      <c r="W1310" s="177">
        <f t="shared" si="59"/>
        <v>0</v>
      </c>
      <c r="AB1310" s="178">
        <f t="shared" si="60"/>
        <v>0</v>
      </c>
      <c r="AH1310" s="177">
        <f t="shared" si="58"/>
        <v>0</v>
      </c>
    </row>
    <row r="1311" spans="23:34">
      <c r="W1311" s="177">
        <f t="shared" si="59"/>
        <v>0</v>
      </c>
      <c r="AB1311" s="178">
        <f t="shared" si="60"/>
        <v>0</v>
      </c>
      <c r="AH1311" s="177">
        <f t="shared" si="58"/>
        <v>0</v>
      </c>
    </row>
    <row r="1312" spans="23:34">
      <c r="W1312" s="177">
        <f t="shared" si="59"/>
        <v>0</v>
      </c>
      <c r="AB1312" s="178">
        <f t="shared" si="60"/>
        <v>0</v>
      </c>
      <c r="AH1312" s="177">
        <f t="shared" si="58"/>
        <v>0</v>
      </c>
    </row>
    <row r="1313" spans="23:34">
      <c r="W1313" s="177">
        <f t="shared" si="59"/>
        <v>0</v>
      </c>
      <c r="AB1313" s="178">
        <f t="shared" si="60"/>
        <v>0</v>
      </c>
      <c r="AH1313" s="177">
        <f t="shared" si="58"/>
        <v>0</v>
      </c>
    </row>
    <row r="1314" spans="23:34">
      <c r="W1314" s="177">
        <f t="shared" si="59"/>
        <v>0</v>
      </c>
      <c r="AB1314" s="178">
        <f t="shared" si="60"/>
        <v>0</v>
      </c>
      <c r="AH1314" s="177">
        <f t="shared" si="58"/>
        <v>0</v>
      </c>
    </row>
    <row r="1315" spans="23:34">
      <c r="W1315" s="177">
        <f t="shared" si="59"/>
        <v>0</v>
      </c>
      <c r="AB1315" s="178">
        <f t="shared" si="60"/>
        <v>0</v>
      </c>
      <c r="AH1315" s="177">
        <f t="shared" si="58"/>
        <v>0</v>
      </c>
    </row>
    <row r="1316" spans="23:34">
      <c r="W1316" s="177">
        <f t="shared" si="59"/>
        <v>0</v>
      </c>
      <c r="AB1316" s="178">
        <f t="shared" si="60"/>
        <v>0</v>
      </c>
      <c r="AH1316" s="177">
        <f t="shared" si="58"/>
        <v>0</v>
      </c>
    </row>
    <row r="1317" spans="23:34">
      <c r="W1317" s="177">
        <f t="shared" si="59"/>
        <v>0</v>
      </c>
      <c r="AB1317" s="178">
        <f t="shared" si="60"/>
        <v>0</v>
      </c>
      <c r="AH1317" s="177">
        <f t="shared" si="58"/>
        <v>0</v>
      </c>
    </row>
    <row r="1318" spans="23:34">
      <c r="W1318" s="177">
        <f t="shared" si="59"/>
        <v>0</v>
      </c>
      <c r="AB1318" s="178">
        <f t="shared" si="60"/>
        <v>0</v>
      </c>
      <c r="AH1318" s="177">
        <f t="shared" si="58"/>
        <v>0</v>
      </c>
    </row>
    <row r="1319" spans="23:34">
      <c r="W1319" s="177">
        <f t="shared" si="59"/>
        <v>0</v>
      </c>
      <c r="AB1319" s="178">
        <f t="shared" si="60"/>
        <v>0</v>
      </c>
      <c r="AH1319" s="177">
        <f t="shared" si="58"/>
        <v>0</v>
      </c>
    </row>
    <row r="1320" spans="23:34">
      <c r="W1320" s="177">
        <f t="shared" si="59"/>
        <v>0</v>
      </c>
      <c r="AB1320" s="178">
        <f t="shared" si="60"/>
        <v>0</v>
      </c>
      <c r="AH1320" s="177">
        <f t="shared" si="58"/>
        <v>0</v>
      </c>
    </row>
    <row r="1321" spans="23:34">
      <c r="W1321" s="177">
        <f t="shared" si="59"/>
        <v>0</v>
      </c>
      <c r="AB1321" s="178">
        <f t="shared" si="60"/>
        <v>0</v>
      </c>
      <c r="AH1321" s="177">
        <f t="shared" si="58"/>
        <v>0</v>
      </c>
    </row>
    <row r="1322" spans="23:34">
      <c r="W1322" s="177">
        <f t="shared" si="59"/>
        <v>0</v>
      </c>
      <c r="AB1322" s="178">
        <f t="shared" si="60"/>
        <v>0</v>
      </c>
      <c r="AH1322" s="177">
        <f t="shared" si="58"/>
        <v>0</v>
      </c>
    </row>
    <row r="1323" spans="23:34">
      <c r="W1323" s="177">
        <f t="shared" si="59"/>
        <v>0</v>
      </c>
      <c r="AB1323" s="178">
        <f t="shared" si="60"/>
        <v>0</v>
      </c>
      <c r="AH1323" s="177">
        <f t="shared" si="58"/>
        <v>0</v>
      </c>
    </row>
    <row r="1324" spans="23:34">
      <c r="W1324" s="177">
        <f t="shared" si="59"/>
        <v>0</v>
      </c>
      <c r="AB1324" s="178">
        <f t="shared" si="60"/>
        <v>0</v>
      </c>
      <c r="AH1324" s="177">
        <f t="shared" si="58"/>
        <v>0</v>
      </c>
    </row>
    <row r="1325" spans="23:34">
      <c r="W1325" s="177">
        <f t="shared" si="59"/>
        <v>0</v>
      </c>
      <c r="AB1325" s="178">
        <f t="shared" si="60"/>
        <v>0</v>
      </c>
      <c r="AH1325" s="177">
        <f t="shared" si="58"/>
        <v>0</v>
      </c>
    </row>
    <row r="1326" spans="23:34">
      <c r="W1326" s="177">
        <f t="shared" si="59"/>
        <v>0</v>
      </c>
      <c r="AB1326" s="178">
        <f t="shared" si="60"/>
        <v>0</v>
      </c>
      <c r="AH1326" s="177">
        <f t="shared" si="58"/>
        <v>0</v>
      </c>
    </row>
    <row r="1327" spans="23:34">
      <c r="W1327" s="177">
        <f t="shared" si="59"/>
        <v>0</v>
      </c>
      <c r="AB1327" s="178">
        <f t="shared" si="60"/>
        <v>0</v>
      </c>
      <c r="AH1327" s="177">
        <f t="shared" si="58"/>
        <v>0</v>
      </c>
    </row>
    <row r="1328" spans="23:34">
      <c r="W1328" s="177">
        <f t="shared" si="59"/>
        <v>0</v>
      </c>
      <c r="AB1328" s="178">
        <f t="shared" si="60"/>
        <v>0</v>
      </c>
      <c r="AH1328" s="177">
        <f t="shared" ref="AH1328:AH1391" si="61">SUM(AF1328:AG1328)</f>
        <v>0</v>
      </c>
    </row>
    <row r="1329" spans="23:34">
      <c r="W1329" s="177">
        <f t="shared" si="59"/>
        <v>0</v>
      </c>
      <c r="AB1329" s="178">
        <f t="shared" si="60"/>
        <v>0</v>
      </c>
      <c r="AH1329" s="177">
        <f t="shared" si="61"/>
        <v>0</v>
      </c>
    </row>
    <row r="1330" spans="23:34">
      <c r="W1330" s="177">
        <f t="shared" si="59"/>
        <v>0</v>
      </c>
      <c r="AB1330" s="178">
        <f t="shared" si="60"/>
        <v>0</v>
      </c>
      <c r="AH1330" s="177">
        <f t="shared" si="61"/>
        <v>0</v>
      </c>
    </row>
    <row r="1331" spans="23:34">
      <c r="W1331" s="177">
        <f t="shared" ref="W1331:W1394" si="62">SUM(Q1331:T1331)</f>
        <v>0</v>
      </c>
      <c r="AB1331" s="178">
        <f t="shared" si="60"/>
        <v>0</v>
      </c>
      <c r="AH1331" s="177">
        <f t="shared" si="61"/>
        <v>0</v>
      </c>
    </row>
    <row r="1332" spans="23:34">
      <c r="W1332" s="177">
        <f t="shared" si="62"/>
        <v>0</v>
      </c>
      <c r="AB1332" s="178">
        <f t="shared" si="60"/>
        <v>0</v>
      </c>
      <c r="AH1332" s="177">
        <f t="shared" si="61"/>
        <v>0</v>
      </c>
    </row>
    <row r="1333" spans="23:34">
      <c r="W1333" s="177">
        <f t="shared" si="62"/>
        <v>0</v>
      </c>
      <c r="AB1333" s="178">
        <f t="shared" si="60"/>
        <v>0</v>
      </c>
      <c r="AH1333" s="177">
        <f t="shared" si="61"/>
        <v>0</v>
      </c>
    </row>
    <row r="1334" spans="23:34">
      <c r="W1334" s="177">
        <f t="shared" si="62"/>
        <v>0</v>
      </c>
      <c r="AB1334" s="178">
        <f t="shared" si="60"/>
        <v>0</v>
      </c>
      <c r="AH1334" s="177">
        <f t="shared" si="61"/>
        <v>0</v>
      </c>
    </row>
    <row r="1335" spans="23:34">
      <c r="W1335" s="177">
        <f t="shared" si="62"/>
        <v>0</v>
      </c>
      <c r="AB1335" s="178">
        <f t="shared" si="60"/>
        <v>0</v>
      </c>
      <c r="AH1335" s="177">
        <f t="shared" si="61"/>
        <v>0</v>
      </c>
    </row>
    <row r="1336" spans="23:34">
      <c r="W1336" s="177">
        <f t="shared" si="62"/>
        <v>0</v>
      </c>
      <c r="AB1336" s="178">
        <f t="shared" si="60"/>
        <v>0</v>
      </c>
      <c r="AH1336" s="177">
        <f t="shared" si="61"/>
        <v>0</v>
      </c>
    </row>
    <row r="1337" spans="23:34">
      <c r="W1337" s="177">
        <f t="shared" si="62"/>
        <v>0</v>
      </c>
      <c r="AB1337" s="178">
        <f t="shared" si="60"/>
        <v>0</v>
      </c>
      <c r="AH1337" s="177">
        <f t="shared" si="61"/>
        <v>0</v>
      </c>
    </row>
    <row r="1338" spans="23:34">
      <c r="W1338" s="177">
        <f t="shared" si="62"/>
        <v>0</v>
      </c>
      <c r="AB1338" s="178">
        <f t="shared" si="60"/>
        <v>0</v>
      </c>
      <c r="AH1338" s="177">
        <f t="shared" si="61"/>
        <v>0</v>
      </c>
    </row>
    <row r="1339" spans="23:34">
      <c r="W1339" s="177">
        <f t="shared" si="62"/>
        <v>0</v>
      </c>
      <c r="AB1339" s="178">
        <f t="shared" ref="AB1339:AB1402" si="63">SUM(Z1339:AA1339)</f>
        <v>0</v>
      </c>
      <c r="AH1339" s="177">
        <f t="shared" si="61"/>
        <v>0</v>
      </c>
    </row>
    <row r="1340" spans="23:34">
      <c r="W1340" s="177">
        <f t="shared" si="62"/>
        <v>0</v>
      </c>
      <c r="AB1340" s="178">
        <f t="shared" si="63"/>
        <v>0</v>
      </c>
      <c r="AH1340" s="177">
        <f t="shared" si="61"/>
        <v>0</v>
      </c>
    </row>
    <row r="1341" spans="23:34">
      <c r="W1341" s="177">
        <f t="shared" si="62"/>
        <v>0</v>
      </c>
      <c r="AB1341" s="178">
        <f t="shared" si="63"/>
        <v>0</v>
      </c>
      <c r="AH1341" s="177">
        <f t="shared" si="61"/>
        <v>0</v>
      </c>
    </row>
    <row r="1342" spans="23:34">
      <c r="W1342" s="177">
        <f t="shared" si="62"/>
        <v>0</v>
      </c>
      <c r="AB1342" s="178">
        <f t="shared" si="63"/>
        <v>0</v>
      </c>
      <c r="AH1342" s="177">
        <f t="shared" si="61"/>
        <v>0</v>
      </c>
    </row>
    <row r="1343" spans="23:34">
      <c r="W1343" s="177">
        <f t="shared" si="62"/>
        <v>0</v>
      </c>
      <c r="AB1343" s="178">
        <f t="shared" si="63"/>
        <v>0</v>
      </c>
      <c r="AH1343" s="177">
        <f t="shared" si="61"/>
        <v>0</v>
      </c>
    </row>
    <row r="1344" spans="23:34">
      <c r="W1344" s="177">
        <f t="shared" si="62"/>
        <v>0</v>
      </c>
      <c r="AB1344" s="178">
        <f t="shared" si="63"/>
        <v>0</v>
      </c>
      <c r="AH1344" s="177">
        <f t="shared" si="61"/>
        <v>0</v>
      </c>
    </row>
    <row r="1345" spans="23:34">
      <c r="W1345" s="177">
        <f t="shared" si="62"/>
        <v>0</v>
      </c>
      <c r="AB1345" s="178">
        <f t="shared" si="63"/>
        <v>0</v>
      </c>
      <c r="AH1345" s="177">
        <f t="shared" si="61"/>
        <v>0</v>
      </c>
    </row>
    <row r="1346" spans="23:34">
      <c r="W1346" s="177">
        <f t="shared" si="62"/>
        <v>0</v>
      </c>
      <c r="AB1346" s="178">
        <f t="shared" si="63"/>
        <v>0</v>
      </c>
      <c r="AH1346" s="177">
        <f t="shared" si="61"/>
        <v>0</v>
      </c>
    </row>
    <row r="1347" spans="23:34">
      <c r="W1347" s="177">
        <f t="shared" si="62"/>
        <v>0</v>
      </c>
      <c r="AB1347" s="178">
        <f t="shared" si="63"/>
        <v>0</v>
      </c>
      <c r="AH1347" s="177">
        <f t="shared" si="61"/>
        <v>0</v>
      </c>
    </row>
    <row r="1348" spans="23:34">
      <c r="W1348" s="177">
        <f t="shared" si="62"/>
        <v>0</v>
      </c>
      <c r="AB1348" s="178">
        <f t="shared" si="63"/>
        <v>0</v>
      </c>
      <c r="AH1348" s="177">
        <f t="shared" si="61"/>
        <v>0</v>
      </c>
    </row>
    <row r="1349" spans="23:34">
      <c r="W1349" s="177">
        <f t="shared" si="62"/>
        <v>0</v>
      </c>
      <c r="AB1349" s="178">
        <f t="shared" si="63"/>
        <v>0</v>
      </c>
      <c r="AH1349" s="177">
        <f t="shared" si="61"/>
        <v>0</v>
      </c>
    </row>
    <row r="1350" spans="23:34">
      <c r="W1350" s="177">
        <f t="shared" si="62"/>
        <v>0</v>
      </c>
      <c r="AB1350" s="178">
        <f t="shared" si="63"/>
        <v>0</v>
      </c>
      <c r="AH1350" s="177">
        <f t="shared" si="61"/>
        <v>0</v>
      </c>
    </row>
    <row r="1351" spans="23:34">
      <c r="W1351" s="177">
        <f t="shared" si="62"/>
        <v>0</v>
      </c>
      <c r="AB1351" s="178">
        <f t="shared" si="63"/>
        <v>0</v>
      </c>
      <c r="AH1351" s="177">
        <f t="shared" si="61"/>
        <v>0</v>
      </c>
    </row>
    <row r="1352" spans="23:34">
      <c r="W1352" s="177">
        <f t="shared" si="62"/>
        <v>0</v>
      </c>
      <c r="AB1352" s="178">
        <f t="shared" si="63"/>
        <v>0</v>
      </c>
      <c r="AH1352" s="177">
        <f t="shared" si="61"/>
        <v>0</v>
      </c>
    </row>
    <row r="1353" spans="23:34">
      <c r="W1353" s="177">
        <f t="shared" si="62"/>
        <v>0</v>
      </c>
      <c r="AB1353" s="178">
        <f t="shared" si="63"/>
        <v>0</v>
      </c>
      <c r="AH1353" s="177">
        <f t="shared" si="61"/>
        <v>0</v>
      </c>
    </row>
    <row r="1354" spans="23:34">
      <c r="W1354" s="177">
        <f t="shared" si="62"/>
        <v>0</v>
      </c>
      <c r="AB1354" s="178">
        <f t="shared" si="63"/>
        <v>0</v>
      </c>
      <c r="AH1354" s="177">
        <f t="shared" si="61"/>
        <v>0</v>
      </c>
    </row>
    <row r="1355" spans="23:34">
      <c r="W1355" s="177">
        <f t="shared" si="62"/>
        <v>0</v>
      </c>
      <c r="AB1355" s="178">
        <f t="shared" si="63"/>
        <v>0</v>
      </c>
      <c r="AH1355" s="177">
        <f t="shared" si="61"/>
        <v>0</v>
      </c>
    </row>
    <row r="1356" spans="23:34">
      <c r="W1356" s="177">
        <f t="shared" si="62"/>
        <v>0</v>
      </c>
      <c r="AB1356" s="178">
        <f t="shared" si="63"/>
        <v>0</v>
      </c>
      <c r="AH1356" s="177">
        <f t="shared" si="61"/>
        <v>0</v>
      </c>
    </row>
    <row r="1357" spans="23:34">
      <c r="W1357" s="177">
        <f t="shared" si="62"/>
        <v>0</v>
      </c>
      <c r="AB1357" s="178">
        <f t="shared" si="63"/>
        <v>0</v>
      </c>
      <c r="AH1357" s="177">
        <f t="shared" si="61"/>
        <v>0</v>
      </c>
    </row>
    <row r="1358" spans="23:34">
      <c r="W1358" s="177">
        <f t="shared" si="62"/>
        <v>0</v>
      </c>
      <c r="AB1358" s="178">
        <f t="shared" si="63"/>
        <v>0</v>
      </c>
      <c r="AH1358" s="177">
        <f t="shared" si="61"/>
        <v>0</v>
      </c>
    </row>
    <row r="1359" spans="23:34">
      <c r="W1359" s="177">
        <f t="shared" si="62"/>
        <v>0</v>
      </c>
      <c r="AB1359" s="178">
        <f t="shared" si="63"/>
        <v>0</v>
      </c>
      <c r="AH1359" s="177">
        <f t="shared" si="61"/>
        <v>0</v>
      </c>
    </row>
    <row r="1360" spans="23:34">
      <c r="W1360" s="177">
        <f t="shared" si="62"/>
        <v>0</v>
      </c>
      <c r="AB1360" s="178">
        <f t="shared" si="63"/>
        <v>0</v>
      </c>
      <c r="AH1360" s="177">
        <f t="shared" si="61"/>
        <v>0</v>
      </c>
    </row>
    <row r="1361" spans="23:34">
      <c r="W1361" s="177">
        <f t="shared" si="62"/>
        <v>0</v>
      </c>
      <c r="AB1361" s="178">
        <f t="shared" si="63"/>
        <v>0</v>
      </c>
      <c r="AH1361" s="177">
        <f t="shared" si="61"/>
        <v>0</v>
      </c>
    </row>
    <row r="1362" spans="23:34">
      <c r="W1362" s="177">
        <f t="shared" si="62"/>
        <v>0</v>
      </c>
      <c r="AB1362" s="178">
        <f t="shared" si="63"/>
        <v>0</v>
      </c>
      <c r="AH1362" s="177">
        <f t="shared" si="61"/>
        <v>0</v>
      </c>
    </row>
    <row r="1363" spans="23:34">
      <c r="W1363" s="177">
        <f t="shared" si="62"/>
        <v>0</v>
      </c>
      <c r="AB1363" s="178">
        <f t="shared" si="63"/>
        <v>0</v>
      </c>
      <c r="AH1363" s="177">
        <f t="shared" si="61"/>
        <v>0</v>
      </c>
    </row>
    <row r="1364" spans="23:34">
      <c r="W1364" s="177">
        <f t="shared" si="62"/>
        <v>0</v>
      </c>
      <c r="AB1364" s="178">
        <f t="shared" si="63"/>
        <v>0</v>
      </c>
      <c r="AH1364" s="177">
        <f t="shared" si="61"/>
        <v>0</v>
      </c>
    </row>
    <row r="1365" spans="23:34">
      <c r="W1365" s="177">
        <f t="shared" si="62"/>
        <v>0</v>
      </c>
      <c r="AB1365" s="178">
        <f t="shared" si="63"/>
        <v>0</v>
      </c>
      <c r="AH1365" s="177">
        <f t="shared" si="61"/>
        <v>0</v>
      </c>
    </row>
    <row r="1366" spans="23:34">
      <c r="W1366" s="177">
        <f t="shared" si="62"/>
        <v>0</v>
      </c>
      <c r="AB1366" s="178">
        <f t="shared" si="63"/>
        <v>0</v>
      </c>
      <c r="AH1366" s="177">
        <f t="shared" si="61"/>
        <v>0</v>
      </c>
    </row>
    <row r="1367" spans="23:34">
      <c r="W1367" s="177">
        <f t="shared" si="62"/>
        <v>0</v>
      </c>
      <c r="AB1367" s="178">
        <f t="shared" si="63"/>
        <v>0</v>
      </c>
      <c r="AH1367" s="177">
        <f t="shared" si="61"/>
        <v>0</v>
      </c>
    </row>
    <row r="1368" spans="23:34">
      <c r="W1368" s="177">
        <f t="shared" si="62"/>
        <v>0</v>
      </c>
      <c r="AB1368" s="178">
        <f t="shared" si="63"/>
        <v>0</v>
      </c>
      <c r="AH1368" s="177">
        <f t="shared" si="61"/>
        <v>0</v>
      </c>
    </row>
    <row r="1369" spans="23:34">
      <c r="W1369" s="177">
        <f t="shared" si="62"/>
        <v>0</v>
      </c>
      <c r="AB1369" s="178">
        <f t="shared" si="63"/>
        <v>0</v>
      </c>
      <c r="AH1369" s="177">
        <f t="shared" si="61"/>
        <v>0</v>
      </c>
    </row>
    <row r="1370" spans="23:34">
      <c r="W1370" s="177">
        <f t="shared" si="62"/>
        <v>0</v>
      </c>
      <c r="AB1370" s="178">
        <f t="shared" si="63"/>
        <v>0</v>
      </c>
      <c r="AH1370" s="177">
        <f t="shared" si="61"/>
        <v>0</v>
      </c>
    </row>
    <row r="1371" spans="23:34">
      <c r="W1371" s="177">
        <f t="shared" si="62"/>
        <v>0</v>
      </c>
      <c r="AB1371" s="178">
        <f t="shared" si="63"/>
        <v>0</v>
      </c>
      <c r="AH1371" s="177">
        <f t="shared" si="61"/>
        <v>0</v>
      </c>
    </row>
    <row r="1372" spans="23:34">
      <c r="W1372" s="177">
        <f t="shared" si="62"/>
        <v>0</v>
      </c>
      <c r="AB1372" s="178">
        <f t="shared" si="63"/>
        <v>0</v>
      </c>
      <c r="AH1372" s="177">
        <f t="shared" si="61"/>
        <v>0</v>
      </c>
    </row>
    <row r="1373" spans="23:34">
      <c r="W1373" s="177">
        <f t="shared" si="62"/>
        <v>0</v>
      </c>
      <c r="AB1373" s="178">
        <f t="shared" si="63"/>
        <v>0</v>
      </c>
      <c r="AH1373" s="177">
        <f t="shared" si="61"/>
        <v>0</v>
      </c>
    </row>
    <row r="1374" spans="23:34">
      <c r="W1374" s="177">
        <f t="shared" si="62"/>
        <v>0</v>
      </c>
      <c r="AB1374" s="178">
        <f t="shared" si="63"/>
        <v>0</v>
      </c>
      <c r="AH1374" s="177">
        <f t="shared" si="61"/>
        <v>0</v>
      </c>
    </row>
    <row r="1375" spans="23:34">
      <c r="W1375" s="177">
        <f t="shared" si="62"/>
        <v>0</v>
      </c>
      <c r="AB1375" s="178">
        <f t="shared" si="63"/>
        <v>0</v>
      </c>
      <c r="AH1375" s="177">
        <f t="shared" si="61"/>
        <v>0</v>
      </c>
    </row>
    <row r="1376" spans="23:34">
      <c r="W1376" s="177">
        <f t="shared" si="62"/>
        <v>0</v>
      </c>
      <c r="AB1376" s="178">
        <f t="shared" si="63"/>
        <v>0</v>
      </c>
      <c r="AH1376" s="177">
        <f t="shared" si="61"/>
        <v>0</v>
      </c>
    </row>
    <row r="1377" spans="23:34">
      <c r="W1377" s="177">
        <f t="shared" si="62"/>
        <v>0</v>
      </c>
      <c r="AB1377" s="178">
        <f t="shared" si="63"/>
        <v>0</v>
      </c>
      <c r="AH1377" s="177">
        <f t="shared" si="61"/>
        <v>0</v>
      </c>
    </row>
    <row r="1378" spans="23:34">
      <c r="W1378" s="177">
        <f t="shared" si="62"/>
        <v>0</v>
      </c>
      <c r="AB1378" s="178">
        <f t="shared" si="63"/>
        <v>0</v>
      </c>
      <c r="AH1378" s="177">
        <f t="shared" si="61"/>
        <v>0</v>
      </c>
    </row>
    <row r="1379" spans="23:34">
      <c r="W1379" s="177">
        <f t="shared" si="62"/>
        <v>0</v>
      </c>
      <c r="AB1379" s="178">
        <f t="shared" si="63"/>
        <v>0</v>
      </c>
      <c r="AH1379" s="177">
        <f t="shared" si="61"/>
        <v>0</v>
      </c>
    </row>
    <row r="1380" spans="23:34">
      <c r="W1380" s="177">
        <f t="shared" si="62"/>
        <v>0</v>
      </c>
      <c r="AB1380" s="178">
        <f t="shared" si="63"/>
        <v>0</v>
      </c>
      <c r="AH1380" s="177">
        <f t="shared" si="61"/>
        <v>0</v>
      </c>
    </row>
    <row r="1381" spans="23:34">
      <c r="W1381" s="177">
        <f t="shared" si="62"/>
        <v>0</v>
      </c>
      <c r="AB1381" s="178">
        <f t="shared" si="63"/>
        <v>0</v>
      </c>
      <c r="AH1381" s="177">
        <f t="shared" si="61"/>
        <v>0</v>
      </c>
    </row>
    <row r="1382" spans="23:34">
      <c r="W1382" s="177">
        <f t="shared" si="62"/>
        <v>0</v>
      </c>
      <c r="AB1382" s="178">
        <f t="shared" si="63"/>
        <v>0</v>
      </c>
      <c r="AH1382" s="177">
        <f t="shared" si="61"/>
        <v>0</v>
      </c>
    </row>
    <row r="1383" spans="23:34">
      <c r="W1383" s="177">
        <f t="shared" si="62"/>
        <v>0</v>
      </c>
      <c r="AB1383" s="178">
        <f t="shared" si="63"/>
        <v>0</v>
      </c>
      <c r="AH1383" s="177">
        <f t="shared" si="61"/>
        <v>0</v>
      </c>
    </row>
    <row r="1384" spans="23:34">
      <c r="W1384" s="177">
        <f t="shared" si="62"/>
        <v>0</v>
      </c>
      <c r="AB1384" s="178">
        <f t="shared" si="63"/>
        <v>0</v>
      </c>
      <c r="AH1384" s="177">
        <f t="shared" si="61"/>
        <v>0</v>
      </c>
    </row>
    <row r="1385" spans="23:34">
      <c r="W1385" s="177">
        <f t="shared" si="62"/>
        <v>0</v>
      </c>
      <c r="AB1385" s="178">
        <f t="shared" si="63"/>
        <v>0</v>
      </c>
      <c r="AH1385" s="177">
        <f t="shared" si="61"/>
        <v>0</v>
      </c>
    </row>
    <row r="1386" spans="23:34">
      <c r="W1386" s="177">
        <f t="shared" si="62"/>
        <v>0</v>
      </c>
      <c r="AB1386" s="178">
        <f t="shared" si="63"/>
        <v>0</v>
      </c>
      <c r="AH1386" s="177">
        <f t="shared" si="61"/>
        <v>0</v>
      </c>
    </row>
    <row r="1387" spans="23:34">
      <c r="W1387" s="177">
        <f t="shared" si="62"/>
        <v>0</v>
      </c>
      <c r="AB1387" s="178">
        <f t="shared" si="63"/>
        <v>0</v>
      </c>
      <c r="AH1387" s="177">
        <f t="shared" si="61"/>
        <v>0</v>
      </c>
    </row>
    <row r="1388" spans="23:34">
      <c r="W1388" s="177">
        <f t="shared" si="62"/>
        <v>0</v>
      </c>
      <c r="AB1388" s="178">
        <f t="shared" si="63"/>
        <v>0</v>
      </c>
      <c r="AH1388" s="177">
        <f t="shared" si="61"/>
        <v>0</v>
      </c>
    </row>
    <row r="1389" spans="23:34">
      <c r="W1389" s="177">
        <f t="shared" si="62"/>
        <v>0</v>
      </c>
      <c r="AB1389" s="178">
        <f t="shared" si="63"/>
        <v>0</v>
      </c>
      <c r="AH1389" s="177">
        <f t="shared" si="61"/>
        <v>0</v>
      </c>
    </row>
    <row r="1390" spans="23:34">
      <c r="W1390" s="177">
        <f t="shared" si="62"/>
        <v>0</v>
      </c>
      <c r="AB1390" s="178">
        <f t="shared" si="63"/>
        <v>0</v>
      </c>
      <c r="AH1390" s="177">
        <f t="shared" si="61"/>
        <v>0</v>
      </c>
    </row>
    <row r="1391" spans="23:34">
      <c r="W1391" s="177">
        <f t="shared" si="62"/>
        <v>0</v>
      </c>
      <c r="AB1391" s="178">
        <f t="shared" si="63"/>
        <v>0</v>
      </c>
      <c r="AH1391" s="177">
        <f t="shared" si="61"/>
        <v>0</v>
      </c>
    </row>
    <row r="1392" spans="23:34">
      <c r="W1392" s="177">
        <f t="shared" si="62"/>
        <v>0</v>
      </c>
      <c r="AB1392" s="178">
        <f t="shared" si="63"/>
        <v>0</v>
      </c>
      <c r="AH1392" s="177">
        <f t="shared" ref="AH1392:AH1455" si="64">SUM(AF1392:AG1392)</f>
        <v>0</v>
      </c>
    </row>
    <row r="1393" spans="23:34">
      <c r="W1393" s="177">
        <f t="shared" si="62"/>
        <v>0</v>
      </c>
      <c r="AB1393" s="178">
        <f t="shared" si="63"/>
        <v>0</v>
      </c>
      <c r="AH1393" s="177">
        <f t="shared" si="64"/>
        <v>0</v>
      </c>
    </row>
    <row r="1394" spans="23:34">
      <c r="W1394" s="177">
        <f t="shared" si="62"/>
        <v>0</v>
      </c>
      <c r="AB1394" s="178">
        <f t="shared" si="63"/>
        <v>0</v>
      </c>
      <c r="AH1394" s="177">
        <f t="shared" si="64"/>
        <v>0</v>
      </c>
    </row>
    <row r="1395" spans="23:34">
      <c r="W1395" s="177">
        <f t="shared" ref="W1395:W1458" si="65">SUM(Q1395:T1395)</f>
        <v>0</v>
      </c>
      <c r="AB1395" s="178">
        <f t="shared" si="63"/>
        <v>0</v>
      </c>
      <c r="AH1395" s="177">
        <f t="shared" si="64"/>
        <v>0</v>
      </c>
    </row>
    <row r="1396" spans="23:34">
      <c r="W1396" s="177">
        <f t="shared" si="65"/>
        <v>0</v>
      </c>
      <c r="AB1396" s="178">
        <f t="shared" si="63"/>
        <v>0</v>
      </c>
      <c r="AH1396" s="177">
        <f t="shared" si="64"/>
        <v>0</v>
      </c>
    </row>
    <row r="1397" spans="23:34">
      <c r="W1397" s="177">
        <f t="shared" si="65"/>
        <v>0</v>
      </c>
      <c r="AB1397" s="178">
        <f t="shared" si="63"/>
        <v>0</v>
      </c>
      <c r="AH1397" s="177">
        <f t="shared" si="64"/>
        <v>0</v>
      </c>
    </row>
    <row r="1398" spans="23:34">
      <c r="W1398" s="177">
        <f t="shared" si="65"/>
        <v>0</v>
      </c>
      <c r="AB1398" s="178">
        <f t="shared" si="63"/>
        <v>0</v>
      </c>
      <c r="AH1398" s="177">
        <f t="shared" si="64"/>
        <v>0</v>
      </c>
    </row>
    <row r="1399" spans="23:34">
      <c r="W1399" s="177">
        <f t="shared" si="65"/>
        <v>0</v>
      </c>
      <c r="AB1399" s="178">
        <f t="shared" si="63"/>
        <v>0</v>
      </c>
      <c r="AH1399" s="177">
        <f t="shared" si="64"/>
        <v>0</v>
      </c>
    </row>
    <row r="1400" spans="23:34">
      <c r="W1400" s="177">
        <f t="shared" si="65"/>
        <v>0</v>
      </c>
      <c r="AB1400" s="178">
        <f t="shared" si="63"/>
        <v>0</v>
      </c>
      <c r="AH1400" s="177">
        <f t="shared" si="64"/>
        <v>0</v>
      </c>
    </row>
    <row r="1401" spans="23:34">
      <c r="W1401" s="177">
        <f t="shared" si="65"/>
        <v>0</v>
      </c>
      <c r="AB1401" s="178">
        <f t="shared" si="63"/>
        <v>0</v>
      </c>
      <c r="AH1401" s="177">
        <f t="shared" si="64"/>
        <v>0</v>
      </c>
    </row>
    <row r="1402" spans="23:34">
      <c r="W1402" s="177">
        <f t="shared" si="65"/>
        <v>0</v>
      </c>
      <c r="AB1402" s="178">
        <f t="shared" si="63"/>
        <v>0</v>
      </c>
      <c r="AH1402" s="177">
        <f t="shared" si="64"/>
        <v>0</v>
      </c>
    </row>
    <row r="1403" spans="23:34">
      <c r="W1403" s="177">
        <f t="shared" si="65"/>
        <v>0</v>
      </c>
      <c r="AB1403" s="178">
        <f t="shared" ref="AB1403:AB1466" si="66">SUM(Z1403:AA1403)</f>
        <v>0</v>
      </c>
      <c r="AH1403" s="177">
        <f t="shared" si="64"/>
        <v>0</v>
      </c>
    </row>
    <row r="1404" spans="23:34">
      <c r="W1404" s="177">
        <f t="shared" si="65"/>
        <v>0</v>
      </c>
      <c r="AB1404" s="178">
        <f t="shared" si="66"/>
        <v>0</v>
      </c>
      <c r="AH1404" s="177">
        <f t="shared" si="64"/>
        <v>0</v>
      </c>
    </row>
    <row r="1405" spans="23:34">
      <c r="W1405" s="177">
        <f t="shared" si="65"/>
        <v>0</v>
      </c>
      <c r="AB1405" s="178">
        <f t="shared" si="66"/>
        <v>0</v>
      </c>
      <c r="AH1405" s="177">
        <f t="shared" si="64"/>
        <v>0</v>
      </c>
    </row>
    <row r="1406" spans="23:34">
      <c r="W1406" s="177">
        <f t="shared" si="65"/>
        <v>0</v>
      </c>
      <c r="AB1406" s="178">
        <f t="shared" si="66"/>
        <v>0</v>
      </c>
      <c r="AH1406" s="177">
        <f t="shared" si="64"/>
        <v>0</v>
      </c>
    </row>
    <row r="1407" spans="23:34">
      <c r="W1407" s="177">
        <f t="shared" si="65"/>
        <v>0</v>
      </c>
      <c r="AB1407" s="178">
        <f t="shared" si="66"/>
        <v>0</v>
      </c>
      <c r="AH1407" s="177">
        <f t="shared" si="64"/>
        <v>0</v>
      </c>
    </row>
    <row r="1408" spans="23:34">
      <c r="W1408" s="177">
        <f t="shared" si="65"/>
        <v>0</v>
      </c>
      <c r="AB1408" s="178">
        <f t="shared" si="66"/>
        <v>0</v>
      </c>
      <c r="AH1408" s="177">
        <f t="shared" si="64"/>
        <v>0</v>
      </c>
    </row>
    <row r="1409" spans="23:34">
      <c r="W1409" s="177">
        <f t="shared" si="65"/>
        <v>0</v>
      </c>
      <c r="AB1409" s="178">
        <f t="shared" si="66"/>
        <v>0</v>
      </c>
      <c r="AH1409" s="177">
        <f t="shared" si="64"/>
        <v>0</v>
      </c>
    </row>
    <row r="1410" spans="23:34">
      <c r="W1410" s="177">
        <f t="shared" si="65"/>
        <v>0</v>
      </c>
      <c r="AB1410" s="178">
        <f t="shared" si="66"/>
        <v>0</v>
      </c>
      <c r="AH1410" s="177">
        <f t="shared" si="64"/>
        <v>0</v>
      </c>
    </row>
    <row r="1411" spans="23:34">
      <c r="W1411" s="177">
        <f t="shared" si="65"/>
        <v>0</v>
      </c>
      <c r="AB1411" s="178">
        <f t="shared" si="66"/>
        <v>0</v>
      </c>
      <c r="AH1411" s="177">
        <f t="shared" si="64"/>
        <v>0</v>
      </c>
    </row>
    <row r="1412" spans="23:34">
      <c r="W1412" s="177">
        <f t="shared" si="65"/>
        <v>0</v>
      </c>
      <c r="AB1412" s="178">
        <f t="shared" si="66"/>
        <v>0</v>
      </c>
      <c r="AH1412" s="177">
        <f t="shared" si="64"/>
        <v>0</v>
      </c>
    </row>
    <row r="1413" spans="23:34">
      <c r="W1413" s="177">
        <f t="shared" si="65"/>
        <v>0</v>
      </c>
      <c r="AB1413" s="178">
        <f t="shared" si="66"/>
        <v>0</v>
      </c>
      <c r="AH1413" s="177">
        <f t="shared" si="64"/>
        <v>0</v>
      </c>
    </row>
    <row r="1414" spans="23:34">
      <c r="W1414" s="177">
        <f t="shared" si="65"/>
        <v>0</v>
      </c>
      <c r="AB1414" s="178">
        <f t="shared" si="66"/>
        <v>0</v>
      </c>
      <c r="AH1414" s="177">
        <f t="shared" si="64"/>
        <v>0</v>
      </c>
    </row>
    <row r="1415" spans="23:34">
      <c r="W1415" s="177">
        <f t="shared" si="65"/>
        <v>0</v>
      </c>
      <c r="AB1415" s="178">
        <f t="shared" si="66"/>
        <v>0</v>
      </c>
      <c r="AH1415" s="177">
        <f t="shared" si="64"/>
        <v>0</v>
      </c>
    </row>
    <row r="1416" spans="23:34">
      <c r="W1416" s="177">
        <f t="shared" si="65"/>
        <v>0</v>
      </c>
      <c r="AB1416" s="178">
        <f t="shared" si="66"/>
        <v>0</v>
      </c>
      <c r="AH1416" s="177">
        <f t="shared" si="64"/>
        <v>0</v>
      </c>
    </row>
    <row r="1417" spans="23:34">
      <c r="W1417" s="177">
        <f t="shared" si="65"/>
        <v>0</v>
      </c>
      <c r="AB1417" s="178">
        <f t="shared" si="66"/>
        <v>0</v>
      </c>
      <c r="AH1417" s="177">
        <f t="shared" si="64"/>
        <v>0</v>
      </c>
    </row>
    <row r="1418" spans="23:34">
      <c r="W1418" s="177">
        <f t="shared" si="65"/>
        <v>0</v>
      </c>
      <c r="AB1418" s="178">
        <f t="shared" si="66"/>
        <v>0</v>
      </c>
      <c r="AH1418" s="177">
        <f t="shared" si="64"/>
        <v>0</v>
      </c>
    </row>
    <row r="1419" spans="23:34">
      <c r="W1419" s="177">
        <f t="shared" si="65"/>
        <v>0</v>
      </c>
      <c r="AB1419" s="178">
        <f t="shared" si="66"/>
        <v>0</v>
      </c>
      <c r="AH1419" s="177">
        <f t="shared" si="64"/>
        <v>0</v>
      </c>
    </row>
    <row r="1420" spans="23:34">
      <c r="W1420" s="177">
        <f t="shared" si="65"/>
        <v>0</v>
      </c>
      <c r="AB1420" s="178">
        <f t="shared" si="66"/>
        <v>0</v>
      </c>
      <c r="AH1420" s="177">
        <f t="shared" si="64"/>
        <v>0</v>
      </c>
    </row>
    <row r="1421" spans="23:34">
      <c r="W1421" s="177">
        <f t="shared" si="65"/>
        <v>0</v>
      </c>
      <c r="AB1421" s="178">
        <f t="shared" si="66"/>
        <v>0</v>
      </c>
      <c r="AH1421" s="177">
        <f t="shared" si="64"/>
        <v>0</v>
      </c>
    </row>
    <row r="1422" spans="23:34">
      <c r="W1422" s="177">
        <f t="shared" si="65"/>
        <v>0</v>
      </c>
      <c r="AB1422" s="178">
        <f t="shared" si="66"/>
        <v>0</v>
      </c>
      <c r="AH1422" s="177">
        <f t="shared" si="64"/>
        <v>0</v>
      </c>
    </row>
    <row r="1423" spans="23:34">
      <c r="W1423" s="177">
        <f t="shared" si="65"/>
        <v>0</v>
      </c>
      <c r="AB1423" s="178">
        <f t="shared" si="66"/>
        <v>0</v>
      </c>
      <c r="AH1423" s="177">
        <f t="shared" si="64"/>
        <v>0</v>
      </c>
    </row>
    <row r="1424" spans="23:34">
      <c r="W1424" s="177">
        <f t="shared" si="65"/>
        <v>0</v>
      </c>
      <c r="AB1424" s="178">
        <f t="shared" si="66"/>
        <v>0</v>
      </c>
      <c r="AH1424" s="177">
        <f t="shared" si="64"/>
        <v>0</v>
      </c>
    </row>
    <row r="1425" spans="23:34">
      <c r="W1425" s="177">
        <f t="shared" si="65"/>
        <v>0</v>
      </c>
      <c r="AB1425" s="178">
        <f t="shared" si="66"/>
        <v>0</v>
      </c>
      <c r="AH1425" s="177">
        <f t="shared" si="64"/>
        <v>0</v>
      </c>
    </row>
    <row r="1426" spans="23:34">
      <c r="W1426" s="177">
        <f t="shared" si="65"/>
        <v>0</v>
      </c>
      <c r="AB1426" s="178">
        <f t="shared" si="66"/>
        <v>0</v>
      </c>
      <c r="AH1426" s="177">
        <f t="shared" si="64"/>
        <v>0</v>
      </c>
    </row>
    <row r="1427" spans="23:34">
      <c r="W1427" s="177">
        <f t="shared" si="65"/>
        <v>0</v>
      </c>
      <c r="AB1427" s="178">
        <f t="shared" si="66"/>
        <v>0</v>
      </c>
      <c r="AH1427" s="177">
        <f t="shared" si="64"/>
        <v>0</v>
      </c>
    </row>
    <row r="1428" spans="23:34">
      <c r="W1428" s="177">
        <f t="shared" si="65"/>
        <v>0</v>
      </c>
      <c r="AB1428" s="178">
        <f t="shared" si="66"/>
        <v>0</v>
      </c>
      <c r="AH1428" s="177">
        <f t="shared" si="64"/>
        <v>0</v>
      </c>
    </row>
    <row r="1429" spans="23:34">
      <c r="W1429" s="177">
        <f t="shared" si="65"/>
        <v>0</v>
      </c>
      <c r="AB1429" s="178">
        <f t="shared" si="66"/>
        <v>0</v>
      </c>
      <c r="AH1429" s="177">
        <f t="shared" si="64"/>
        <v>0</v>
      </c>
    </row>
    <row r="1430" spans="23:34">
      <c r="W1430" s="177">
        <f t="shared" si="65"/>
        <v>0</v>
      </c>
      <c r="AB1430" s="178">
        <f t="shared" si="66"/>
        <v>0</v>
      </c>
      <c r="AH1430" s="177">
        <f t="shared" si="64"/>
        <v>0</v>
      </c>
    </row>
    <row r="1431" spans="23:34">
      <c r="W1431" s="177">
        <f t="shared" si="65"/>
        <v>0</v>
      </c>
      <c r="AB1431" s="178">
        <f t="shared" si="66"/>
        <v>0</v>
      </c>
      <c r="AH1431" s="177">
        <f t="shared" si="64"/>
        <v>0</v>
      </c>
    </row>
    <row r="1432" spans="23:34">
      <c r="W1432" s="177">
        <f t="shared" si="65"/>
        <v>0</v>
      </c>
      <c r="AB1432" s="178">
        <f t="shared" si="66"/>
        <v>0</v>
      </c>
      <c r="AH1432" s="177">
        <f t="shared" si="64"/>
        <v>0</v>
      </c>
    </row>
    <row r="1433" spans="23:34">
      <c r="W1433" s="177">
        <f t="shared" si="65"/>
        <v>0</v>
      </c>
      <c r="AB1433" s="178">
        <f t="shared" si="66"/>
        <v>0</v>
      </c>
      <c r="AH1433" s="177">
        <f t="shared" si="64"/>
        <v>0</v>
      </c>
    </row>
    <row r="1434" spans="23:34">
      <c r="W1434" s="177">
        <f t="shared" si="65"/>
        <v>0</v>
      </c>
      <c r="AB1434" s="178">
        <f t="shared" si="66"/>
        <v>0</v>
      </c>
      <c r="AH1434" s="177">
        <f t="shared" si="64"/>
        <v>0</v>
      </c>
    </row>
    <row r="1435" spans="23:34">
      <c r="W1435" s="177">
        <f t="shared" si="65"/>
        <v>0</v>
      </c>
      <c r="AB1435" s="178">
        <f t="shared" si="66"/>
        <v>0</v>
      </c>
      <c r="AH1435" s="177">
        <f t="shared" si="64"/>
        <v>0</v>
      </c>
    </row>
    <row r="1436" spans="23:34">
      <c r="W1436" s="177">
        <f t="shared" si="65"/>
        <v>0</v>
      </c>
      <c r="AB1436" s="178">
        <f t="shared" si="66"/>
        <v>0</v>
      </c>
      <c r="AH1436" s="177">
        <f t="shared" si="64"/>
        <v>0</v>
      </c>
    </row>
    <row r="1437" spans="23:34">
      <c r="W1437" s="177">
        <f t="shared" si="65"/>
        <v>0</v>
      </c>
      <c r="AB1437" s="178">
        <f t="shared" si="66"/>
        <v>0</v>
      </c>
      <c r="AH1437" s="177">
        <f t="shared" si="64"/>
        <v>0</v>
      </c>
    </row>
    <row r="1438" spans="23:34">
      <c r="W1438" s="177">
        <f t="shared" si="65"/>
        <v>0</v>
      </c>
      <c r="AB1438" s="178">
        <f t="shared" si="66"/>
        <v>0</v>
      </c>
      <c r="AH1438" s="177">
        <f t="shared" si="64"/>
        <v>0</v>
      </c>
    </row>
    <row r="1439" spans="23:34">
      <c r="W1439" s="177">
        <f t="shared" si="65"/>
        <v>0</v>
      </c>
      <c r="AB1439" s="178">
        <f t="shared" si="66"/>
        <v>0</v>
      </c>
      <c r="AH1439" s="177">
        <f t="shared" si="64"/>
        <v>0</v>
      </c>
    </row>
    <row r="1440" spans="23:34">
      <c r="W1440" s="177">
        <f t="shared" si="65"/>
        <v>0</v>
      </c>
      <c r="AB1440" s="178">
        <f t="shared" si="66"/>
        <v>0</v>
      </c>
      <c r="AH1440" s="177">
        <f t="shared" si="64"/>
        <v>0</v>
      </c>
    </row>
    <row r="1441" spans="23:34">
      <c r="W1441" s="177">
        <f t="shared" si="65"/>
        <v>0</v>
      </c>
      <c r="AB1441" s="178">
        <f t="shared" si="66"/>
        <v>0</v>
      </c>
      <c r="AH1441" s="177">
        <f t="shared" si="64"/>
        <v>0</v>
      </c>
    </row>
    <row r="1442" spans="23:34">
      <c r="W1442" s="177">
        <f t="shared" si="65"/>
        <v>0</v>
      </c>
      <c r="AB1442" s="178">
        <f t="shared" si="66"/>
        <v>0</v>
      </c>
      <c r="AH1442" s="177">
        <f t="shared" si="64"/>
        <v>0</v>
      </c>
    </row>
    <row r="1443" spans="23:34">
      <c r="W1443" s="177">
        <f t="shared" si="65"/>
        <v>0</v>
      </c>
      <c r="AB1443" s="178">
        <f t="shared" si="66"/>
        <v>0</v>
      </c>
      <c r="AH1443" s="177">
        <f t="shared" si="64"/>
        <v>0</v>
      </c>
    </row>
    <row r="1444" spans="23:34">
      <c r="W1444" s="177">
        <f t="shared" si="65"/>
        <v>0</v>
      </c>
      <c r="AB1444" s="178">
        <f t="shared" si="66"/>
        <v>0</v>
      </c>
      <c r="AH1444" s="177">
        <f t="shared" si="64"/>
        <v>0</v>
      </c>
    </row>
    <row r="1445" spans="23:34">
      <c r="W1445" s="177">
        <f t="shared" si="65"/>
        <v>0</v>
      </c>
      <c r="AB1445" s="178">
        <f t="shared" si="66"/>
        <v>0</v>
      </c>
      <c r="AH1445" s="177">
        <f t="shared" si="64"/>
        <v>0</v>
      </c>
    </row>
    <row r="1446" spans="23:34">
      <c r="W1446" s="177">
        <f t="shared" si="65"/>
        <v>0</v>
      </c>
      <c r="AB1446" s="178">
        <f t="shared" si="66"/>
        <v>0</v>
      </c>
      <c r="AH1446" s="177">
        <f t="shared" si="64"/>
        <v>0</v>
      </c>
    </row>
    <row r="1447" spans="23:34">
      <c r="W1447" s="177">
        <f t="shared" si="65"/>
        <v>0</v>
      </c>
      <c r="AB1447" s="178">
        <f t="shared" si="66"/>
        <v>0</v>
      </c>
      <c r="AH1447" s="177">
        <f t="shared" si="64"/>
        <v>0</v>
      </c>
    </row>
    <row r="1448" spans="23:34">
      <c r="W1448" s="177">
        <f t="shared" si="65"/>
        <v>0</v>
      </c>
      <c r="AB1448" s="178">
        <f t="shared" si="66"/>
        <v>0</v>
      </c>
      <c r="AH1448" s="177">
        <f t="shared" si="64"/>
        <v>0</v>
      </c>
    </row>
    <row r="1449" spans="23:34">
      <c r="W1449" s="177">
        <f t="shared" si="65"/>
        <v>0</v>
      </c>
      <c r="AB1449" s="178">
        <f t="shared" si="66"/>
        <v>0</v>
      </c>
      <c r="AH1449" s="177">
        <f t="shared" si="64"/>
        <v>0</v>
      </c>
    </row>
    <row r="1450" spans="23:34">
      <c r="W1450" s="177">
        <f t="shared" si="65"/>
        <v>0</v>
      </c>
      <c r="AB1450" s="178">
        <f t="shared" si="66"/>
        <v>0</v>
      </c>
      <c r="AH1450" s="177">
        <f t="shared" si="64"/>
        <v>0</v>
      </c>
    </row>
    <row r="1451" spans="23:34">
      <c r="W1451" s="177">
        <f t="shared" si="65"/>
        <v>0</v>
      </c>
      <c r="AB1451" s="178">
        <f t="shared" si="66"/>
        <v>0</v>
      </c>
      <c r="AH1451" s="177">
        <f t="shared" si="64"/>
        <v>0</v>
      </c>
    </row>
    <row r="1452" spans="23:34">
      <c r="W1452" s="177">
        <f t="shared" si="65"/>
        <v>0</v>
      </c>
      <c r="AB1452" s="178">
        <f t="shared" si="66"/>
        <v>0</v>
      </c>
      <c r="AH1452" s="177">
        <f t="shared" si="64"/>
        <v>0</v>
      </c>
    </row>
    <row r="1453" spans="23:34">
      <c r="W1453" s="177">
        <f t="shared" si="65"/>
        <v>0</v>
      </c>
      <c r="AB1453" s="178">
        <f t="shared" si="66"/>
        <v>0</v>
      </c>
      <c r="AH1453" s="177">
        <f t="shared" si="64"/>
        <v>0</v>
      </c>
    </row>
    <row r="1454" spans="23:34">
      <c r="W1454" s="177">
        <f t="shared" si="65"/>
        <v>0</v>
      </c>
      <c r="AB1454" s="178">
        <f t="shared" si="66"/>
        <v>0</v>
      </c>
      <c r="AH1454" s="177">
        <f t="shared" si="64"/>
        <v>0</v>
      </c>
    </row>
    <row r="1455" spans="23:34">
      <c r="W1455" s="177">
        <f t="shared" si="65"/>
        <v>0</v>
      </c>
      <c r="AB1455" s="178">
        <f t="shared" si="66"/>
        <v>0</v>
      </c>
      <c r="AH1455" s="177">
        <f t="shared" si="64"/>
        <v>0</v>
      </c>
    </row>
    <row r="1456" spans="23:34">
      <c r="W1456" s="177">
        <f t="shared" si="65"/>
        <v>0</v>
      </c>
      <c r="AB1456" s="178">
        <f t="shared" si="66"/>
        <v>0</v>
      </c>
      <c r="AH1456" s="177">
        <f t="shared" ref="AH1456:AH1519" si="67">SUM(AF1456:AG1456)</f>
        <v>0</v>
      </c>
    </row>
    <row r="1457" spans="23:34">
      <c r="W1457" s="177">
        <f t="shared" si="65"/>
        <v>0</v>
      </c>
      <c r="AB1457" s="178">
        <f t="shared" si="66"/>
        <v>0</v>
      </c>
      <c r="AH1457" s="177">
        <f t="shared" si="67"/>
        <v>0</v>
      </c>
    </row>
    <row r="1458" spans="23:34">
      <c r="W1458" s="177">
        <f t="shared" si="65"/>
        <v>0</v>
      </c>
      <c r="AB1458" s="178">
        <f t="shared" si="66"/>
        <v>0</v>
      </c>
      <c r="AH1458" s="177">
        <f t="shared" si="67"/>
        <v>0</v>
      </c>
    </row>
    <row r="1459" spans="23:34">
      <c r="W1459" s="177">
        <f t="shared" ref="W1459:W1522" si="68">SUM(Q1459:T1459)</f>
        <v>0</v>
      </c>
      <c r="AB1459" s="178">
        <f t="shared" si="66"/>
        <v>0</v>
      </c>
      <c r="AH1459" s="177">
        <f t="shared" si="67"/>
        <v>0</v>
      </c>
    </row>
    <row r="1460" spans="23:34">
      <c r="W1460" s="177">
        <f t="shared" si="68"/>
        <v>0</v>
      </c>
      <c r="AB1460" s="178">
        <f t="shared" si="66"/>
        <v>0</v>
      </c>
      <c r="AH1460" s="177">
        <f t="shared" si="67"/>
        <v>0</v>
      </c>
    </row>
    <row r="1461" spans="23:34">
      <c r="W1461" s="177">
        <f t="shared" si="68"/>
        <v>0</v>
      </c>
      <c r="AB1461" s="178">
        <f t="shared" si="66"/>
        <v>0</v>
      </c>
      <c r="AH1461" s="177">
        <f t="shared" si="67"/>
        <v>0</v>
      </c>
    </row>
    <row r="1462" spans="23:34">
      <c r="W1462" s="177">
        <f t="shared" si="68"/>
        <v>0</v>
      </c>
      <c r="AB1462" s="178">
        <f t="shared" si="66"/>
        <v>0</v>
      </c>
      <c r="AH1462" s="177">
        <f t="shared" si="67"/>
        <v>0</v>
      </c>
    </row>
    <row r="1463" spans="23:34">
      <c r="W1463" s="177">
        <f t="shared" si="68"/>
        <v>0</v>
      </c>
      <c r="AB1463" s="178">
        <f t="shared" si="66"/>
        <v>0</v>
      </c>
      <c r="AH1463" s="177">
        <f t="shared" si="67"/>
        <v>0</v>
      </c>
    </row>
    <row r="1464" spans="23:34">
      <c r="W1464" s="177">
        <f t="shared" si="68"/>
        <v>0</v>
      </c>
      <c r="AB1464" s="178">
        <f t="shared" si="66"/>
        <v>0</v>
      </c>
      <c r="AH1464" s="177">
        <f t="shared" si="67"/>
        <v>0</v>
      </c>
    </row>
    <row r="1465" spans="23:34">
      <c r="W1465" s="177">
        <f t="shared" si="68"/>
        <v>0</v>
      </c>
      <c r="AB1465" s="178">
        <f t="shared" si="66"/>
        <v>0</v>
      </c>
      <c r="AH1465" s="177">
        <f t="shared" si="67"/>
        <v>0</v>
      </c>
    </row>
    <row r="1466" spans="23:34">
      <c r="W1466" s="177">
        <f t="shared" si="68"/>
        <v>0</v>
      </c>
      <c r="AB1466" s="178">
        <f t="shared" si="66"/>
        <v>0</v>
      </c>
      <c r="AH1466" s="177">
        <f t="shared" si="67"/>
        <v>0</v>
      </c>
    </row>
    <row r="1467" spans="23:34">
      <c r="W1467" s="177">
        <f t="shared" si="68"/>
        <v>0</v>
      </c>
      <c r="AB1467" s="178">
        <f t="shared" ref="AB1467:AB1530" si="69">SUM(Z1467:AA1467)</f>
        <v>0</v>
      </c>
      <c r="AH1467" s="177">
        <f t="shared" si="67"/>
        <v>0</v>
      </c>
    </row>
    <row r="1468" spans="23:34">
      <c r="W1468" s="177">
        <f t="shared" si="68"/>
        <v>0</v>
      </c>
      <c r="AB1468" s="178">
        <f t="shared" si="69"/>
        <v>0</v>
      </c>
      <c r="AH1468" s="177">
        <f t="shared" si="67"/>
        <v>0</v>
      </c>
    </row>
    <row r="1469" spans="23:34">
      <c r="W1469" s="177">
        <f t="shared" si="68"/>
        <v>0</v>
      </c>
      <c r="AB1469" s="178">
        <f t="shared" si="69"/>
        <v>0</v>
      </c>
      <c r="AH1469" s="177">
        <f t="shared" si="67"/>
        <v>0</v>
      </c>
    </row>
    <row r="1470" spans="23:34">
      <c r="W1470" s="177">
        <f t="shared" si="68"/>
        <v>0</v>
      </c>
      <c r="AB1470" s="178">
        <f t="shared" si="69"/>
        <v>0</v>
      </c>
      <c r="AH1470" s="177">
        <f t="shared" si="67"/>
        <v>0</v>
      </c>
    </row>
    <row r="1471" spans="23:34">
      <c r="W1471" s="177">
        <f t="shared" si="68"/>
        <v>0</v>
      </c>
      <c r="AB1471" s="178">
        <f t="shared" si="69"/>
        <v>0</v>
      </c>
      <c r="AH1471" s="177">
        <f t="shared" si="67"/>
        <v>0</v>
      </c>
    </row>
    <row r="1472" spans="23:34">
      <c r="W1472" s="177">
        <f t="shared" si="68"/>
        <v>0</v>
      </c>
      <c r="AB1472" s="178">
        <f t="shared" si="69"/>
        <v>0</v>
      </c>
      <c r="AH1472" s="177">
        <f t="shared" si="67"/>
        <v>0</v>
      </c>
    </row>
    <row r="1473" spans="23:34">
      <c r="W1473" s="177">
        <f t="shared" si="68"/>
        <v>0</v>
      </c>
      <c r="AB1473" s="178">
        <f t="shared" si="69"/>
        <v>0</v>
      </c>
      <c r="AH1473" s="177">
        <f t="shared" si="67"/>
        <v>0</v>
      </c>
    </row>
    <row r="1474" spans="23:34">
      <c r="W1474" s="177">
        <f t="shared" si="68"/>
        <v>0</v>
      </c>
      <c r="AB1474" s="178">
        <f t="shared" si="69"/>
        <v>0</v>
      </c>
      <c r="AH1474" s="177">
        <f t="shared" si="67"/>
        <v>0</v>
      </c>
    </row>
    <row r="1475" spans="23:34">
      <c r="W1475" s="177">
        <f t="shared" si="68"/>
        <v>0</v>
      </c>
      <c r="AB1475" s="178">
        <f t="shared" si="69"/>
        <v>0</v>
      </c>
      <c r="AH1475" s="177">
        <f t="shared" si="67"/>
        <v>0</v>
      </c>
    </row>
    <row r="1476" spans="23:34">
      <c r="W1476" s="177">
        <f t="shared" si="68"/>
        <v>0</v>
      </c>
      <c r="AB1476" s="178">
        <f t="shared" si="69"/>
        <v>0</v>
      </c>
      <c r="AH1476" s="177">
        <f t="shared" si="67"/>
        <v>0</v>
      </c>
    </row>
    <row r="1477" spans="23:34">
      <c r="W1477" s="177">
        <f t="shared" si="68"/>
        <v>0</v>
      </c>
      <c r="AB1477" s="178">
        <f t="shared" si="69"/>
        <v>0</v>
      </c>
      <c r="AH1477" s="177">
        <f t="shared" si="67"/>
        <v>0</v>
      </c>
    </row>
    <row r="1478" spans="23:34">
      <c r="W1478" s="177">
        <f t="shared" si="68"/>
        <v>0</v>
      </c>
      <c r="AB1478" s="178">
        <f t="shared" si="69"/>
        <v>0</v>
      </c>
      <c r="AH1478" s="177">
        <f t="shared" si="67"/>
        <v>0</v>
      </c>
    </row>
    <row r="1479" spans="23:34">
      <c r="W1479" s="177">
        <f t="shared" si="68"/>
        <v>0</v>
      </c>
      <c r="AB1479" s="178">
        <f t="shared" si="69"/>
        <v>0</v>
      </c>
      <c r="AH1479" s="177">
        <f t="shared" si="67"/>
        <v>0</v>
      </c>
    </row>
    <row r="1480" spans="23:34">
      <c r="W1480" s="177">
        <f t="shared" si="68"/>
        <v>0</v>
      </c>
      <c r="AB1480" s="178">
        <f t="shared" si="69"/>
        <v>0</v>
      </c>
      <c r="AH1480" s="177">
        <f t="shared" si="67"/>
        <v>0</v>
      </c>
    </row>
    <row r="1481" spans="23:34">
      <c r="W1481" s="177">
        <f t="shared" si="68"/>
        <v>0</v>
      </c>
      <c r="AB1481" s="178">
        <f t="shared" si="69"/>
        <v>0</v>
      </c>
      <c r="AH1481" s="177">
        <f t="shared" si="67"/>
        <v>0</v>
      </c>
    </row>
    <row r="1482" spans="23:34">
      <c r="W1482" s="177">
        <f t="shared" si="68"/>
        <v>0</v>
      </c>
      <c r="AB1482" s="178">
        <f t="shared" si="69"/>
        <v>0</v>
      </c>
      <c r="AH1482" s="177">
        <f t="shared" si="67"/>
        <v>0</v>
      </c>
    </row>
    <row r="1483" spans="23:34">
      <c r="W1483" s="177">
        <f t="shared" si="68"/>
        <v>0</v>
      </c>
      <c r="AB1483" s="178">
        <f t="shared" si="69"/>
        <v>0</v>
      </c>
      <c r="AH1483" s="177">
        <f t="shared" si="67"/>
        <v>0</v>
      </c>
    </row>
    <row r="1484" spans="23:34">
      <c r="W1484" s="177">
        <f t="shared" si="68"/>
        <v>0</v>
      </c>
      <c r="AB1484" s="178">
        <f t="shared" si="69"/>
        <v>0</v>
      </c>
      <c r="AH1484" s="177">
        <f t="shared" si="67"/>
        <v>0</v>
      </c>
    </row>
    <row r="1485" spans="23:34">
      <c r="W1485" s="177">
        <f t="shared" si="68"/>
        <v>0</v>
      </c>
      <c r="AB1485" s="178">
        <f t="shared" si="69"/>
        <v>0</v>
      </c>
      <c r="AH1485" s="177">
        <f t="shared" si="67"/>
        <v>0</v>
      </c>
    </row>
    <row r="1486" spans="23:34">
      <c r="W1486" s="177">
        <f t="shared" si="68"/>
        <v>0</v>
      </c>
      <c r="AB1486" s="178">
        <f t="shared" si="69"/>
        <v>0</v>
      </c>
      <c r="AH1486" s="177">
        <f t="shared" si="67"/>
        <v>0</v>
      </c>
    </row>
    <row r="1487" spans="23:34">
      <c r="W1487" s="177">
        <f t="shared" si="68"/>
        <v>0</v>
      </c>
      <c r="AB1487" s="178">
        <f t="shared" si="69"/>
        <v>0</v>
      </c>
      <c r="AH1487" s="177">
        <f t="shared" si="67"/>
        <v>0</v>
      </c>
    </row>
    <row r="1488" spans="23:34">
      <c r="W1488" s="177">
        <f t="shared" si="68"/>
        <v>0</v>
      </c>
      <c r="AB1488" s="178">
        <f t="shared" si="69"/>
        <v>0</v>
      </c>
      <c r="AH1488" s="177">
        <f t="shared" si="67"/>
        <v>0</v>
      </c>
    </row>
    <row r="1489" spans="23:34">
      <c r="W1489" s="177">
        <f t="shared" si="68"/>
        <v>0</v>
      </c>
      <c r="AB1489" s="178">
        <f t="shared" si="69"/>
        <v>0</v>
      </c>
      <c r="AH1489" s="177">
        <f t="shared" si="67"/>
        <v>0</v>
      </c>
    </row>
    <row r="1490" spans="23:34">
      <c r="W1490" s="177">
        <f t="shared" si="68"/>
        <v>0</v>
      </c>
      <c r="AB1490" s="178">
        <f t="shared" si="69"/>
        <v>0</v>
      </c>
      <c r="AH1490" s="177">
        <f t="shared" si="67"/>
        <v>0</v>
      </c>
    </row>
    <row r="1491" spans="23:34">
      <c r="W1491" s="177">
        <f t="shared" si="68"/>
        <v>0</v>
      </c>
      <c r="AB1491" s="178">
        <f t="shared" si="69"/>
        <v>0</v>
      </c>
      <c r="AH1491" s="177">
        <f t="shared" si="67"/>
        <v>0</v>
      </c>
    </row>
    <row r="1492" spans="23:34">
      <c r="W1492" s="177">
        <f t="shared" si="68"/>
        <v>0</v>
      </c>
      <c r="AB1492" s="178">
        <f t="shared" si="69"/>
        <v>0</v>
      </c>
      <c r="AH1492" s="177">
        <f t="shared" si="67"/>
        <v>0</v>
      </c>
    </row>
    <row r="1493" spans="23:34">
      <c r="W1493" s="177">
        <f t="shared" si="68"/>
        <v>0</v>
      </c>
      <c r="AB1493" s="178">
        <f t="shared" si="69"/>
        <v>0</v>
      </c>
      <c r="AH1493" s="177">
        <f t="shared" si="67"/>
        <v>0</v>
      </c>
    </row>
    <row r="1494" spans="23:34">
      <c r="W1494" s="177">
        <f t="shared" si="68"/>
        <v>0</v>
      </c>
      <c r="AB1494" s="178">
        <f t="shared" si="69"/>
        <v>0</v>
      </c>
      <c r="AH1494" s="177">
        <f t="shared" si="67"/>
        <v>0</v>
      </c>
    </row>
    <row r="1495" spans="23:34">
      <c r="W1495" s="177">
        <f t="shared" si="68"/>
        <v>0</v>
      </c>
      <c r="AB1495" s="178">
        <f t="shared" si="69"/>
        <v>0</v>
      </c>
      <c r="AH1495" s="177">
        <f t="shared" si="67"/>
        <v>0</v>
      </c>
    </row>
    <row r="1496" spans="23:34">
      <c r="W1496" s="177">
        <f t="shared" si="68"/>
        <v>0</v>
      </c>
      <c r="AB1496" s="178">
        <f t="shared" si="69"/>
        <v>0</v>
      </c>
      <c r="AH1496" s="177">
        <f t="shared" si="67"/>
        <v>0</v>
      </c>
    </row>
    <row r="1497" spans="23:34">
      <c r="W1497" s="177">
        <f t="shared" si="68"/>
        <v>0</v>
      </c>
      <c r="AB1497" s="178">
        <f t="shared" si="69"/>
        <v>0</v>
      </c>
      <c r="AH1497" s="177">
        <f t="shared" si="67"/>
        <v>0</v>
      </c>
    </row>
    <row r="1498" spans="23:34">
      <c r="W1498" s="177">
        <f t="shared" si="68"/>
        <v>0</v>
      </c>
      <c r="AB1498" s="178">
        <f t="shared" si="69"/>
        <v>0</v>
      </c>
      <c r="AH1498" s="177">
        <f t="shared" si="67"/>
        <v>0</v>
      </c>
    </row>
    <row r="1499" spans="23:34">
      <c r="W1499" s="177">
        <f t="shared" si="68"/>
        <v>0</v>
      </c>
      <c r="AB1499" s="178">
        <f t="shared" si="69"/>
        <v>0</v>
      </c>
      <c r="AH1499" s="177">
        <f t="shared" si="67"/>
        <v>0</v>
      </c>
    </row>
    <row r="1500" spans="23:34">
      <c r="W1500" s="177">
        <f t="shared" si="68"/>
        <v>0</v>
      </c>
      <c r="AB1500" s="178">
        <f t="shared" si="69"/>
        <v>0</v>
      </c>
      <c r="AH1500" s="177">
        <f t="shared" si="67"/>
        <v>0</v>
      </c>
    </row>
    <row r="1501" spans="23:34">
      <c r="W1501" s="177">
        <f t="shared" si="68"/>
        <v>0</v>
      </c>
      <c r="AB1501" s="178">
        <f t="shared" si="69"/>
        <v>0</v>
      </c>
      <c r="AH1501" s="177">
        <f t="shared" si="67"/>
        <v>0</v>
      </c>
    </row>
    <row r="1502" spans="23:34">
      <c r="W1502" s="177">
        <f t="shared" si="68"/>
        <v>0</v>
      </c>
      <c r="AB1502" s="178">
        <f t="shared" si="69"/>
        <v>0</v>
      </c>
      <c r="AH1502" s="177">
        <f t="shared" si="67"/>
        <v>0</v>
      </c>
    </row>
    <row r="1503" spans="23:34">
      <c r="W1503" s="177">
        <f t="shared" si="68"/>
        <v>0</v>
      </c>
      <c r="AB1503" s="178">
        <f t="shared" si="69"/>
        <v>0</v>
      </c>
      <c r="AH1503" s="177">
        <f t="shared" si="67"/>
        <v>0</v>
      </c>
    </row>
    <row r="1504" spans="23:34">
      <c r="W1504" s="177">
        <f t="shared" si="68"/>
        <v>0</v>
      </c>
      <c r="AB1504" s="178">
        <f t="shared" si="69"/>
        <v>0</v>
      </c>
      <c r="AH1504" s="177">
        <f t="shared" si="67"/>
        <v>0</v>
      </c>
    </row>
    <row r="1505" spans="23:34">
      <c r="W1505" s="177">
        <f t="shared" si="68"/>
        <v>0</v>
      </c>
      <c r="AB1505" s="178">
        <f t="shared" si="69"/>
        <v>0</v>
      </c>
      <c r="AH1505" s="177">
        <f t="shared" si="67"/>
        <v>0</v>
      </c>
    </row>
    <row r="1506" spans="23:34">
      <c r="W1506" s="177">
        <f t="shared" si="68"/>
        <v>0</v>
      </c>
      <c r="AB1506" s="178">
        <f t="shared" si="69"/>
        <v>0</v>
      </c>
      <c r="AH1506" s="177">
        <f t="shared" si="67"/>
        <v>0</v>
      </c>
    </row>
    <row r="1507" spans="23:34">
      <c r="W1507" s="177">
        <f t="shared" si="68"/>
        <v>0</v>
      </c>
      <c r="AB1507" s="178">
        <f t="shared" si="69"/>
        <v>0</v>
      </c>
      <c r="AH1507" s="177">
        <f t="shared" si="67"/>
        <v>0</v>
      </c>
    </row>
    <row r="1508" spans="23:34">
      <c r="W1508" s="177">
        <f t="shared" si="68"/>
        <v>0</v>
      </c>
      <c r="AB1508" s="178">
        <f t="shared" si="69"/>
        <v>0</v>
      </c>
      <c r="AH1508" s="177">
        <f t="shared" si="67"/>
        <v>0</v>
      </c>
    </row>
    <row r="1509" spans="23:34">
      <c r="W1509" s="177">
        <f t="shared" si="68"/>
        <v>0</v>
      </c>
      <c r="AB1509" s="178">
        <f t="shared" si="69"/>
        <v>0</v>
      </c>
      <c r="AH1509" s="177">
        <f t="shared" si="67"/>
        <v>0</v>
      </c>
    </row>
    <row r="1510" spans="23:34">
      <c r="W1510" s="177">
        <f t="shared" si="68"/>
        <v>0</v>
      </c>
      <c r="AB1510" s="178">
        <f t="shared" si="69"/>
        <v>0</v>
      </c>
      <c r="AH1510" s="177">
        <f t="shared" si="67"/>
        <v>0</v>
      </c>
    </row>
    <row r="1511" spans="23:34">
      <c r="W1511" s="177">
        <f t="shared" si="68"/>
        <v>0</v>
      </c>
      <c r="AB1511" s="178">
        <f t="shared" si="69"/>
        <v>0</v>
      </c>
      <c r="AH1511" s="177">
        <f t="shared" si="67"/>
        <v>0</v>
      </c>
    </row>
    <row r="1512" spans="23:34">
      <c r="W1512" s="177">
        <f t="shared" si="68"/>
        <v>0</v>
      </c>
      <c r="AB1512" s="178">
        <f t="shared" si="69"/>
        <v>0</v>
      </c>
      <c r="AH1512" s="177">
        <f t="shared" si="67"/>
        <v>0</v>
      </c>
    </row>
    <row r="1513" spans="23:34">
      <c r="W1513" s="177">
        <f t="shared" si="68"/>
        <v>0</v>
      </c>
      <c r="AB1513" s="178">
        <f t="shared" si="69"/>
        <v>0</v>
      </c>
      <c r="AH1513" s="177">
        <f t="shared" si="67"/>
        <v>0</v>
      </c>
    </row>
    <row r="1514" spans="23:34">
      <c r="W1514" s="177">
        <f t="shared" si="68"/>
        <v>0</v>
      </c>
      <c r="AB1514" s="178">
        <f t="shared" si="69"/>
        <v>0</v>
      </c>
      <c r="AH1514" s="177">
        <f t="shared" si="67"/>
        <v>0</v>
      </c>
    </row>
    <row r="1515" spans="23:34">
      <c r="W1515" s="177">
        <f t="shared" si="68"/>
        <v>0</v>
      </c>
      <c r="AB1515" s="178">
        <f t="shared" si="69"/>
        <v>0</v>
      </c>
      <c r="AH1515" s="177">
        <f t="shared" si="67"/>
        <v>0</v>
      </c>
    </row>
    <row r="1516" spans="23:34">
      <c r="W1516" s="177">
        <f t="shared" si="68"/>
        <v>0</v>
      </c>
      <c r="AB1516" s="178">
        <f t="shared" si="69"/>
        <v>0</v>
      </c>
      <c r="AH1516" s="177">
        <f t="shared" si="67"/>
        <v>0</v>
      </c>
    </row>
    <row r="1517" spans="23:34">
      <c r="W1517" s="177">
        <f t="shared" si="68"/>
        <v>0</v>
      </c>
      <c r="AB1517" s="178">
        <f t="shared" si="69"/>
        <v>0</v>
      </c>
      <c r="AH1517" s="177">
        <f t="shared" si="67"/>
        <v>0</v>
      </c>
    </row>
    <row r="1518" spans="23:34">
      <c r="W1518" s="177">
        <f t="shared" si="68"/>
        <v>0</v>
      </c>
      <c r="AB1518" s="178">
        <f t="shared" si="69"/>
        <v>0</v>
      </c>
      <c r="AH1518" s="177">
        <f t="shared" si="67"/>
        <v>0</v>
      </c>
    </row>
    <row r="1519" spans="23:34">
      <c r="W1519" s="177">
        <f t="shared" si="68"/>
        <v>0</v>
      </c>
      <c r="AB1519" s="178">
        <f t="shared" si="69"/>
        <v>0</v>
      </c>
      <c r="AH1519" s="177">
        <f t="shared" si="67"/>
        <v>0</v>
      </c>
    </row>
    <row r="1520" spans="23:34">
      <c r="W1520" s="177">
        <f t="shared" si="68"/>
        <v>0</v>
      </c>
      <c r="AB1520" s="178">
        <f t="shared" si="69"/>
        <v>0</v>
      </c>
      <c r="AH1520" s="177">
        <f t="shared" ref="AH1520:AH1583" si="70">SUM(AF1520:AG1520)</f>
        <v>0</v>
      </c>
    </row>
    <row r="1521" spans="23:34">
      <c r="W1521" s="177">
        <f t="shared" si="68"/>
        <v>0</v>
      </c>
      <c r="AB1521" s="178">
        <f t="shared" si="69"/>
        <v>0</v>
      </c>
      <c r="AH1521" s="177">
        <f t="shared" si="70"/>
        <v>0</v>
      </c>
    </row>
    <row r="1522" spans="23:34">
      <c r="W1522" s="177">
        <f t="shared" si="68"/>
        <v>0</v>
      </c>
      <c r="AB1522" s="178">
        <f t="shared" si="69"/>
        <v>0</v>
      </c>
      <c r="AH1522" s="177">
        <f t="shared" si="70"/>
        <v>0</v>
      </c>
    </row>
    <row r="1523" spans="23:34">
      <c r="W1523" s="177">
        <f t="shared" ref="W1523:W1586" si="71">SUM(Q1523:T1523)</f>
        <v>0</v>
      </c>
      <c r="AB1523" s="178">
        <f t="shared" si="69"/>
        <v>0</v>
      </c>
      <c r="AH1523" s="177">
        <f t="shared" si="70"/>
        <v>0</v>
      </c>
    </row>
    <row r="1524" spans="23:34">
      <c r="W1524" s="177">
        <f t="shared" si="71"/>
        <v>0</v>
      </c>
      <c r="AB1524" s="178">
        <f t="shared" si="69"/>
        <v>0</v>
      </c>
      <c r="AH1524" s="177">
        <f t="shared" si="70"/>
        <v>0</v>
      </c>
    </row>
    <row r="1525" spans="23:34">
      <c r="W1525" s="177">
        <f t="shared" si="71"/>
        <v>0</v>
      </c>
      <c r="AB1525" s="178">
        <f t="shared" si="69"/>
        <v>0</v>
      </c>
      <c r="AH1525" s="177">
        <f t="shared" si="70"/>
        <v>0</v>
      </c>
    </row>
    <row r="1526" spans="23:34">
      <c r="W1526" s="177">
        <f t="shared" si="71"/>
        <v>0</v>
      </c>
      <c r="AB1526" s="178">
        <f t="shared" si="69"/>
        <v>0</v>
      </c>
      <c r="AH1526" s="177">
        <f t="shared" si="70"/>
        <v>0</v>
      </c>
    </row>
    <row r="1527" spans="23:34">
      <c r="W1527" s="177">
        <f t="shared" si="71"/>
        <v>0</v>
      </c>
      <c r="AB1527" s="178">
        <f t="shared" si="69"/>
        <v>0</v>
      </c>
      <c r="AH1527" s="177">
        <f t="shared" si="70"/>
        <v>0</v>
      </c>
    </row>
    <row r="1528" spans="23:34">
      <c r="W1528" s="177">
        <f t="shared" si="71"/>
        <v>0</v>
      </c>
      <c r="AB1528" s="178">
        <f t="shared" si="69"/>
        <v>0</v>
      </c>
      <c r="AH1528" s="177">
        <f t="shared" si="70"/>
        <v>0</v>
      </c>
    </row>
    <row r="1529" spans="23:34">
      <c r="W1529" s="177">
        <f t="shared" si="71"/>
        <v>0</v>
      </c>
      <c r="AB1529" s="178">
        <f t="shared" si="69"/>
        <v>0</v>
      </c>
      <c r="AH1529" s="177">
        <f t="shared" si="70"/>
        <v>0</v>
      </c>
    </row>
    <row r="1530" spans="23:34">
      <c r="W1530" s="177">
        <f t="shared" si="71"/>
        <v>0</v>
      </c>
      <c r="AB1530" s="178">
        <f t="shared" si="69"/>
        <v>0</v>
      </c>
      <c r="AH1530" s="177">
        <f t="shared" si="70"/>
        <v>0</v>
      </c>
    </row>
    <row r="1531" spans="23:34">
      <c r="W1531" s="177">
        <f t="shared" si="71"/>
        <v>0</v>
      </c>
      <c r="AB1531" s="178">
        <f t="shared" ref="AB1531:AB1594" si="72">SUM(Z1531:AA1531)</f>
        <v>0</v>
      </c>
      <c r="AH1531" s="177">
        <f t="shared" si="70"/>
        <v>0</v>
      </c>
    </row>
    <row r="1532" spans="23:34">
      <c r="W1532" s="177">
        <f t="shared" si="71"/>
        <v>0</v>
      </c>
      <c r="AB1532" s="178">
        <f t="shared" si="72"/>
        <v>0</v>
      </c>
      <c r="AH1532" s="177">
        <f t="shared" si="70"/>
        <v>0</v>
      </c>
    </row>
    <row r="1533" spans="23:34">
      <c r="W1533" s="177">
        <f t="shared" si="71"/>
        <v>0</v>
      </c>
      <c r="AB1533" s="178">
        <f t="shared" si="72"/>
        <v>0</v>
      </c>
      <c r="AH1533" s="177">
        <f t="shared" si="70"/>
        <v>0</v>
      </c>
    </row>
    <row r="1534" spans="23:34">
      <c r="W1534" s="177">
        <f t="shared" si="71"/>
        <v>0</v>
      </c>
      <c r="AB1534" s="178">
        <f t="shared" si="72"/>
        <v>0</v>
      </c>
      <c r="AH1534" s="177">
        <f t="shared" si="70"/>
        <v>0</v>
      </c>
    </row>
    <row r="1535" spans="23:34">
      <c r="W1535" s="177">
        <f t="shared" si="71"/>
        <v>0</v>
      </c>
      <c r="AB1535" s="178">
        <f t="shared" si="72"/>
        <v>0</v>
      </c>
      <c r="AH1535" s="177">
        <f t="shared" si="70"/>
        <v>0</v>
      </c>
    </row>
    <row r="1536" spans="23:34">
      <c r="W1536" s="177">
        <f t="shared" si="71"/>
        <v>0</v>
      </c>
      <c r="AB1536" s="178">
        <f t="shared" si="72"/>
        <v>0</v>
      </c>
      <c r="AH1536" s="177">
        <f t="shared" si="70"/>
        <v>0</v>
      </c>
    </row>
    <row r="1537" spans="23:34">
      <c r="W1537" s="177">
        <f t="shared" si="71"/>
        <v>0</v>
      </c>
      <c r="AB1537" s="178">
        <f t="shared" si="72"/>
        <v>0</v>
      </c>
      <c r="AH1537" s="177">
        <f t="shared" si="70"/>
        <v>0</v>
      </c>
    </row>
    <row r="1538" spans="23:34">
      <c r="W1538" s="177">
        <f t="shared" si="71"/>
        <v>0</v>
      </c>
      <c r="AB1538" s="178">
        <f t="shared" si="72"/>
        <v>0</v>
      </c>
      <c r="AH1538" s="177">
        <f t="shared" si="70"/>
        <v>0</v>
      </c>
    </row>
    <row r="1539" spans="23:34">
      <c r="W1539" s="177">
        <f t="shared" si="71"/>
        <v>0</v>
      </c>
      <c r="AB1539" s="178">
        <f t="shared" si="72"/>
        <v>0</v>
      </c>
      <c r="AH1539" s="177">
        <f t="shared" si="70"/>
        <v>0</v>
      </c>
    </row>
    <row r="1540" spans="23:34">
      <c r="W1540" s="177">
        <f t="shared" si="71"/>
        <v>0</v>
      </c>
      <c r="AB1540" s="178">
        <f t="shared" si="72"/>
        <v>0</v>
      </c>
      <c r="AH1540" s="177">
        <f t="shared" si="70"/>
        <v>0</v>
      </c>
    </row>
    <row r="1541" spans="23:34">
      <c r="W1541" s="177">
        <f t="shared" si="71"/>
        <v>0</v>
      </c>
      <c r="AB1541" s="178">
        <f t="shared" si="72"/>
        <v>0</v>
      </c>
      <c r="AH1541" s="177">
        <f t="shared" si="70"/>
        <v>0</v>
      </c>
    </row>
    <row r="1542" spans="23:34">
      <c r="W1542" s="177">
        <f t="shared" si="71"/>
        <v>0</v>
      </c>
      <c r="AB1542" s="178">
        <f t="shared" si="72"/>
        <v>0</v>
      </c>
      <c r="AH1542" s="177">
        <f t="shared" si="70"/>
        <v>0</v>
      </c>
    </row>
    <row r="1543" spans="23:34">
      <c r="W1543" s="177">
        <f t="shared" si="71"/>
        <v>0</v>
      </c>
      <c r="AB1543" s="178">
        <f t="shared" si="72"/>
        <v>0</v>
      </c>
      <c r="AH1543" s="177">
        <f t="shared" si="70"/>
        <v>0</v>
      </c>
    </row>
    <row r="1544" spans="23:34">
      <c r="W1544" s="177">
        <f t="shared" si="71"/>
        <v>0</v>
      </c>
      <c r="AB1544" s="178">
        <f t="shared" si="72"/>
        <v>0</v>
      </c>
      <c r="AH1544" s="177">
        <f t="shared" si="70"/>
        <v>0</v>
      </c>
    </row>
    <row r="1545" spans="23:34">
      <c r="W1545" s="177">
        <f t="shared" si="71"/>
        <v>0</v>
      </c>
      <c r="AB1545" s="178">
        <f t="shared" si="72"/>
        <v>0</v>
      </c>
      <c r="AH1545" s="177">
        <f t="shared" si="70"/>
        <v>0</v>
      </c>
    </row>
    <row r="1546" spans="23:34">
      <c r="W1546" s="177">
        <f t="shared" si="71"/>
        <v>0</v>
      </c>
      <c r="AB1546" s="178">
        <f t="shared" si="72"/>
        <v>0</v>
      </c>
      <c r="AH1546" s="177">
        <f t="shared" si="70"/>
        <v>0</v>
      </c>
    </row>
    <row r="1547" spans="23:34">
      <c r="W1547" s="177">
        <f t="shared" si="71"/>
        <v>0</v>
      </c>
      <c r="AB1547" s="178">
        <f t="shared" si="72"/>
        <v>0</v>
      </c>
      <c r="AH1547" s="177">
        <f t="shared" si="70"/>
        <v>0</v>
      </c>
    </row>
    <row r="1548" spans="23:34">
      <c r="W1548" s="177">
        <f t="shared" si="71"/>
        <v>0</v>
      </c>
      <c r="AB1548" s="178">
        <f t="shared" si="72"/>
        <v>0</v>
      </c>
      <c r="AH1548" s="177">
        <f t="shared" si="70"/>
        <v>0</v>
      </c>
    </row>
    <row r="1549" spans="23:34">
      <c r="W1549" s="177">
        <f t="shared" si="71"/>
        <v>0</v>
      </c>
      <c r="AB1549" s="178">
        <f t="shared" si="72"/>
        <v>0</v>
      </c>
      <c r="AH1549" s="177">
        <f t="shared" si="70"/>
        <v>0</v>
      </c>
    </row>
    <row r="1550" spans="23:34">
      <c r="W1550" s="177">
        <f t="shared" si="71"/>
        <v>0</v>
      </c>
      <c r="AB1550" s="178">
        <f t="shared" si="72"/>
        <v>0</v>
      </c>
      <c r="AH1550" s="177">
        <f t="shared" si="70"/>
        <v>0</v>
      </c>
    </row>
    <row r="1551" spans="23:34">
      <c r="W1551" s="177">
        <f t="shared" si="71"/>
        <v>0</v>
      </c>
      <c r="AB1551" s="178">
        <f t="shared" si="72"/>
        <v>0</v>
      </c>
      <c r="AH1551" s="177">
        <f t="shared" si="70"/>
        <v>0</v>
      </c>
    </row>
    <row r="1552" spans="23:34">
      <c r="W1552" s="177">
        <f t="shared" si="71"/>
        <v>0</v>
      </c>
      <c r="AB1552" s="178">
        <f t="shared" si="72"/>
        <v>0</v>
      </c>
      <c r="AH1552" s="177">
        <f t="shared" si="70"/>
        <v>0</v>
      </c>
    </row>
    <row r="1553" spans="23:34">
      <c r="W1553" s="177">
        <f t="shared" si="71"/>
        <v>0</v>
      </c>
      <c r="AB1553" s="178">
        <f t="shared" si="72"/>
        <v>0</v>
      </c>
      <c r="AH1553" s="177">
        <f t="shared" si="70"/>
        <v>0</v>
      </c>
    </row>
    <row r="1554" spans="23:34">
      <c r="W1554" s="177">
        <f t="shared" si="71"/>
        <v>0</v>
      </c>
      <c r="AB1554" s="178">
        <f t="shared" si="72"/>
        <v>0</v>
      </c>
      <c r="AH1554" s="177">
        <f t="shared" si="70"/>
        <v>0</v>
      </c>
    </row>
    <row r="1555" spans="23:34">
      <c r="W1555" s="177">
        <f t="shared" si="71"/>
        <v>0</v>
      </c>
      <c r="AB1555" s="178">
        <f t="shared" si="72"/>
        <v>0</v>
      </c>
      <c r="AH1555" s="177">
        <f t="shared" si="70"/>
        <v>0</v>
      </c>
    </row>
    <row r="1556" spans="23:34">
      <c r="W1556" s="177">
        <f t="shared" si="71"/>
        <v>0</v>
      </c>
      <c r="AB1556" s="178">
        <f t="shared" si="72"/>
        <v>0</v>
      </c>
      <c r="AH1556" s="177">
        <f t="shared" si="70"/>
        <v>0</v>
      </c>
    </row>
    <row r="1557" spans="23:34">
      <c r="W1557" s="177">
        <f t="shared" si="71"/>
        <v>0</v>
      </c>
      <c r="AB1557" s="178">
        <f t="shared" si="72"/>
        <v>0</v>
      </c>
      <c r="AH1557" s="177">
        <f t="shared" si="70"/>
        <v>0</v>
      </c>
    </row>
    <row r="1558" spans="23:34">
      <c r="W1558" s="177">
        <f t="shared" si="71"/>
        <v>0</v>
      </c>
      <c r="AB1558" s="178">
        <f t="shared" si="72"/>
        <v>0</v>
      </c>
      <c r="AH1558" s="177">
        <f t="shared" si="70"/>
        <v>0</v>
      </c>
    </row>
    <row r="1559" spans="23:34">
      <c r="W1559" s="177">
        <f t="shared" si="71"/>
        <v>0</v>
      </c>
      <c r="AB1559" s="178">
        <f t="shared" si="72"/>
        <v>0</v>
      </c>
      <c r="AH1559" s="177">
        <f t="shared" si="70"/>
        <v>0</v>
      </c>
    </row>
    <row r="1560" spans="23:34">
      <c r="W1560" s="177">
        <f t="shared" si="71"/>
        <v>0</v>
      </c>
      <c r="AB1560" s="178">
        <f t="shared" si="72"/>
        <v>0</v>
      </c>
      <c r="AH1560" s="177">
        <f t="shared" si="70"/>
        <v>0</v>
      </c>
    </row>
    <row r="1561" spans="23:34">
      <c r="W1561" s="177">
        <f t="shared" si="71"/>
        <v>0</v>
      </c>
      <c r="AB1561" s="178">
        <f t="shared" si="72"/>
        <v>0</v>
      </c>
      <c r="AH1561" s="177">
        <f t="shared" si="70"/>
        <v>0</v>
      </c>
    </row>
    <row r="1562" spans="23:34">
      <c r="W1562" s="177">
        <f t="shared" si="71"/>
        <v>0</v>
      </c>
      <c r="AB1562" s="178">
        <f t="shared" si="72"/>
        <v>0</v>
      </c>
      <c r="AH1562" s="177">
        <f t="shared" si="70"/>
        <v>0</v>
      </c>
    </row>
    <row r="1563" spans="23:34">
      <c r="W1563" s="177">
        <f t="shared" si="71"/>
        <v>0</v>
      </c>
      <c r="AB1563" s="178">
        <f t="shared" si="72"/>
        <v>0</v>
      </c>
      <c r="AH1563" s="177">
        <f t="shared" si="70"/>
        <v>0</v>
      </c>
    </row>
    <row r="1564" spans="23:34">
      <c r="W1564" s="177">
        <f t="shared" si="71"/>
        <v>0</v>
      </c>
      <c r="AB1564" s="178">
        <f t="shared" si="72"/>
        <v>0</v>
      </c>
      <c r="AH1564" s="177">
        <f t="shared" si="70"/>
        <v>0</v>
      </c>
    </row>
    <row r="1565" spans="23:34">
      <c r="W1565" s="177">
        <f t="shared" si="71"/>
        <v>0</v>
      </c>
      <c r="AB1565" s="178">
        <f t="shared" si="72"/>
        <v>0</v>
      </c>
      <c r="AH1565" s="177">
        <f t="shared" si="70"/>
        <v>0</v>
      </c>
    </row>
    <row r="1566" spans="23:34">
      <c r="W1566" s="177">
        <f t="shared" si="71"/>
        <v>0</v>
      </c>
      <c r="AB1566" s="178">
        <f t="shared" si="72"/>
        <v>0</v>
      </c>
      <c r="AH1566" s="177">
        <f t="shared" si="70"/>
        <v>0</v>
      </c>
    </row>
    <row r="1567" spans="23:34">
      <c r="W1567" s="177">
        <f t="shared" si="71"/>
        <v>0</v>
      </c>
      <c r="AB1567" s="178">
        <f t="shared" si="72"/>
        <v>0</v>
      </c>
      <c r="AH1567" s="177">
        <f t="shared" si="70"/>
        <v>0</v>
      </c>
    </row>
    <row r="1568" spans="23:34">
      <c r="W1568" s="177">
        <f t="shared" si="71"/>
        <v>0</v>
      </c>
      <c r="AB1568" s="178">
        <f t="shared" si="72"/>
        <v>0</v>
      </c>
      <c r="AH1568" s="177">
        <f t="shared" si="70"/>
        <v>0</v>
      </c>
    </row>
    <row r="1569" spans="23:34">
      <c r="W1569" s="177">
        <f t="shared" si="71"/>
        <v>0</v>
      </c>
      <c r="AB1569" s="178">
        <f t="shared" si="72"/>
        <v>0</v>
      </c>
      <c r="AH1569" s="177">
        <f t="shared" si="70"/>
        <v>0</v>
      </c>
    </row>
    <row r="1570" spans="23:34">
      <c r="W1570" s="177">
        <f t="shared" si="71"/>
        <v>0</v>
      </c>
      <c r="AB1570" s="178">
        <f t="shared" si="72"/>
        <v>0</v>
      </c>
      <c r="AH1570" s="177">
        <f t="shared" si="70"/>
        <v>0</v>
      </c>
    </row>
    <row r="1571" spans="23:34">
      <c r="W1571" s="177">
        <f t="shared" si="71"/>
        <v>0</v>
      </c>
      <c r="AB1571" s="178">
        <f t="shared" si="72"/>
        <v>0</v>
      </c>
      <c r="AH1571" s="177">
        <f t="shared" si="70"/>
        <v>0</v>
      </c>
    </row>
    <row r="1572" spans="23:34">
      <c r="W1572" s="177">
        <f t="shared" si="71"/>
        <v>0</v>
      </c>
      <c r="AB1572" s="178">
        <f t="shared" si="72"/>
        <v>0</v>
      </c>
      <c r="AH1572" s="177">
        <f t="shared" si="70"/>
        <v>0</v>
      </c>
    </row>
    <row r="1573" spans="23:34">
      <c r="W1573" s="177">
        <f t="shared" si="71"/>
        <v>0</v>
      </c>
      <c r="AB1573" s="178">
        <f t="shared" si="72"/>
        <v>0</v>
      </c>
      <c r="AH1573" s="177">
        <f t="shared" si="70"/>
        <v>0</v>
      </c>
    </row>
    <row r="1574" spans="23:34">
      <c r="W1574" s="177">
        <f t="shared" si="71"/>
        <v>0</v>
      </c>
      <c r="AB1574" s="178">
        <f t="shared" si="72"/>
        <v>0</v>
      </c>
      <c r="AH1574" s="177">
        <f t="shared" si="70"/>
        <v>0</v>
      </c>
    </row>
    <row r="1575" spans="23:34">
      <c r="W1575" s="177">
        <f t="shared" si="71"/>
        <v>0</v>
      </c>
      <c r="AB1575" s="178">
        <f t="shared" si="72"/>
        <v>0</v>
      </c>
      <c r="AH1575" s="177">
        <f t="shared" si="70"/>
        <v>0</v>
      </c>
    </row>
    <row r="1576" spans="23:34">
      <c r="W1576" s="177">
        <f t="shared" si="71"/>
        <v>0</v>
      </c>
      <c r="AB1576" s="178">
        <f t="shared" si="72"/>
        <v>0</v>
      </c>
      <c r="AH1576" s="177">
        <f t="shared" si="70"/>
        <v>0</v>
      </c>
    </row>
    <row r="1577" spans="23:34">
      <c r="W1577" s="177">
        <f t="shared" si="71"/>
        <v>0</v>
      </c>
      <c r="AB1577" s="178">
        <f t="shared" si="72"/>
        <v>0</v>
      </c>
      <c r="AH1577" s="177">
        <f t="shared" si="70"/>
        <v>0</v>
      </c>
    </row>
    <row r="1578" spans="23:34">
      <c r="W1578" s="177">
        <f t="shared" si="71"/>
        <v>0</v>
      </c>
      <c r="AB1578" s="178">
        <f t="shared" si="72"/>
        <v>0</v>
      </c>
      <c r="AH1578" s="177">
        <f t="shared" si="70"/>
        <v>0</v>
      </c>
    </row>
    <row r="1579" spans="23:34">
      <c r="W1579" s="177">
        <f t="shared" si="71"/>
        <v>0</v>
      </c>
      <c r="AB1579" s="178">
        <f t="shared" si="72"/>
        <v>0</v>
      </c>
      <c r="AH1579" s="177">
        <f t="shared" si="70"/>
        <v>0</v>
      </c>
    </row>
    <row r="1580" spans="23:34">
      <c r="W1580" s="177">
        <f t="shared" si="71"/>
        <v>0</v>
      </c>
      <c r="AB1580" s="178">
        <f t="shared" si="72"/>
        <v>0</v>
      </c>
      <c r="AH1580" s="177">
        <f t="shared" si="70"/>
        <v>0</v>
      </c>
    </row>
    <row r="1581" spans="23:34">
      <c r="W1581" s="177">
        <f t="shared" si="71"/>
        <v>0</v>
      </c>
      <c r="AB1581" s="178">
        <f t="shared" si="72"/>
        <v>0</v>
      </c>
      <c r="AH1581" s="177">
        <f t="shared" si="70"/>
        <v>0</v>
      </c>
    </row>
    <row r="1582" spans="23:34">
      <c r="W1582" s="177">
        <f t="shared" si="71"/>
        <v>0</v>
      </c>
      <c r="AB1582" s="178">
        <f t="shared" si="72"/>
        <v>0</v>
      </c>
      <c r="AH1582" s="177">
        <f t="shared" si="70"/>
        <v>0</v>
      </c>
    </row>
    <row r="1583" spans="23:34">
      <c r="W1583" s="177">
        <f t="shared" si="71"/>
        <v>0</v>
      </c>
      <c r="AB1583" s="178">
        <f t="shared" si="72"/>
        <v>0</v>
      </c>
      <c r="AH1583" s="177">
        <f t="shared" si="70"/>
        <v>0</v>
      </c>
    </row>
    <row r="1584" spans="23:34">
      <c r="W1584" s="177">
        <f t="shared" si="71"/>
        <v>0</v>
      </c>
      <c r="AB1584" s="178">
        <f t="shared" si="72"/>
        <v>0</v>
      </c>
      <c r="AH1584" s="177">
        <f t="shared" ref="AH1584:AH1647" si="73">SUM(AF1584:AG1584)</f>
        <v>0</v>
      </c>
    </row>
    <row r="1585" spans="23:34">
      <c r="W1585" s="177">
        <f t="shared" si="71"/>
        <v>0</v>
      </c>
      <c r="AB1585" s="178">
        <f t="shared" si="72"/>
        <v>0</v>
      </c>
      <c r="AH1585" s="177">
        <f t="shared" si="73"/>
        <v>0</v>
      </c>
    </row>
    <row r="1586" spans="23:34">
      <c r="W1586" s="177">
        <f t="shared" si="71"/>
        <v>0</v>
      </c>
      <c r="AB1586" s="178">
        <f t="shared" si="72"/>
        <v>0</v>
      </c>
      <c r="AH1586" s="177">
        <f t="shared" si="73"/>
        <v>0</v>
      </c>
    </row>
    <row r="1587" spans="23:34">
      <c r="W1587" s="177">
        <f t="shared" ref="W1587:W1650" si="74">SUM(Q1587:T1587)</f>
        <v>0</v>
      </c>
      <c r="AB1587" s="178">
        <f t="shared" si="72"/>
        <v>0</v>
      </c>
      <c r="AH1587" s="177">
        <f t="shared" si="73"/>
        <v>0</v>
      </c>
    </row>
    <row r="1588" spans="23:34">
      <c r="W1588" s="177">
        <f t="shared" si="74"/>
        <v>0</v>
      </c>
      <c r="AB1588" s="178">
        <f t="shared" si="72"/>
        <v>0</v>
      </c>
      <c r="AH1588" s="177">
        <f t="shared" si="73"/>
        <v>0</v>
      </c>
    </row>
    <row r="1589" spans="23:34">
      <c r="W1589" s="177">
        <f t="shared" si="74"/>
        <v>0</v>
      </c>
      <c r="AB1589" s="178">
        <f t="shared" si="72"/>
        <v>0</v>
      </c>
      <c r="AH1589" s="177">
        <f t="shared" si="73"/>
        <v>0</v>
      </c>
    </row>
    <row r="1590" spans="23:34">
      <c r="W1590" s="177">
        <f t="shared" si="74"/>
        <v>0</v>
      </c>
      <c r="AB1590" s="178">
        <f t="shared" si="72"/>
        <v>0</v>
      </c>
      <c r="AH1590" s="177">
        <f t="shared" si="73"/>
        <v>0</v>
      </c>
    </row>
    <row r="1591" spans="23:34">
      <c r="W1591" s="177">
        <f t="shared" si="74"/>
        <v>0</v>
      </c>
      <c r="AB1591" s="178">
        <f t="shared" si="72"/>
        <v>0</v>
      </c>
      <c r="AH1591" s="177">
        <f t="shared" si="73"/>
        <v>0</v>
      </c>
    </row>
    <row r="1592" spans="23:34">
      <c r="W1592" s="177">
        <f t="shared" si="74"/>
        <v>0</v>
      </c>
      <c r="AB1592" s="178">
        <f t="shared" si="72"/>
        <v>0</v>
      </c>
      <c r="AH1592" s="177">
        <f t="shared" si="73"/>
        <v>0</v>
      </c>
    </row>
    <row r="1593" spans="23:34">
      <c r="W1593" s="177">
        <f t="shared" si="74"/>
        <v>0</v>
      </c>
      <c r="AB1593" s="178">
        <f t="shared" si="72"/>
        <v>0</v>
      </c>
      <c r="AH1593" s="177">
        <f t="shared" si="73"/>
        <v>0</v>
      </c>
    </row>
    <row r="1594" spans="23:34">
      <c r="W1594" s="177">
        <f t="shared" si="74"/>
        <v>0</v>
      </c>
      <c r="AB1594" s="178">
        <f t="shared" si="72"/>
        <v>0</v>
      </c>
      <c r="AH1594" s="177">
        <f t="shared" si="73"/>
        <v>0</v>
      </c>
    </row>
    <row r="1595" spans="23:34">
      <c r="W1595" s="177">
        <f t="shared" si="74"/>
        <v>0</v>
      </c>
      <c r="AB1595" s="178">
        <f t="shared" ref="AB1595:AB1658" si="75">SUM(Z1595:AA1595)</f>
        <v>0</v>
      </c>
      <c r="AH1595" s="177">
        <f t="shared" si="73"/>
        <v>0</v>
      </c>
    </row>
    <row r="1596" spans="23:34">
      <c r="W1596" s="177">
        <f t="shared" si="74"/>
        <v>0</v>
      </c>
      <c r="AB1596" s="178">
        <f t="shared" si="75"/>
        <v>0</v>
      </c>
      <c r="AH1596" s="177">
        <f t="shared" si="73"/>
        <v>0</v>
      </c>
    </row>
    <row r="1597" spans="23:34">
      <c r="W1597" s="177">
        <f t="shared" si="74"/>
        <v>0</v>
      </c>
      <c r="AB1597" s="178">
        <f t="shared" si="75"/>
        <v>0</v>
      </c>
      <c r="AH1597" s="177">
        <f t="shared" si="73"/>
        <v>0</v>
      </c>
    </row>
    <row r="1598" spans="23:34">
      <c r="W1598" s="177">
        <f t="shared" si="74"/>
        <v>0</v>
      </c>
      <c r="AB1598" s="178">
        <f t="shared" si="75"/>
        <v>0</v>
      </c>
      <c r="AH1598" s="177">
        <f t="shared" si="73"/>
        <v>0</v>
      </c>
    </row>
    <row r="1599" spans="23:34">
      <c r="W1599" s="177">
        <f t="shared" si="74"/>
        <v>0</v>
      </c>
      <c r="AB1599" s="178">
        <f t="shared" si="75"/>
        <v>0</v>
      </c>
      <c r="AH1599" s="177">
        <f t="shared" si="73"/>
        <v>0</v>
      </c>
    </row>
    <row r="1600" spans="23:34">
      <c r="W1600" s="177">
        <f t="shared" si="74"/>
        <v>0</v>
      </c>
      <c r="AB1600" s="178">
        <f t="shared" si="75"/>
        <v>0</v>
      </c>
      <c r="AH1600" s="177">
        <f t="shared" si="73"/>
        <v>0</v>
      </c>
    </row>
    <row r="1601" spans="23:34">
      <c r="W1601" s="177">
        <f t="shared" si="74"/>
        <v>0</v>
      </c>
      <c r="AB1601" s="178">
        <f t="shared" si="75"/>
        <v>0</v>
      </c>
      <c r="AH1601" s="177">
        <f t="shared" si="73"/>
        <v>0</v>
      </c>
    </row>
    <row r="1602" spans="23:34">
      <c r="W1602" s="177">
        <f t="shared" si="74"/>
        <v>0</v>
      </c>
      <c r="AB1602" s="178">
        <f t="shared" si="75"/>
        <v>0</v>
      </c>
      <c r="AH1602" s="177">
        <f t="shared" si="73"/>
        <v>0</v>
      </c>
    </row>
    <row r="1603" spans="23:34">
      <c r="W1603" s="177">
        <f t="shared" si="74"/>
        <v>0</v>
      </c>
      <c r="AB1603" s="178">
        <f t="shared" si="75"/>
        <v>0</v>
      </c>
      <c r="AH1603" s="177">
        <f t="shared" si="73"/>
        <v>0</v>
      </c>
    </row>
    <row r="1604" spans="23:34">
      <c r="W1604" s="177">
        <f t="shared" si="74"/>
        <v>0</v>
      </c>
      <c r="AB1604" s="178">
        <f t="shared" si="75"/>
        <v>0</v>
      </c>
      <c r="AH1604" s="177">
        <f t="shared" si="73"/>
        <v>0</v>
      </c>
    </row>
    <row r="1605" spans="23:34">
      <c r="W1605" s="177">
        <f t="shared" si="74"/>
        <v>0</v>
      </c>
      <c r="AB1605" s="178">
        <f t="shared" si="75"/>
        <v>0</v>
      </c>
      <c r="AH1605" s="177">
        <f t="shared" si="73"/>
        <v>0</v>
      </c>
    </row>
    <row r="1606" spans="23:34">
      <c r="W1606" s="177">
        <f t="shared" si="74"/>
        <v>0</v>
      </c>
      <c r="AB1606" s="178">
        <f t="shared" si="75"/>
        <v>0</v>
      </c>
      <c r="AH1606" s="177">
        <f t="shared" si="73"/>
        <v>0</v>
      </c>
    </row>
    <row r="1607" spans="23:34">
      <c r="W1607" s="177">
        <f t="shared" si="74"/>
        <v>0</v>
      </c>
      <c r="AB1607" s="178">
        <f t="shared" si="75"/>
        <v>0</v>
      </c>
      <c r="AH1607" s="177">
        <f t="shared" si="73"/>
        <v>0</v>
      </c>
    </row>
    <row r="1608" spans="23:34">
      <c r="W1608" s="177">
        <f t="shared" si="74"/>
        <v>0</v>
      </c>
      <c r="AB1608" s="178">
        <f t="shared" si="75"/>
        <v>0</v>
      </c>
      <c r="AH1608" s="177">
        <f t="shared" si="73"/>
        <v>0</v>
      </c>
    </row>
    <row r="1609" spans="23:34">
      <c r="W1609" s="177">
        <f t="shared" si="74"/>
        <v>0</v>
      </c>
      <c r="AB1609" s="178">
        <f t="shared" si="75"/>
        <v>0</v>
      </c>
      <c r="AH1609" s="177">
        <f t="shared" si="73"/>
        <v>0</v>
      </c>
    </row>
    <row r="1610" spans="23:34">
      <c r="W1610" s="177">
        <f t="shared" si="74"/>
        <v>0</v>
      </c>
      <c r="AB1610" s="178">
        <f t="shared" si="75"/>
        <v>0</v>
      </c>
      <c r="AH1610" s="177">
        <f t="shared" si="73"/>
        <v>0</v>
      </c>
    </row>
    <row r="1611" spans="23:34">
      <c r="W1611" s="177">
        <f t="shared" si="74"/>
        <v>0</v>
      </c>
      <c r="AB1611" s="178">
        <f t="shared" si="75"/>
        <v>0</v>
      </c>
      <c r="AH1611" s="177">
        <f t="shared" si="73"/>
        <v>0</v>
      </c>
    </row>
    <row r="1612" spans="23:34">
      <c r="W1612" s="177">
        <f t="shared" si="74"/>
        <v>0</v>
      </c>
      <c r="AB1612" s="178">
        <f t="shared" si="75"/>
        <v>0</v>
      </c>
      <c r="AH1612" s="177">
        <f t="shared" si="73"/>
        <v>0</v>
      </c>
    </row>
    <row r="1613" spans="23:34">
      <c r="W1613" s="177">
        <f t="shared" si="74"/>
        <v>0</v>
      </c>
      <c r="AB1613" s="178">
        <f t="shared" si="75"/>
        <v>0</v>
      </c>
      <c r="AH1613" s="177">
        <f t="shared" si="73"/>
        <v>0</v>
      </c>
    </row>
    <row r="1614" spans="23:34">
      <c r="W1614" s="177">
        <f t="shared" si="74"/>
        <v>0</v>
      </c>
      <c r="AB1614" s="178">
        <f t="shared" si="75"/>
        <v>0</v>
      </c>
      <c r="AH1614" s="177">
        <f t="shared" si="73"/>
        <v>0</v>
      </c>
    </row>
    <row r="1615" spans="23:34">
      <c r="W1615" s="177">
        <f t="shared" si="74"/>
        <v>0</v>
      </c>
      <c r="AB1615" s="178">
        <f t="shared" si="75"/>
        <v>0</v>
      </c>
      <c r="AH1615" s="177">
        <f t="shared" si="73"/>
        <v>0</v>
      </c>
    </row>
    <row r="1616" spans="23:34">
      <c r="W1616" s="177">
        <f t="shared" si="74"/>
        <v>0</v>
      </c>
      <c r="AB1616" s="178">
        <f t="shared" si="75"/>
        <v>0</v>
      </c>
      <c r="AH1616" s="177">
        <f t="shared" si="73"/>
        <v>0</v>
      </c>
    </row>
    <row r="1617" spans="23:34">
      <c r="W1617" s="177">
        <f t="shared" si="74"/>
        <v>0</v>
      </c>
      <c r="AB1617" s="178">
        <f t="shared" si="75"/>
        <v>0</v>
      </c>
      <c r="AH1617" s="177">
        <f t="shared" si="73"/>
        <v>0</v>
      </c>
    </row>
    <row r="1618" spans="23:34">
      <c r="W1618" s="177">
        <f t="shared" si="74"/>
        <v>0</v>
      </c>
      <c r="AB1618" s="178">
        <f t="shared" si="75"/>
        <v>0</v>
      </c>
      <c r="AH1618" s="177">
        <f t="shared" si="73"/>
        <v>0</v>
      </c>
    </row>
    <row r="1619" spans="23:34">
      <c r="W1619" s="177">
        <f t="shared" si="74"/>
        <v>0</v>
      </c>
      <c r="AB1619" s="178">
        <f t="shared" si="75"/>
        <v>0</v>
      </c>
      <c r="AH1619" s="177">
        <f t="shared" si="73"/>
        <v>0</v>
      </c>
    </row>
    <row r="1620" spans="23:34">
      <c r="W1620" s="177">
        <f t="shared" si="74"/>
        <v>0</v>
      </c>
      <c r="AB1620" s="178">
        <f t="shared" si="75"/>
        <v>0</v>
      </c>
      <c r="AH1620" s="177">
        <f t="shared" si="73"/>
        <v>0</v>
      </c>
    </row>
    <row r="1621" spans="23:34">
      <c r="W1621" s="177">
        <f t="shared" si="74"/>
        <v>0</v>
      </c>
      <c r="AB1621" s="178">
        <f t="shared" si="75"/>
        <v>0</v>
      </c>
      <c r="AH1621" s="177">
        <f t="shared" si="73"/>
        <v>0</v>
      </c>
    </row>
    <row r="1622" spans="23:34">
      <c r="W1622" s="177">
        <f t="shared" si="74"/>
        <v>0</v>
      </c>
      <c r="AB1622" s="178">
        <f t="shared" si="75"/>
        <v>0</v>
      </c>
      <c r="AH1622" s="177">
        <f t="shared" si="73"/>
        <v>0</v>
      </c>
    </row>
    <row r="1623" spans="23:34">
      <c r="W1623" s="177">
        <f t="shared" si="74"/>
        <v>0</v>
      </c>
      <c r="AB1623" s="178">
        <f t="shared" si="75"/>
        <v>0</v>
      </c>
      <c r="AH1623" s="177">
        <f t="shared" si="73"/>
        <v>0</v>
      </c>
    </row>
    <row r="1624" spans="23:34">
      <c r="W1624" s="177">
        <f t="shared" si="74"/>
        <v>0</v>
      </c>
      <c r="AB1624" s="178">
        <f t="shared" si="75"/>
        <v>0</v>
      </c>
      <c r="AH1624" s="177">
        <f t="shared" si="73"/>
        <v>0</v>
      </c>
    </row>
    <row r="1625" spans="23:34">
      <c r="W1625" s="177">
        <f t="shared" si="74"/>
        <v>0</v>
      </c>
      <c r="AB1625" s="178">
        <f t="shared" si="75"/>
        <v>0</v>
      </c>
      <c r="AH1625" s="177">
        <f t="shared" si="73"/>
        <v>0</v>
      </c>
    </row>
    <row r="1626" spans="23:34">
      <c r="W1626" s="177">
        <f t="shared" si="74"/>
        <v>0</v>
      </c>
      <c r="AB1626" s="178">
        <f t="shared" si="75"/>
        <v>0</v>
      </c>
      <c r="AH1626" s="177">
        <f t="shared" si="73"/>
        <v>0</v>
      </c>
    </row>
    <row r="1627" spans="23:34">
      <c r="W1627" s="177">
        <f t="shared" si="74"/>
        <v>0</v>
      </c>
      <c r="AB1627" s="178">
        <f t="shared" si="75"/>
        <v>0</v>
      </c>
      <c r="AH1627" s="177">
        <f t="shared" si="73"/>
        <v>0</v>
      </c>
    </row>
    <row r="1628" spans="23:34">
      <c r="W1628" s="177">
        <f t="shared" si="74"/>
        <v>0</v>
      </c>
      <c r="AB1628" s="178">
        <f t="shared" si="75"/>
        <v>0</v>
      </c>
      <c r="AH1628" s="177">
        <f t="shared" si="73"/>
        <v>0</v>
      </c>
    </row>
    <row r="1629" spans="23:34">
      <c r="W1629" s="177">
        <f t="shared" si="74"/>
        <v>0</v>
      </c>
      <c r="AB1629" s="178">
        <f t="shared" si="75"/>
        <v>0</v>
      </c>
      <c r="AH1629" s="177">
        <f t="shared" si="73"/>
        <v>0</v>
      </c>
    </row>
    <row r="1630" spans="23:34">
      <c r="W1630" s="177">
        <f t="shared" si="74"/>
        <v>0</v>
      </c>
      <c r="AB1630" s="178">
        <f t="shared" si="75"/>
        <v>0</v>
      </c>
      <c r="AH1630" s="177">
        <f t="shared" si="73"/>
        <v>0</v>
      </c>
    </row>
    <row r="1631" spans="23:34">
      <c r="W1631" s="177">
        <f t="shared" si="74"/>
        <v>0</v>
      </c>
      <c r="AB1631" s="178">
        <f t="shared" si="75"/>
        <v>0</v>
      </c>
      <c r="AH1631" s="177">
        <f t="shared" si="73"/>
        <v>0</v>
      </c>
    </row>
    <row r="1632" spans="23:34">
      <c r="W1632" s="177">
        <f t="shared" si="74"/>
        <v>0</v>
      </c>
      <c r="AB1632" s="178">
        <f t="shared" si="75"/>
        <v>0</v>
      </c>
      <c r="AH1632" s="177">
        <f t="shared" si="73"/>
        <v>0</v>
      </c>
    </row>
    <row r="1633" spans="23:34">
      <c r="W1633" s="177">
        <f t="shared" si="74"/>
        <v>0</v>
      </c>
      <c r="AB1633" s="178">
        <f t="shared" si="75"/>
        <v>0</v>
      </c>
      <c r="AH1633" s="177">
        <f t="shared" si="73"/>
        <v>0</v>
      </c>
    </row>
    <row r="1634" spans="23:34">
      <c r="W1634" s="177">
        <f t="shared" si="74"/>
        <v>0</v>
      </c>
      <c r="AB1634" s="178">
        <f t="shared" si="75"/>
        <v>0</v>
      </c>
      <c r="AH1634" s="177">
        <f t="shared" si="73"/>
        <v>0</v>
      </c>
    </row>
    <row r="1635" spans="23:34">
      <c r="W1635" s="177">
        <f t="shared" si="74"/>
        <v>0</v>
      </c>
      <c r="AB1635" s="178">
        <f t="shared" si="75"/>
        <v>0</v>
      </c>
      <c r="AH1635" s="177">
        <f t="shared" si="73"/>
        <v>0</v>
      </c>
    </row>
    <row r="1636" spans="23:34">
      <c r="W1636" s="177">
        <f t="shared" si="74"/>
        <v>0</v>
      </c>
      <c r="AB1636" s="178">
        <f t="shared" si="75"/>
        <v>0</v>
      </c>
      <c r="AH1636" s="177">
        <f t="shared" si="73"/>
        <v>0</v>
      </c>
    </row>
    <row r="1637" spans="23:34">
      <c r="W1637" s="177">
        <f t="shared" si="74"/>
        <v>0</v>
      </c>
      <c r="AB1637" s="178">
        <f t="shared" si="75"/>
        <v>0</v>
      </c>
      <c r="AH1637" s="177">
        <f t="shared" si="73"/>
        <v>0</v>
      </c>
    </row>
    <row r="1638" spans="23:34">
      <c r="W1638" s="177">
        <f t="shared" si="74"/>
        <v>0</v>
      </c>
      <c r="AB1638" s="178">
        <f t="shared" si="75"/>
        <v>0</v>
      </c>
      <c r="AH1638" s="177">
        <f t="shared" si="73"/>
        <v>0</v>
      </c>
    </row>
    <row r="1639" spans="23:34">
      <c r="W1639" s="177">
        <f t="shared" si="74"/>
        <v>0</v>
      </c>
      <c r="AB1639" s="178">
        <f t="shared" si="75"/>
        <v>0</v>
      </c>
      <c r="AH1639" s="177">
        <f t="shared" si="73"/>
        <v>0</v>
      </c>
    </row>
    <row r="1640" spans="23:34">
      <c r="W1640" s="177">
        <f t="shared" si="74"/>
        <v>0</v>
      </c>
      <c r="AB1640" s="178">
        <f t="shared" si="75"/>
        <v>0</v>
      </c>
      <c r="AH1640" s="177">
        <f t="shared" si="73"/>
        <v>0</v>
      </c>
    </row>
    <row r="1641" spans="23:34">
      <c r="W1641" s="177">
        <f t="shared" si="74"/>
        <v>0</v>
      </c>
      <c r="AB1641" s="178">
        <f t="shared" si="75"/>
        <v>0</v>
      </c>
      <c r="AH1641" s="177">
        <f t="shared" si="73"/>
        <v>0</v>
      </c>
    </row>
    <row r="1642" spans="23:34">
      <c r="W1642" s="177">
        <f t="shared" si="74"/>
        <v>0</v>
      </c>
      <c r="AB1642" s="178">
        <f t="shared" si="75"/>
        <v>0</v>
      </c>
      <c r="AH1642" s="177">
        <f t="shared" si="73"/>
        <v>0</v>
      </c>
    </row>
    <row r="1643" spans="23:34">
      <c r="W1643" s="177">
        <f t="shared" si="74"/>
        <v>0</v>
      </c>
      <c r="AB1643" s="178">
        <f t="shared" si="75"/>
        <v>0</v>
      </c>
      <c r="AH1643" s="177">
        <f t="shared" si="73"/>
        <v>0</v>
      </c>
    </row>
    <row r="1644" spans="23:34">
      <c r="W1644" s="177">
        <f t="shared" si="74"/>
        <v>0</v>
      </c>
      <c r="AB1644" s="178">
        <f t="shared" si="75"/>
        <v>0</v>
      </c>
      <c r="AH1644" s="177">
        <f t="shared" si="73"/>
        <v>0</v>
      </c>
    </row>
    <row r="1645" spans="23:34">
      <c r="W1645" s="177">
        <f t="shared" si="74"/>
        <v>0</v>
      </c>
      <c r="AB1645" s="178">
        <f t="shared" si="75"/>
        <v>0</v>
      </c>
      <c r="AH1645" s="177">
        <f t="shared" si="73"/>
        <v>0</v>
      </c>
    </row>
    <row r="1646" spans="23:34">
      <c r="W1646" s="177">
        <f t="shared" si="74"/>
        <v>0</v>
      </c>
      <c r="AB1646" s="178">
        <f t="shared" si="75"/>
        <v>0</v>
      </c>
      <c r="AH1646" s="177">
        <f t="shared" si="73"/>
        <v>0</v>
      </c>
    </row>
    <row r="1647" spans="23:34">
      <c r="W1647" s="177">
        <f t="shared" si="74"/>
        <v>0</v>
      </c>
      <c r="AB1647" s="178">
        <f t="shared" si="75"/>
        <v>0</v>
      </c>
      <c r="AH1647" s="177">
        <f t="shared" si="73"/>
        <v>0</v>
      </c>
    </row>
    <row r="1648" spans="23:34">
      <c r="W1648" s="177">
        <f t="shared" si="74"/>
        <v>0</v>
      </c>
      <c r="AB1648" s="178">
        <f t="shared" si="75"/>
        <v>0</v>
      </c>
      <c r="AH1648" s="177">
        <f t="shared" ref="AH1648:AH1711" si="76">SUM(AF1648:AG1648)</f>
        <v>0</v>
      </c>
    </row>
    <row r="1649" spans="23:34">
      <c r="W1649" s="177">
        <f t="shared" si="74"/>
        <v>0</v>
      </c>
      <c r="AB1649" s="178">
        <f t="shared" si="75"/>
        <v>0</v>
      </c>
      <c r="AH1649" s="177">
        <f t="shared" si="76"/>
        <v>0</v>
      </c>
    </row>
    <row r="1650" spans="23:34">
      <c r="W1650" s="177">
        <f t="shared" si="74"/>
        <v>0</v>
      </c>
      <c r="AB1650" s="178">
        <f t="shared" si="75"/>
        <v>0</v>
      </c>
      <c r="AH1650" s="177">
        <f t="shared" si="76"/>
        <v>0</v>
      </c>
    </row>
    <row r="1651" spans="23:34">
      <c r="W1651" s="177">
        <f t="shared" ref="W1651:W1714" si="77">SUM(Q1651:T1651)</f>
        <v>0</v>
      </c>
      <c r="AB1651" s="178">
        <f t="shared" si="75"/>
        <v>0</v>
      </c>
      <c r="AH1651" s="177">
        <f t="shared" si="76"/>
        <v>0</v>
      </c>
    </row>
    <row r="1652" spans="23:34">
      <c r="W1652" s="177">
        <f t="shared" si="77"/>
        <v>0</v>
      </c>
      <c r="AB1652" s="178">
        <f t="shared" si="75"/>
        <v>0</v>
      </c>
      <c r="AH1652" s="177">
        <f t="shared" si="76"/>
        <v>0</v>
      </c>
    </row>
    <row r="1653" spans="23:34">
      <c r="W1653" s="177">
        <f t="shared" si="77"/>
        <v>0</v>
      </c>
      <c r="AB1653" s="178">
        <f t="shared" si="75"/>
        <v>0</v>
      </c>
      <c r="AH1653" s="177">
        <f t="shared" si="76"/>
        <v>0</v>
      </c>
    </row>
    <row r="1654" spans="23:34">
      <c r="W1654" s="177">
        <f t="shared" si="77"/>
        <v>0</v>
      </c>
      <c r="AB1654" s="178">
        <f t="shared" si="75"/>
        <v>0</v>
      </c>
      <c r="AH1654" s="177">
        <f t="shared" si="76"/>
        <v>0</v>
      </c>
    </row>
    <row r="1655" spans="23:34">
      <c r="W1655" s="177">
        <f t="shared" si="77"/>
        <v>0</v>
      </c>
      <c r="AB1655" s="178">
        <f t="shared" si="75"/>
        <v>0</v>
      </c>
      <c r="AH1655" s="177">
        <f t="shared" si="76"/>
        <v>0</v>
      </c>
    </row>
    <row r="1656" spans="23:34">
      <c r="W1656" s="177">
        <f t="shared" si="77"/>
        <v>0</v>
      </c>
      <c r="AB1656" s="178">
        <f t="shared" si="75"/>
        <v>0</v>
      </c>
      <c r="AH1656" s="177">
        <f t="shared" si="76"/>
        <v>0</v>
      </c>
    </row>
    <row r="1657" spans="23:34">
      <c r="W1657" s="177">
        <f t="shared" si="77"/>
        <v>0</v>
      </c>
      <c r="AB1657" s="178">
        <f t="shared" si="75"/>
        <v>0</v>
      </c>
      <c r="AH1657" s="177">
        <f t="shared" si="76"/>
        <v>0</v>
      </c>
    </row>
    <row r="1658" spans="23:34">
      <c r="W1658" s="177">
        <f t="shared" si="77"/>
        <v>0</v>
      </c>
      <c r="AB1658" s="178">
        <f t="shared" si="75"/>
        <v>0</v>
      </c>
      <c r="AH1658" s="177">
        <f t="shared" si="76"/>
        <v>0</v>
      </c>
    </row>
    <row r="1659" spans="23:34">
      <c r="W1659" s="177">
        <f t="shared" si="77"/>
        <v>0</v>
      </c>
      <c r="AB1659" s="178">
        <f t="shared" ref="AB1659:AB1722" si="78">SUM(Z1659:AA1659)</f>
        <v>0</v>
      </c>
      <c r="AH1659" s="177">
        <f t="shared" si="76"/>
        <v>0</v>
      </c>
    </row>
    <row r="1660" spans="23:34">
      <c r="W1660" s="177">
        <f t="shared" si="77"/>
        <v>0</v>
      </c>
      <c r="AB1660" s="178">
        <f t="shared" si="78"/>
        <v>0</v>
      </c>
      <c r="AH1660" s="177">
        <f t="shared" si="76"/>
        <v>0</v>
      </c>
    </row>
    <row r="1661" spans="23:34">
      <c r="W1661" s="177">
        <f t="shared" si="77"/>
        <v>0</v>
      </c>
      <c r="AB1661" s="178">
        <f t="shared" si="78"/>
        <v>0</v>
      </c>
      <c r="AH1661" s="177">
        <f t="shared" si="76"/>
        <v>0</v>
      </c>
    </row>
    <row r="1662" spans="23:34">
      <c r="W1662" s="177">
        <f t="shared" si="77"/>
        <v>0</v>
      </c>
      <c r="AB1662" s="178">
        <f t="shared" si="78"/>
        <v>0</v>
      </c>
      <c r="AH1662" s="177">
        <f t="shared" si="76"/>
        <v>0</v>
      </c>
    </row>
    <row r="1663" spans="23:34">
      <c r="W1663" s="177">
        <f t="shared" si="77"/>
        <v>0</v>
      </c>
      <c r="AB1663" s="178">
        <f t="shared" si="78"/>
        <v>0</v>
      </c>
      <c r="AH1663" s="177">
        <f t="shared" si="76"/>
        <v>0</v>
      </c>
    </row>
    <row r="1664" spans="23:34">
      <c r="W1664" s="177">
        <f t="shared" si="77"/>
        <v>0</v>
      </c>
      <c r="AB1664" s="178">
        <f t="shared" si="78"/>
        <v>0</v>
      </c>
      <c r="AH1664" s="177">
        <f t="shared" si="76"/>
        <v>0</v>
      </c>
    </row>
    <row r="1665" spans="23:34">
      <c r="W1665" s="177">
        <f t="shared" si="77"/>
        <v>0</v>
      </c>
      <c r="AB1665" s="178">
        <f t="shared" si="78"/>
        <v>0</v>
      </c>
      <c r="AH1665" s="177">
        <f t="shared" si="76"/>
        <v>0</v>
      </c>
    </row>
    <row r="1666" spans="23:34">
      <c r="W1666" s="177">
        <f t="shared" si="77"/>
        <v>0</v>
      </c>
      <c r="AB1666" s="178">
        <f t="shared" si="78"/>
        <v>0</v>
      </c>
      <c r="AH1666" s="177">
        <f t="shared" si="76"/>
        <v>0</v>
      </c>
    </row>
    <row r="1667" spans="23:34">
      <c r="W1667" s="177">
        <f t="shared" si="77"/>
        <v>0</v>
      </c>
      <c r="AB1667" s="178">
        <f t="shared" si="78"/>
        <v>0</v>
      </c>
      <c r="AH1667" s="177">
        <f t="shared" si="76"/>
        <v>0</v>
      </c>
    </row>
    <row r="1668" spans="23:34">
      <c r="W1668" s="177">
        <f t="shared" si="77"/>
        <v>0</v>
      </c>
      <c r="AB1668" s="178">
        <f t="shared" si="78"/>
        <v>0</v>
      </c>
      <c r="AH1668" s="177">
        <f t="shared" si="76"/>
        <v>0</v>
      </c>
    </row>
    <row r="1669" spans="23:34">
      <c r="W1669" s="177">
        <f t="shared" si="77"/>
        <v>0</v>
      </c>
      <c r="AB1669" s="178">
        <f t="shared" si="78"/>
        <v>0</v>
      </c>
      <c r="AH1669" s="177">
        <f t="shared" si="76"/>
        <v>0</v>
      </c>
    </row>
    <row r="1670" spans="23:34">
      <c r="W1670" s="177">
        <f t="shared" si="77"/>
        <v>0</v>
      </c>
      <c r="AB1670" s="178">
        <f t="shared" si="78"/>
        <v>0</v>
      </c>
      <c r="AH1670" s="177">
        <f t="shared" si="76"/>
        <v>0</v>
      </c>
    </row>
    <row r="1671" spans="23:34">
      <c r="W1671" s="177">
        <f t="shared" si="77"/>
        <v>0</v>
      </c>
      <c r="AB1671" s="178">
        <f t="shared" si="78"/>
        <v>0</v>
      </c>
      <c r="AH1671" s="177">
        <f t="shared" si="76"/>
        <v>0</v>
      </c>
    </row>
    <row r="1672" spans="23:34">
      <c r="W1672" s="177">
        <f t="shared" si="77"/>
        <v>0</v>
      </c>
      <c r="AB1672" s="178">
        <f t="shared" si="78"/>
        <v>0</v>
      </c>
      <c r="AH1672" s="177">
        <f t="shared" si="76"/>
        <v>0</v>
      </c>
    </row>
    <row r="1673" spans="23:34">
      <c r="W1673" s="177">
        <f t="shared" si="77"/>
        <v>0</v>
      </c>
      <c r="AB1673" s="178">
        <f t="shared" si="78"/>
        <v>0</v>
      </c>
      <c r="AH1673" s="177">
        <f t="shared" si="76"/>
        <v>0</v>
      </c>
    </row>
    <row r="1674" spans="23:34">
      <c r="W1674" s="177">
        <f t="shared" si="77"/>
        <v>0</v>
      </c>
      <c r="AB1674" s="178">
        <f t="shared" si="78"/>
        <v>0</v>
      </c>
      <c r="AH1674" s="177">
        <f t="shared" si="76"/>
        <v>0</v>
      </c>
    </row>
    <row r="1675" spans="23:34">
      <c r="W1675" s="177">
        <f t="shared" si="77"/>
        <v>0</v>
      </c>
      <c r="AB1675" s="178">
        <f t="shared" si="78"/>
        <v>0</v>
      </c>
      <c r="AH1675" s="177">
        <f t="shared" si="76"/>
        <v>0</v>
      </c>
    </row>
    <row r="1676" spans="23:34">
      <c r="W1676" s="177">
        <f t="shared" si="77"/>
        <v>0</v>
      </c>
      <c r="AB1676" s="178">
        <f t="shared" si="78"/>
        <v>0</v>
      </c>
      <c r="AH1676" s="177">
        <f t="shared" si="76"/>
        <v>0</v>
      </c>
    </row>
    <row r="1677" spans="23:34">
      <c r="W1677" s="177">
        <f t="shared" si="77"/>
        <v>0</v>
      </c>
      <c r="AB1677" s="178">
        <f t="shared" si="78"/>
        <v>0</v>
      </c>
      <c r="AH1677" s="177">
        <f t="shared" si="76"/>
        <v>0</v>
      </c>
    </row>
    <row r="1678" spans="23:34">
      <c r="W1678" s="177">
        <f t="shared" si="77"/>
        <v>0</v>
      </c>
      <c r="AB1678" s="178">
        <f t="shared" si="78"/>
        <v>0</v>
      </c>
      <c r="AH1678" s="177">
        <f t="shared" si="76"/>
        <v>0</v>
      </c>
    </row>
    <row r="1679" spans="23:34">
      <c r="W1679" s="177">
        <f t="shared" si="77"/>
        <v>0</v>
      </c>
      <c r="AB1679" s="178">
        <f t="shared" si="78"/>
        <v>0</v>
      </c>
      <c r="AH1679" s="177">
        <f t="shared" si="76"/>
        <v>0</v>
      </c>
    </row>
    <row r="1680" spans="23:34">
      <c r="W1680" s="177">
        <f t="shared" si="77"/>
        <v>0</v>
      </c>
      <c r="AB1680" s="178">
        <f t="shared" si="78"/>
        <v>0</v>
      </c>
      <c r="AH1680" s="177">
        <f t="shared" si="76"/>
        <v>0</v>
      </c>
    </row>
    <row r="1681" spans="23:34">
      <c r="W1681" s="177">
        <f t="shared" si="77"/>
        <v>0</v>
      </c>
      <c r="AB1681" s="178">
        <f t="shared" si="78"/>
        <v>0</v>
      </c>
      <c r="AH1681" s="177">
        <f t="shared" si="76"/>
        <v>0</v>
      </c>
    </row>
    <row r="1682" spans="23:34">
      <c r="W1682" s="177">
        <f t="shared" si="77"/>
        <v>0</v>
      </c>
      <c r="AB1682" s="178">
        <f t="shared" si="78"/>
        <v>0</v>
      </c>
      <c r="AH1682" s="177">
        <f t="shared" si="76"/>
        <v>0</v>
      </c>
    </row>
    <row r="1683" spans="23:34">
      <c r="W1683" s="177">
        <f t="shared" si="77"/>
        <v>0</v>
      </c>
      <c r="AB1683" s="178">
        <f t="shared" si="78"/>
        <v>0</v>
      </c>
      <c r="AH1683" s="177">
        <f t="shared" si="76"/>
        <v>0</v>
      </c>
    </row>
    <row r="1684" spans="23:34">
      <c r="W1684" s="177">
        <f t="shared" si="77"/>
        <v>0</v>
      </c>
      <c r="AB1684" s="178">
        <f t="shared" si="78"/>
        <v>0</v>
      </c>
      <c r="AH1684" s="177">
        <f t="shared" si="76"/>
        <v>0</v>
      </c>
    </row>
    <row r="1685" spans="23:34">
      <c r="W1685" s="177">
        <f t="shared" si="77"/>
        <v>0</v>
      </c>
      <c r="AB1685" s="178">
        <f t="shared" si="78"/>
        <v>0</v>
      </c>
      <c r="AH1685" s="177">
        <f t="shared" si="76"/>
        <v>0</v>
      </c>
    </row>
    <row r="1686" spans="23:34">
      <c r="W1686" s="177">
        <f t="shared" si="77"/>
        <v>0</v>
      </c>
      <c r="AB1686" s="178">
        <f t="shared" si="78"/>
        <v>0</v>
      </c>
      <c r="AH1686" s="177">
        <f t="shared" si="76"/>
        <v>0</v>
      </c>
    </row>
    <row r="1687" spans="23:34">
      <c r="W1687" s="177">
        <f t="shared" si="77"/>
        <v>0</v>
      </c>
      <c r="AB1687" s="178">
        <f t="shared" si="78"/>
        <v>0</v>
      </c>
      <c r="AH1687" s="177">
        <f t="shared" si="76"/>
        <v>0</v>
      </c>
    </row>
    <row r="1688" spans="23:34">
      <c r="W1688" s="177">
        <f t="shared" si="77"/>
        <v>0</v>
      </c>
      <c r="AB1688" s="178">
        <f t="shared" si="78"/>
        <v>0</v>
      </c>
      <c r="AH1688" s="177">
        <f t="shared" si="76"/>
        <v>0</v>
      </c>
    </row>
    <row r="1689" spans="23:34">
      <c r="W1689" s="177">
        <f t="shared" si="77"/>
        <v>0</v>
      </c>
      <c r="AB1689" s="178">
        <f t="shared" si="78"/>
        <v>0</v>
      </c>
      <c r="AH1689" s="177">
        <f t="shared" si="76"/>
        <v>0</v>
      </c>
    </row>
    <row r="1690" spans="23:34">
      <c r="W1690" s="177">
        <f t="shared" si="77"/>
        <v>0</v>
      </c>
      <c r="AB1690" s="178">
        <f t="shared" si="78"/>
        <v>0</v>
      </c>
      <c r="AH1690" s="177">
        <f t="shared" si="76"/>
        <v>0</v>
      </c>
    </row>
    <row r="1691" spans="23:34">
      <c r="W1691" s="177">
        <f t="shared" si="77"/>
        <v>0</v>
      </c>
      <c r="AB1691" s="178">
        <f t="shared" si="78"/>
        <v>0</v>
      </c>
      <c r="AH1691" s="177">
        <f t="shared" si="76"/>
        <v>0</v>
      </c>
    </row>
    <row r="1692" spans="23:34">
      <c r="W1692" s="177">
        <f t="shared" si="77"/>
        <v>0</v>
      </c>
      <c r="AB1692" s="178">
        <f t="shared" si="78"/>
        <v>0</v>
      </c>
      <c r="AH1692" s="177">
        <f t="shared" si="76"/>
        <v>0</v>
      </c>
    </row>
    <row r="1693" spans="23:34">
      <c r="W1693" s="177">
        <f t="shared" si="77"/>
        <v>0</v>
      </c>
      <c r="AB1693" s="178">
        <f t="shared" si="78"/>
        <v>0</v>
      </c>
      <c r="AH1693" s="177">
        <f t="shared" si="76"/>
        <v>0</v>
      </c>
    </row>
    <row r="1694" spans="23:34">
      <c r="W1694" s="177">
        <f t="shared" si="77"/>
        <v>0</v>
      </c>
      <c r="AB1694" s="178">
        <f t="shared" si="78"/>
        <v>0</v>
      </c>
      <c r="AH1694" s="177">
        <f t="shared" si="76"/>
        <v>0</v>
      </c>
    </row>
    <row r="1695" spans="23:34">
      <c r="W1695" s="177">
        <f t="shared" si="77"/>
        <v>0</v>
      </c>
      <c r="AB1695" s="178">
        <f t="shared" si="78"/>
        <v>0</v>
      </c>
      <c r="AH1695" s="177">
        <f t="shared" si="76"/>
        <v>0</v>
      </c>
    </row>
    <row r="1696" spans="23:34">
      <c r="W1696" s="177">
        <f t="shared" si="77"/>
        <v>0</v>
      </c>
      <c r="AB1696" s="178">
        <f t="shared" si="78"/>
        <v>0</v>
      </c>
      <c r="AH1696" s="177">
        <f t="shared" si="76"/>
        <v>0</v>
      </c>
    </row>
    <row r="1697" spans="23:34">
      <c r="W1697" s="177">
        <f t="shared" si="77"/>
        <v>0</v>
      </c>
      <c r="AB1697" s="178">
        <f t="shared" si="78"/>
        <v>0</v>
      </c>
      <c r="AH1697" s="177">
        <f t="shared" si="76"/>
        <v>0</v>
      </c>
    </row>
    <row r="1698" spans="23:34">
      <c r="W1698" s="177">
        <f t="shared" si="77"/>
        <v>0</v>
      </c>
      <c r="AB1698" s="178">
        <f t="shared" si="78"/>
        <v>0</v>
      </c>
      <c r="AH1698" s="177">
        <f t="shared" si="76"/>
        <v>0</v>
      </c>
    </row>
    <row r="1699" spans="23:34">
      <c r="W1699" s="177">
        <f t="shared" si="77"/>
        <v>0</v>
      </c>
      <c r="AB1699" s="178">
        <f t="shared" si="78"/>
        <v>0</v>
      </c>
      <c r="AH1699" s="177">
        <f t="shared" si="76"/>
        <v>0</v>
      </c>
    </row>
    <row r="1700" spans="23:34">
      <c r="W1700" s="177">
        <f t="shared" si="77"/>
        <v>0</v>
      </c>
      <c r="AB1700" s="178">
        <f t="shared" si="78"/>
        <v>0</v>
      </c>
      <c r="AH1700" s="177">
        <f t="shared" si="76"/>
        <v>0</v>
      </c>
    </row>
    <row r="1701" spans="23:34">
      <c r="W1701" s="177">
        <f t="shared" si="77"/>
        <v>0</v>
      </c>
      <c r="AB1701" s="178">
        <f t="shared" si="78"/>
        <v>0</v>
      </c>
      <c r="AH1701" s="177">
        <f t="shared" si="76"/>
        <v>0</v>
      </c>
    </row>
    <row r="1702" spans="23:34">
      <c r="W1702" s="177">
        <f t="shared" si="77"/>
        <v>0</v>
      </c>
      <c r="AB1702" s="178">
        <f t="shared" si="78"/>
        <v>0</v>
      </c>
      <c r="AH1702" s="177">
        <f t="shared" si="76"/>
        <v>0</v>
      </c>
    </row>
    <row r="1703" spans="23:34">
      <c r="W1703" s="177">
        <f t="shared" si="77"/>
        <v>0</v>
      </c>
      <c r="AB1703" s="178">
        <f t="shared" si="78"/>
        <v>0</v>
      </c>
      <c r="AH1703" s="177">
        <f t="shared" si="76"/>
        <v>0</v>
      </c>
    </row>
    <row r="1704" spans="23:34">
      <c r="W1704" s="177">
        <f t="shared" si="77"/>
        <v>0</v>
      </c>
      <c r="AB1704" s="178">
        <f t="shared" si="78"/>
        <v>0</v>
      </c>
      <c r="AH1704" s="177">
        <f t="shared" si="76"/>
        <v>0</v>
      </c>
    </row>
    <row r="1705" spans="23:34">
      <c r="W1705" s="177">
        <f t="shared" si="77"/>
        <v>0</v>
      </c>
      <c r="AB1705" s="178">
        <f t="shared" si="78"/>
        <v>0</v>
      </c>
      <c r="AH1705" s="177">
        <f t="shared" si="76"/>
        <v>0</v>
      </c>
    </row>
    <row r="1706" spans="23:34">
      <c r="W1706" s="177">
        <f t="shared" si="77"/>
        <v>0</v>
      </c>
      <c r="AB1706" s="178">
        <f t="shared" si="78"/>
        <v>0</v>
      </c>
      <c r="AH1706" s="177">
        <f t="shared" si="76"/>
        <v>0</v>
      </c>
    </row>
    <row r="1707" spans="23:34">
      <c r="W1707" s="177">
        <f t="shared" si="77"/>
        <v>0</v>
      </c>
      <c r="AB1707" s="178">
        <f t="shared" si="78"/>
        <v>0</v>
      </c>
      <c r="AH1707" s="177">
        <f t="shared" si="76"/>
        <v>0</v>
      </c>
    </row>
    <row r="1708" spans="23:34">
      <c r="W1708" s="177">
        <f t="shared" si="77"/>
        <v>0</v>
      </c>
      <c r="AB1708" s="178">
        <f t="shared" si="78"/>
        <v>0</v>
      </c>
      <c r="AH1708" s="177">
        <f t="shared" si="76"/>
        <v>0</v>
      </c>
    </row>
    <row r="1709" spans="23:34">
      <c r="W1709" s="177">
        <f t="shared" si="77"/>
        <v>0</v>
      </c>
      <c r="AB1709" s="178">
        <f t="shared" si="78"/>
        <v>0</v>
      </c>
      <c r="AH1709" s="177">
        <f t="shared" si="76"/>
        <v>0</v>
      </c>
    </row>
    <row r="1710" spans="23:34">
      <c r="W1710" s="177">
        <f t="shared" si="77"/>
        <v>0</v>
      </c>
      <c r="AB1710" s="178">
        <f t="shared" si="78"/>
        <v>0</v>
      </c>
      <c r="AH1710" s="177">
        <f t="shared" si="76"/>
        <v>0</v>
      </c>
    </row>
    <row r="1711" spans="23:34">
      <c r="W1711" s="177">
        <f t="shared" si="77"/>
        <v>0</v>
      </c>
      <c r="AB1711" s="178">
        <f t="shared" si="78"/>
        <v>0</v>
      </c>
      <c r="AH1711" s="177">
        <f t="shared" si="76"/>
        <v>0</v>
      </c>
    </row>
    <row r="1712" spans="23:34">
      <c r="W1712" s="177">
        <f t="shared" si="77"/>
        <v>0</v>
      </c>
      <c r="AB1712" s="178">
        <f t="shared" si="78"/>
        <v>0</v>
      </c>
      <c r="AH1712" s="177">
        <f t="shared" ref="AH1712:AH1775" si="79">SUM(AF1712:AG1712)</f>
        <v>0</v>
      </c>
    </row>
    <row r="1713" spans="23:34">
      <c r="W1713" s="177">
        <f t="shared" si="77"/>
        <v>0</v>
      </c>
      <c r="AB1713" s="178">
        <f t="shared" si="78"/>
        <v>0</v>
      </c>
      <c r="AH1713" s="177">
        <f t="shared" si="79"/>
        <v>0</v>
      </c>
    </row>
    <row r="1714" spans="23:34">
      <c r="W1714" s="177">
        <f t="shared" si="77"/>
        <v>0</v>
      </c>
      <c r="AB1714" s="178">
        <f t="shared" si="78"/>
        <v>0</v>
      </c>
      <c r="AH1714" s="177">
        <f t="shared" si="79"/>
        <v>0</v>
      </c>
    </row>
    <row r="1715" spans="23:34">
      <c r="W1715" s="177">
        <f t="shared" ref="W1715:W1778" si="80">SUM(Q1715:T1715)</f>
        <v>0</v>
      </c>
      <c r="AB1715" s="178">
        <f t="shared" si="78"/>
        <v>0</v>
      </c>
      <c r="AH1715" s="177">
        <f t="shared" si="79"/>
        <v>0</v>
      </c>
    </row>
    <row r="1716" spans="23:34">
      <c r="W1716" s="177">
        <f t="shared" si="80"/>
        <v>0</v>
      </c>
      <c r="AB1716" s="178">
        <f t="shared" si="78"/>
        <v>0</v>
      </c>
      <c r="AH1716" s="177">
        <f t="shared" si="79"/>
        <v>0</v>
      </c>
    </row>
    <row r="1717" spans="23:34">
      <c r="W1717" s="177">
        <f t="shared" si="80"/>
        <v>0</v>
      </c>
      <c r="AB1717" s="178">
        <f t="shared" si="78"/>
        <v>0</v>
      </c>
      <c r="AH1717" s="177">
        <f t="shared" si="79"/>
        <v>0</v>
      </c>
    </row>
    <row r="1718" spans="23:34">
      <c r="W1718" s="177">
        <f t="shared" si="80"/>
        <v>0</v>
      </c>
      <c r="AB1718" s="178">
        <f t="shared" si="78"/>
        <v>0</v>
      </c>
      <c r="AH1718" s="177">
        <f t="shared" si="79"/>
        <v>0</v>
      </c>
    </row>
    <row r="1719" spans="23:34">
      <c r="W1719" s="177">
        <f t="shared" si="80"/>
        <v>0</v>
      </c>
      <c r="AB1719" s="178">
        <f t="shared" si="78"/>
        <v>0</v>
      </c>
      <c r="AH1719" s="177">
        <f t="shared" si="79"/>
        <v>0</v>
      </c>
    </row>
    <row r="1720" spans="23:34">
      <c r="W1720" s="177">
        <f t="shared" si="80"/>
        <v>0</v>
      </c>
      <c r="AB1720" s="178">
        <f t="shared" si="78"/>
        <v>0</v>
      </c>
      <c r="AH1720" s="177">
        <f t="shared" si="79"/>
        <v>0</v>
      </c>
    </row>
    <row r="1721" spans="23:34">
      <c r="W1721" s="177">
        <f t="shared" si="80"/>
        <v>0</v>
      </c>
      <c r="AB1721" s="178">
        <f t="shared" si="78"/>
        <v>0</v>
      </c>
      <c r="AH1721" s="177">
        <f t="shared" si="79"/>
        <v>0</v>
      </c>
    </row>
    <row r="1722" spans="23:34">
      <c r="W1722" s="177">
        <f t="shared" si="80"/>
        <v>0</v>
      </c>
      <c r="AB1722" s="178">
        <f t="shared" si="78"/>
        <v>0</v>
      </c>
      <c r="AH1722" s="177">
        <f t="shared" si="79"/>
        <v>0</v>
      </c>
    </row>
    <row r="1723" spans="23:34">
      <c r="W1723" s="177">
        <f t="shared" si="80"/>
        <v>0</v>
      </c>
      <c r="AB1723" s="178">
        <f t="shared" ref="AB1723:AB1786" si="81">SUM(Z1723:AA1723)</f>
        <v>0</v>
      </c>
      <c r="AH1723" s="177">
        <f t="shared" si="79"/>
        <v>0</v>
      </c>
    </row>
    <row r="1724" spans="23:34">
      <c r="W1724" s="177">
        <f t="shared" si="80"/>
        <v>0</v>
      </c>
      <c r="AB1724" s="178">
        <f t="shared" si="81"/>
        <v>0</v>
      </c>
      <c r="AH1724" s="177">
        <f t="shared" si="79"/>
        <v>0</v>
      </c>
    </row>
    <row r="1725" spans="23:34">
      <c r="W1725" s="177">
        <f t="shared" si="80"/>
        <v>0</v>
      </c>
      <c r="AB1725" s="178">
        <f t="shared" si="81"/>
        <v>0</v>
      </c>
      <c r="AH1725" s="177">
        <f t="shared" si="79"/>
        <v>0</v>
      </c>
    </row>
    <row r="1726" spans="23:34">
      <c r="W1726" s="177">
        <f t="shared" si="80"/>
        <v>0</v>
      </c>
      <c r="AB1726" s="178">
        <f t="shared" si="81"/>
        <v>0</v>
      </c>
      <c r="AH1726" s="177">
        <f t="shared" si="79"/>
        <v>0</v>
      </c>
    </row>
    <row r="1727" spans="23:34">
      <c r="W1727" s="177">
        <f t="shared" si="80"/>
        <v>0</v>
      </c>
      <c r="AB1727" s="178">
        <f t="shared" si="81"/>
        <v>0</v>
      </c>
      <c r="AH1727" s="177">
        <f t="shared" si="79"/>
        <v>0</v>
      </c>
    </row>
    <row r="1728" spans="23:34">
      <c r="W1728" s="177">
        <f t="shared" si="80"/>
        <v>0</v>
      </c>
      <c r="AB1728" s="178">
        <f t="shared" si="81"/>
        <v>0</v>
      </c>
      <c r="AH1728" s="177">
        <f t="shared" si="79"/>
        <v>0</v>
      </c>
    </row>
    <row r="1729" spans="23:34">
      <c r="W1729" s="177">
        <f t="shared" si="80"/>
        <v>0</v>
      </c>
      <c r="AB1729" s="178">
        <f t="shared" si="81"/>
        <v>0</v>
      </c>
      <c r="AH1729" s="177">
        <f t="shared" si="79"/>
        <v>0</v>
      </c>
    </row>
    <row r="1730" spans="23:34">
      <c r="W1730" s="177">
        <f t="shared" si="80"/>
        <v>0</v>
      </c>
      <c r="AB1730" s="178">
        <f t="shared" si="81"/>
        <v>0</v>
      </c>
      <c r="AH1730" s="177">
        <f t="shared" si="79"/>
        <v>0</v>
      </c>
    </row>
    <row r="1731" spans="23:34">
      <c r="W1731" s="177">
        <f t="shared" si="80"/>
        <v>0</v>
      </c>
      <c r="AB1731" s="178">
        <f t="shared" si="81"/>
        <v>0</v>
      </c>
      <c r="AH1731" s="177">
        <f t="shared" si="79"/>
        <v>0</v>
      </c>
    </row>
    <row r="1732" spans="23:34">
      <c r="W1732" s="177">
        <f t="shared" si="80"/>
        <v>0</v>
      </c>
      <c r="AB1732" s="178">
        <f t="shared" si="81"/>
        <v>0</v>
      </c>
      <c r="AH1732" s="177">
        <f t="shared" si="79"/>
        <v>0</v>
      </c>
    </row>
    <row r="1733" spans="23:34">
      <c r="W1733" s="177">
        <f t="shared" si="80"/>
        <v>0</v>
      </c>
      <c r="AB1733" s="178">
        <f t="shared" si="81"/>
        <v>0</v>
      </c>
      <c r="AH1733" s="177">
        <f t="shared" si="79"/>
        <v>0</v>
      </c>
    </row>
    <row r="1734" spans="23:34">
      <c r="W1734" s="177">
        <f t="shared" si="80"/>
        <v>0</v>
      </c>
      <c r="AB1734" s="178">
        <f t="shared" si="81"/>
        <v>0</v>
      </c>
      <c r="AH1734" s="177">
        <f t="shared" si="79"/>
        <v>0</v>
      </c>
    </row>
    <row r="1735" spans="23:34">
      <c r="W1735" s="177">
        <f t="shared" si="80"/>
        <v>0</v>
      </c>
      <c r="AB1735" s="178">
        <f t="shared" si="81"/>
        <v>0</v>
      </c>
      <c r="AH1735" s="177">
        <f t="shared" si="79"/>
        <v>0</v>
      </c>
    </row>
    <row r="1736" spans="23:34">
      <c r="W1736" s="177">
        <f t="shared" si="80"/>
        <v>0</v>
      </c>
      <c r="AB1736" s="178">
        <f t="shared" si="81"/>
        <v>0</v>
      </c>
      <c r="AH1736" s="177">
        <f t="shared" si="79"/>
        <v>0</v>
      </c>
    </row>
    <row r="1737" spans="23:34">
      <c r="W1737" s="177">
        <f t="shared" si="80"/>
        <v>0</v>
      </c>
      <c r="AB1737" s="178">
        <f t="shared" si="81"/>
        <v>0</v>
      </c>
      <c r="AH1737" s="177">
        <f t="shared" si="79"/>
        <v>0</v>
      </c>
    </row>
    <row r="1738" spans="23:34">
      <c r="W1738" s="177">
        <f t="shared" si="80"/>
        <v>0</v>
      </c>
      <c r="AB1738" s="178">
        <f t="shared" si="81"/>
        <v>0</v>
      </c>
      <c r="AH1738" s="177">
        <f t="shared" si="79"/>
        <v>0</v>
      </c>
    </row>
    <row r="1739" spans="23:34">
      <c r="W1739" s="177">
        <f t="shared" si="80"/>
        <v>0</v>
      </c>
      <c r="AB1739" s="178">
        <f t="shared" si="81"/>
        <v>0</v>
      </c>
      <c r="AH1739" s="177">
        <f t="shared" si="79"/>
        <v>0</v>
      </c>
    </row>
    <row r="1740" spans="23:34">
      <c r="W1740" s="177">
        <f t="shared" si="80"/>
        <v>0</v>
      </c>
      <c r="AB1740" s="178">
        <f t="shared" si="81"/>
        <v>0</v>
      </c>
      <c r="AH1740" s="177">
        <f t="shared" si="79"/>
        <v>0</v>
      </c>
    </row>
    <row r="1741" spans="23:34">
      <c r="W1741" s="177">
        <f t="shared" si="80"/>
        <v>0</v>
      </c>
      <c r="AB1741" s="178">
        <f t="shared" si="81"/>
        <v>0</v>
      </c>
      <c r="AH1741" s="177">
        <f t="shared" si="79"/>
        <v>0</v>
      </c>
    </row>
    <row r="1742" spans="23:34">
      <c r="W1742" s="177">
        <f t="shared" si="80"/>
        <v>0</v>
      </c>
      <c r="AB1742" s="178">
        <f t="shared" si="81"/>
        <v>0</v>
      </c>
      <c r="AH1742" s="177">
        <f t="shared" si="79"/>
        <v>0</v>
      </c>
    </row>
    <row r="1743" spans="23:34">
      <c r="W1743" s="177">
        <f t="shared" si="80"/>
        <v>0</v>
      </c>
      <c r="AB1743" s="178">
        <f t="shared" si="81"/>
        <v>0</v>
      </c>
      <c r="AH1743" s="177">
        <f t="shared" si="79"/>
        <v>0</v>
      </c>
    </row>
    <row r="1744" spans="23:34">
      <c r="W1744" s="177">
        <f t="shared" si="80"/>
        <v>0</v>
      </c>
      <c r="AB1744" s="178">
        <f t="shared" si="81"/>
        <v>0</v>
      </c>
      <c r="AH1744" s="177">
        <f t="shared" si="79"/>
        <v>0</v>
      </c>
    </row>
    <row r="1745" spans="23:34">
      <c r="W1745" s="177">
        <f t="shared" si="80"/>
        <v>0</v>
      </c>
      <c r="AB1745" s="178">
        <f t="shared" si="81"/>
        <v>0</v>
      </c>
      <c r="AH1745" s="177">
        <f t="shared" si="79"/>
        <v>0</v>
      </c>
    </row>
    <row r="1746" spans="23:34">
      <c r="W1746" s="177">
        <f t="shared" si="80"/>
        <v>0</v>
      </c>
      <c r="AB1746" s="178">
        <f t="shared" si="81"/>
        <v>0</v>
      </c>
      <c r="AH1746" s="177">
        <f t="shared" si="79"/>
        <v>0</v>
      </c>
    </row>
    <row r="1747" spans="23:34">
      <c r="W1747" s="177">
        <f t="shared" si="80"/>
        <v>0</v>
      </c>
      <c r="AB1747" s="178">
        <f t="shared" si="81"/>
        <v>0</v>
      </c>
      <c r="AH1747" s="177">
        <f t="shared" si="79"/>
        <v>0</v>
      </c>
    </row>
    <row r="1748" spans="23:34">
      <c r="W1748" s="177">
        <f t="shared" si="80"/>
        <v>0</v>
      </c>
      <c r="AB1748" s="178">
        <f t="shared" si="81"/>
        <v>0</v>
      </c>
      <c r="AH1748" s="177">
        <f t="shared" si="79"/>
        <v>0</v>
      </c>
    </row>
    <row r="1749" spans="23:34">
      <c r="W1749" s="177">
        <f t="shared" si="80"/>
        <v>0</v>
      </c>
      <c r="AB1749" s="178">
        <f t="shared" si="81"/>
        <v>0</v>
      </c>
      <c r="AH1749" s="177">
        <f t="shared" si="79"/>
        <v>0</v>
      </c>
    </row>
    <row r="1750" spans="23:34">
      <c r="W1750" s="177">
        <f t="shared" si="80"/>
        <v>0</v>
      </c>
      <c r="AB1750" s="178">
        <f t="shared" si="81"/>
        <v>0</v>
      </c>
      <c r="AH1750" s="177">
        <f t="shared" si="79"/>
        <v>0</v>
      </c>
    </row>
    <row r="1751" spans="23:34">
      <c r="W1751" s="177">
        <f t="shared" si="80"/>
        <v>0</v>
      </c>
      <c r="AB1751" s="178">
        <f t="shared" si="81"/>
        <v>0</v>
      </c>
      <c r="AH1751" s="177">
        <f t="shared" si="79"/>
        <v>0</v>
      </c>
    </row>
    <row r="1752" spans="23:34">
      <c r="W1752" s="177">
        <f t="shared" si="80"/>
        <v>0</v>
      </c>
      <c r="AB1752" s="178">
        <f t="shared" si="81"/>
        <v>0</v>
      </c>
      <c r="AH1752" s="177">
        <f t="shared" si="79"/>
        <v>0</v>
      </c>
    </row>
    <row r="1753" spans="23:34">
      <c r="W1753" s="177">
        <f t="shared" si="80"/>
        <v>0</v>
      </c>
      <c r="AB1753" s="178">
        <f t="shared" si="81"/>
        <v>0</v>
      </c>
      <c r="AH1753" s="177">
        <f t="shared" si="79"/>
        <v>0</v>
      </c>
    </row>
    <row r="1754" spans="23:34">
      <c r="W1754" s="177">
        <f t="shared" si="80"/>
        <v>0</v>
      </c>
      <c r="AB1754" s="178">
        <f t="shared" si="81"/>
        <v>0</v>
      </c>
      <c r="AH1754" s="177">
        <f t="shared" si="79"/>
        <v>0</v>
      </c>
    </row>
    <row r="1755" spans="23:34">
      <c r="W1755" s="177">
        <f t="shared" si="80"/>
        <v>0</v>
      </c>
      <c r="AB1755" s="178">
        <f t="shared" si="81"/>
        <v>0</v>
      </c>
      <c r="AH1755" s="177">
        <f t="shared" si="79"/>
        <v>0</v>
      </c>
    </row>
    <row r="1756" spans="23:34">
      <c r="W1756" s="177">
        <f t="shared" si="80"/>
        <v>0</v>
      </c>
      <c r="AB1756" s="178">
        <f t="shared" si="81"/>
        <v>0</v>
      </c>
      <c r="AH1756" s="177">
        <f t="shared" si="79"/>
        <v>0</v>
      </c>
    </row>
    <row r="1757" spans="23:34">
      <c r="W1757" s="177">
        <f t="shared" si="80"/>
        <v>0</v>
      </c>
      <c r="AB1757" s="178">
        <f t="shared" si="81"/>
        <v>0</v>
      </c>
      <c r="AH1757" s="177">
        <f t="shared" si="79"/>
        <v>0</v>
      </c>
    </row>
    <row r="1758" spans="23:34">
      <c r="W1758" s="177">
        <f t="shared" si="80"/>
        <v>0</v>
      </c>
      <c r="AB1758" s="178">
        <f t="shared" si="81"/>
        <v>0</v>
      </c>
      <c r="AH1758" s="177">
        <f t="shared" si="79"/>
        <v>0</v>
      </c>
    </row>
    <row r="1759" spans="23:34">
      <c r="W1759" s="177">
        <f t="shared" si="80"/>
        <v>0</v>
      </c>
      <c r="AB1759" s="178">
        <f t="shared" si="81"/>
        <v>0</v>
      </c>
      <c r="AH1759" s="177">
        <f t="shared" si="79"/>
        <v>0</v>
      </c>
    </row>
    <row r="1760" spans="23:34">
      <c r="W1760" s="177">
        <f t="shared" si="80"/>
        <v>0</v>
      </c>
      <c r="AB1760" s="178">
        <f t="shared" si="81"/>
        <v>0</v>
      </c>
      <c r="AH1760" s="177">
        <f t="shared" si="79"/>
        <v>0</v>
      </c>
    </row>
    <row r="1761" spans="23:34">
      <c r="W1761" s="177">
        <f t="shared" si="80"/>
        <v>0</v>
      </c>
      <c r="AB1761" s="178">
        <f t="shared" si="81"/>
        <v>0</v>
      </c>
      <c r="AH1761" s="177">
        <f t="shared" si="79"/>
        <v>0</v>
      </c>
    </row>
    <row r="1762" spans="23:34">
      <c r="W1762" s="177">
        <f t="shared" si="80"/>
        <v>0</v>
      </c>
      <c r="AB1762" s="178">
        <f t="shared" si="81"/>
        <v>0</v>
      </c>
      <c r="AH1762" s="177">
        <f t="shared" si="79"/>
        <v>0</v>
      </c>
    </row>
    <row r="1763" spans="23:34">
      <c r="W1763" s="177">
        <f t="shared" si="80"/>
        <v>0</v>
      </c>
      <c r="AB1763" s="178">
        <f t="shared" si="81"/>
        <v>0</v>
      </c>
      <c r="AH1763" s="177">
        <f t="shared" si="79"/>
        <v>0</v>
      </c>
    </row>
    <row r="1764" spans="23:34">
      <c r="W1764" s="177">
        <f t="shared" si="80"/>
        <v>0</v>
      </c>
      <c r="AB1764" s="178">
        <f t="shared" si="81"/>
        <v>0</v>
      </c>
      <c r="AH1764" s="177">
        <f t="shared" si="79"/>
        <v>0</v>
      </c>
    </row>
    <row r="1765" spans="23:34">
      <c r="W1765" s="177">
        <f t="shared" si="80"/>
        <v>0</v>
      </c>
      <c r="AB1765" s="178">
        <f t="shared" si="81"/>
        <v>0</v>
      </c>
      <c r="AH1765" s="177">
        <f t="shared" si="79"/>
        <v>0</v>
      </c>
    </row>
    <row r="1766" spans="23:34">
      <c r="W1766" s="177">
        <f t="shared" si="80"/>
        <v>0</v>
      </c>
      <c r="AB1766" s="178">
        <f t="shared" si="81"/>
        <v>0</v>
      </c>
      <c r="AH1766" s="177">
        <f t="shared" si="79"/>
        <v>0</v>
      </c>
    </row>
    <row r="1767" spans="23:34">
      <c r="W1767" s="177">
        <f t="shared" si="80"/>
        <v>0</v>
      </c>
      <c r="AB1767" s="178">
        <f t="shared" si="81"/>
        <v>0</v>
      </c>
      <c r="AH1767" s="177">
        <f t="shared" si="79"/>
        <v>0</v>
      </c>
    </row>
    <row r="1768" spans="23:34">
      <c r="W1768" s="177">
        <f t="shared" si="80"/>
        <v>0</v>
      </c>
      <c r="AB1768" s="178">
        <f t="shared" si="81"/>
        <v>0</v>
      </c>
      <c r="AH1768" s="177">
        <f t="shared" si="79"/>
        <v>0</v>
      </c>
    </row>
    <row r="1769" spans="23:34">
      <c r="W1769" s="177">
        <f t="shared" si="80"/>
        <v>0</v>
      </c>
      <c r="AB1769" s="178">
        <f t="shared" si="81"/>
        <v>0</v>
      </c>
      <c r="AH1769" s="177">
        <f t="shared" si="79"/>
        <v>0</v>
      </c>
    </row>
    <row r="1770" spans="23:34">
      <c r="W1770" s="177">
        <f t="shared" si="80"/>
        <v>0</v>
      </c>
      <c r="AB1770" s="178">
        <f t="shared" si="81"/>
        <v>0</v>
      </c>
      <c r="AH1770" s="177">
        <f t="shared" si="79"/>
        <v>0</v>
      </c>
    </row>
    <row r="1771" spans="23:34">
      <c r="W1771" s="177">
        <f t="shared" si="80"/>
        <v>0</v>
      </c>
      <c r="AB1771" s="178">
        <f t="shared" si="81"/>
        <v>0</v>
      </c>
      <c r="AH1771" s="177">
        <f t="shared" si="79"/>
        <v>0</v>
      </c>
    </row>
    <row r="1772" spans="23:34">
      <c r="W1772" s="177">
        <f t="shared" si="80"/>
        <v>0</v>
      </c>
      <c r="AB1772" s="178">
        <f t="shared" si="81"/>
        <v>0</v>
      </c>
      <c r="AH1772" s="177">
        <f t="shared" si="79"/>
        <v>0</v>
      </c>
    </row>
    <row r="1773" spans="23:34">
      <c r="W1773" s="177">
        <f t="shared" si="80"/>
        <v>0</v>
      </c>
      <c r="AB1773" s="178">
        <f t="shared" si="81"/>
        <v>0</v>
      </c>
      <c r="AH1773" s="177">
        <f t="shared" si="79"/>
        <v>0</v>
      </c>
    </row>
    <row r="1774" spans="23:34">
      <c r="W1774" s="177">
        <f t="shared" si="80"/>
        <v>0</v>
      </c>
      <c r="AB1774" s="178">
        <f t="shared" si="81"/>
        <v>0</v>
      </c>
      <c r="AH1774" s="177">
        <f t="shared" si="79"/>
        <v>0</v>
      </c>
    </row>
    <row r="1775" spans="23:34">
      <c r="W1775" s="177">
        <f t="shared" si="80"/>
        <v>0</v>
      </c>
      <c r="AB1775" s="178">
        <f t="shared" si="81"/>
        <v>0</v>
      </c>
      <c r="AH1775" s="177">
        <f t="shared" si="79"/>
        <v>0</v>
      </c>
    </row>
    <row r="1776" spans="23:34">
      <c r="W1776" s="177">
        <f t="shared" si="80"/>
        <v>0</v>
      </c>
      <c r="AB1776" s="178">
        <f t="shared" si="81"/>
        <v>0</v>
      </c>
      <c r="AH1776" s="177">
        <f t="shared" ref="AH1776:AH1839" si="82">SUM(AF1776:AG1776)</f>
        <v>0</v>
      </c>
    </row>
    <row r="1777" spans="23:34">
      <c r="W1777" s="177">
        <f t="shared" si="80"/>
        <v>0</v>
      </c>
      <c r="AB1777" s="178">
        <f t="shared" si="81"/>
        <v>0</v>
      </c>
      <c r="AH1777" s="177">
        <f t="shared" si="82"/>
        <v>0</v>
      </c>
    </row>
    <row r="1778" spans="23:34">
      <c r="W1778" s="177">
        <f t="shared" si="80"/>
        <v>0</v>
      </c>
      <c r="AB1778" s="178">
        <f t="shared" si="81"/>
        <v>0</v>
      </c>
      <c r="AH1778" s="177">
        <f t="shared" si="82"/>
        <v>0</v>
      </c>
    </row>
    <row r="1779" spans="23:34">
      <c r="W1779" s="177">
        <f t="shared" ref="W1779:W1842" si="83">SUM(Q1779:T1779)</f>
        <v>0</v>
      </c>
      <c r="AB1779" s="178">
        <f t="shared" si="81"/>
        <v>0</v>
      </c>
      <c r="AH1779" s="177">
        <f t="shared" si="82"/>
        <v>0</v>
      </c>
    </row>
    <row r="1780" spans="23:34">
      <c r="W1780" s="177">
        <f t="shared" si="83"/>
        <v>0</v>
      </c>
      <c r="AB1780" s="178">
        <f t="shared" si="81"/>
        <v>0</v>
      </c>
      <c r="AH1780" s="177">
        <f t="shared" si="82"/>
        <v>0</v>
      </c>
    </row>
    <row r="1781" spans="23:34">
      <c r="W1781" s="177">
        <f t="shared" si="83"/>
        <v>0</v>
      </c>
      <c r="AB1781" s="178">
        <f t="shared" si="81"/>
        <v>0</v>
      </c>
      <c r="AH1781" s="177">
        <f t="shared" si="82"/>
        <v>0</v>
      </c>
    </row>
    <row r="1782" spans="23:34">
      <c r="W1782" s="177">
        <f t="shared" si="83"/>
        <v>0</v>
      </c>
      <c r="AB1782" s="178">
        <f t="shared" si="81"/>
        <v>0</v>
      </c>
      <c r="AH1782" s="177">
        <f t="shared" si="82"/>
        <v>0</v>
      </c>
    </row>
    <row r="1783" spans="23:34">
      <c r="W1783" s="177">
        <f t="shared" si="83"/>
        <v>0</v>
      </c>
      <c r="AB1783" s="178">
        <f t="shared" si="81"/>
        <v>0</v>
      </c>
      <c r="AH1783" s="177">
        <f t="shared" si="82"/>
        <v>0</v>
      </c>
    </row>
    <row r="1784" spans="23:34">
      <c r="W1784" s="177">
        <f t="shared" si="83"/>
        <v>0</v>
      </c>
      <c r="AB1784" s="178">
        <f t="shared" si="81"/>
        <v>0</v>
      </c>
      <c r="AH1784" s="177">
        <f t="shared" si="82"/>
        <v>0</v>
      </c>
    </row>
    <row r="1785" spans="23:34">
      <c r="W1785" s="177">
        <f t="shared" si="83"/>
        <v>0</v>
      </c>
      <c r="AB1785" s="178">
        <f t="shared" si="81"/>
        <v>0</v>
      </c>
      <c r="AH1785" s="177">
        <f t="shared" si="82"/>
        <v>0</v>
      </c>
    </row>
    <row r="1786" spans="23:34">
      <c r="W1786" s="177">
        <f t="shared" si="83"/>
        <v>0</v>
      </c>
      <c r="AB1786" s="178">
        <f t="shared" si="81"/>
        <v>0</v>
      </c>
      <c r="AH1786" s="177">
        <f t="shared" si="82"/>
        <v>0</v>
      </c>
    </row>
    <row r="1787" spans="23:34">
      <c r="W1787" s="177">
        <f t="shared" si="83"/>
        <v>0</v>
      </c>
      <c r="AB1787" s="178">
        <f t="shared" ref="AB1787:AB1850" si="84">SUM(Z1787:AA1787)</f>
        <v>0</v>
      </c>
      <c r="AH1787" s="177">
        <f t="shared" si="82"/>
        <v>0</v>
      </c>
    </row>
    <row r="1788" spans="23:34">
      <c r="W1788" s="177">
        <f t="shared" si="83"/>
        <v>0</v>
      </c>
      <c r="AB1788" s="178">
        <f t="shared" si="84"/>
        <v>0</v>
      </c>
      <c r="AH1788" s="177">
        <f t="shared" si="82"/>
        <v>0</v>
      </c>
    </row>
    <row r="1789" spans="23:34">
      <c r="W1789" s="177">
        <f t="shared" si="83"/>
        <v>0</v>
      </c>
      <c r="AB1789" s="178">
        <f t="shared" si="84"/>
        <v>0</v>
      </c>
      <c r="AH1789" s="177">
        <f t="shared" si="82"/>
        <v>0</v>
      </c>
    </row>
    <row r="1790" spans="23:34">
      <c r="W1790" s="177">
        <f t="shared" si="83"/>
        <v>0</v>
      </c>
      <c r="AB1790" s="178">
        <f t="shared" si="84"/>
        <v>0</v>
      </c>
      <c r="AH1790" s="177">
        <f t="shared" si="82"/>
        <v>0</v>
      </c>
    </row>
    <row r="1791" spans="23:34">
      <c r="W1791" s="177">
        <f t="shared" si="83"/>
        <v>0</v>
      </c>
      <c r="AB1791" s="178">
        <f t="shared" si="84"/>
        <v>0</v>
      </c>
      <c r="AH1791" s="177">
        <f t="shared" si="82"/>
        <v>0</v>
      </c>
    </row>
    <row r="1792" spans="23:34">
      <c r="W1792" s="177">
        <f t="shared" si="83"/>
        <v>0</v>
      </c>
      <c r="AB1792" s="178">
        <f t="shared" si="84"/>
        <v>0</v>
      </c>
      <c r="AH1792" s="177">
        <f t="shared" si="82"/>
        <v>0</v>
      </c>
    </row>
    <row r="1793" spans="23:34">
      <c r="W1793" s="177">
        <f t="shared" si="83"/>
        <v>0</v>
      </c>
      <c r="AB1793" s="178">
        <f t="shared" si="84"/>
        <v>0</v>
      </c>
      <c r="AH1793" s="177">
        <f t="shared" si="82"/>
        <v>0</v>
      </c>
    </row>
    <row r="1794" spans="23:34">
      <c r="W1794" s="177">
        <f t="shared" si="83"/>
        <v>0</v>
      </c>
      <c r="AB1794" s="178">
        <f t="shared" si="84"/>
        <v>0</v>
      </c>
      <c r="AH1794" s="177">
        <f t="shared" si="82"/>
        <v>0</v>
      </c>
    </row>
    <row r="1795" spans="23:34">
      <c r="W1795" s="177">
        <f t="shared" si="83"/>
        <v>0</v>
      </c>
      <c r="AB1795" s="178">
        <f t="shared" si="84"/>
        <v>0</v>
      </c>
      <c r="AH1795" s="177">
        <f t="shared" si="82"/>
        <v>0</v>
      </c>
    </row>
    <row r="1796" spans="23:34">
      <c r="W1796" s="177">
        <f t="shared" si="83"/>
        <v>0</v>
      </c>
      <c r="AB1796" s="178">
        <f t="shared" si="84"/>
        <v>0</v>
      </c>
      <c r="AH1796" s="177">
        <f t="shared" si="82"/>
        <v>0</v>
      </c>
    </row>
    <row r="1797" spans="23:34">
      <c r="W1797" s="177">
        <f t="shared" si="83"/>
        <v>0</v>
      </c>
      <c r="AB1797" s="178">
        <f t="shared" si="84"/>
        <v>0</v>
      </c>
      <c r="AH1797" s="177">
        <f t="shared" si="82"/>
        <v>0</v>
      </c>
    </row>
    <row r="1798" spans="23:34">
      <c r="W1798" s="177">
        <f t="shared" si="83"/>
        <v>0</v>
      </c>
      <c r="AB1798" s="178">
        <f t="shared" si="84"/>
        <v>0</v>
      </c>
      <c r="AH1798" s="177">
        <f t="shared" si="82"/>
        <v>0</v>
      </c>
    </row>
    <row r="1799" spans="23:34">
      <c r="W1799" s="177">
        <f t="shared" si="83"/>
        <v>0</v>
      </c>
      <c r="AB1799" s="178">
        <f t="shared" si="84"/>
        <v>0</v>
      </c>
      <c r="AH1799" s="177">
        <f t="shared" si="82"/>
        <v>0</v>
      </c>
    </row>
    <row r="1800" spans="23:34">
      <c r="W1800" s="177">
        <f t="shared" si="83"/>
        <v>0</v>
      </c>
      <c r="AB1800" s="178">
        <f t="shared" si="84"/>
        <v>0</v>
      </c>
      <c r="AH1800" s="177">
        <f t="shared" si="82"/>
        <v>0</v>
      </c>
    </row>
    <row r="1801" spans="23:34">
      <c r="W1801" s="177">
        <f t="shared" si="83"/>
        <v>0</v>
      </c>
      <c r="AB1801" s="178">
        <f t="shared" si="84"/>
        <v>0</v>
      </c>
      <c r="AH1801" s="177">
        <f t="shared" si="82"/>
        <v>0</v>
      </c>
    </row>
    <row r="1802" spans="23:34">
      <c r="W1802" s="177">
        <f t="shared" si="83"/>
        <v>0</v>
      </c>
      <c r="AB1802" s="178">
        <f t="shared" si="84"/>
        <v>0</v>
      </c>
      <c r="AH1802" s="177">
        <f t="shared" si="82"/>
        <v>0</v>
      </c>
    </row>
    <row r="1803" spans="23:34">
      <c r="W1803" s="177">
        <f t="shared" si="83"/>
        <v>0</v>
      </c>
      <c r="AB1803" s="178">
        <f t="shared" si="84"/>
        <v>0</v>
      </c>
      <c r="AH1803" s="177">
        <f t="shared" si="82"/>
        <v>0</v>
      </c>
    </row>
    <row r="1804" spans="23:34">
      <c r="W1804" s="177">
        <f t="shared" si="83"/>
        <v>0</v>
      </c>
      <c r="AB1804" s="178">
        <f t="shared" si="84"/>
        <v>0</v>
      </c>
      <c r="AH1804" s="177">
        <f t="shared" si="82"/>
        <v>0</v>
      </c>
    </row>
    <row r="1805" spans="23:34">
      <c r="W1805" s="177">
        <f t="shared" si="83"/>
        <v>0</v>
      </c>
      <c r="AB1805" s="178">
        <f t="shared" si="84"/>
        <v>0</v>
      </c>
      <c r="AH1805" s="177">
        <f t="shared" si="82"/>
        <v>0</v>
      </c>
    </row>
    <row r="1806" spans="23:34">
      <c r="W1806" s="177">
        <f t="shared" si="83"/>
        <v>0</v>
      </c>
      <c r="AB1806" s="178">
        <f t="shared" si="84"/>
        <v>0</v>
      </c>
      <c r="AH1806" s="177">
        <f t="shared" si="82"/>
        <v>0</v>
      </c>
    </row>
    <row r="1807" spans="23:34">
      <c r="W1807" s="177">
        <f t="shared" si="83"/>
        <v>0</v>
      </c>
      <c r="AB1807" s="178">
        <f t="shared" si="84"/>
        <v>0</v>
      </c>
      <c r="AH1807" s="177">
        <f t="shared" si="82"/>
        <v>0</v>
      </c>
    </row>
    <row r="1808" spans="23:34">
      <c r="W1808" s="177">
        <f t="shared" si="83"/>
        <v>0</v>
      </c>
      <c r="AB1808" s="178">
        <f t="shared" si="84"/>
        <v>0</v>
      </c>
      <c r="AH1808" s="177">
        <f t="shared" si="82"/>
        <v>0</v>
      </c>
    </row>
    <row r="1809" spans="23:34">
      <c r="W1809" s="177">
        <f t="shared" si="83"/>
        <v>0</v>
      </c>
      <c r="AB1809" s="178">
        <f t="shared" si="84"/>
        <v>0</v>
      </c>
      <c r="AH1809" s="177">
        <f t="shared" si="82"/>
        <v>0</v>
      </c>
    </row>
    <row r="1810" spans="23:34">
      <c r="W1810" s="177">
        <f t="shared" si="83"/>
        <v>0</v>
      </c>
      <c r="AB1810" s="178">
        <f t="shared" si="84"/>
        <v>0</v>
      </c>
      <c r="AH1810" s="177">
        <f t="shared" si="82"/>
        <v>0</v>
      </c>
    </row>
    <row r="1811" spans="23:34">
      <c r="W1811" s="177">
        <f t="shared" si="83"/>
        <v>0</v>
      </c>
      <c r="AB1811" s="178">
        <f t="shared" si="84"/>
        <v>0</v>
      </c>
      <c r="AH1811" s="177">
        <f t="shared" si="82"/>
        <v>0</v>
      </c>
    </row>
    <row r="1812" spans="23:34">
      <c r="W1812" s="177">
        <f t="shared" si="83"/>
        <v>0</v>
      </c>
      <c r="AB1812" s="178">
        <f t="shared" si="84"/>
        <v>0</v>
      </c>
      <c r="AH1812" s="177">
        <f t="shared" si="82"/>
        <v>0</v>
      </c>
    </row>
    <row r="1813" spans="23:34">
      <c r="W1813" s="177">
        <f t="shared" si="83"/>
        <v>0</v>
      </c>
      <c r="AB1813" s="178">
        <f t="shared" si="84"/>
        <v>0</v>
      </c>
      <c r="AH1813" s="177">
        <f t="shared" si="82"/>
        <v>0</v>
      </c>
    </row>
    <row r="1814" spans="23:34">
      <c r="W1814" s="177">
        <f t="shared" si="83"/>
        <v>0</v>
      </c>
      <c r="AB1814" s="178">
        <f t="shared" si="84"/>
        <v>0</v>
      </c>
      <c r="AH1814" s="177">
        <f t="shared" si="82"/>
        <v>0</v>
      </c>
    </row>
    <row r="1815" spans="23:34">
      <c r="W1815" s="177">
        <f t="shared" si="83"/>
        <v>0</v>
      </c>
      <c r="AB1815" s="178">
        <f t="shared" si="84"/>
        <v>0</v>
      </c>
      <c r="AH1815" s="177">
        <f t="shared" si="82"/>
        <v>0</v>
      </c>
    </row>
    <row r="1816" spans="23:34">
      <c r="W1816" s="177">
        <f t="shared" si="83"/>
        <v>0</v>
      </c>
      <c r="AB1816" s="178">
        <f t="shared" si="84"/>
        <v>0</v>
      </c>
      <c r="AH1816" s="177">
        <f t="shared" si="82"/>
        <v>0</v>
      </c>
    </row>
    <row r="1817" spans="23:34">
      <c r="W1817" s="177">
        <f t="shared" si="83"/>
        <v>0</v>
      </c>
      <c r="AB1817" s="178">
        <f t="shared" si="84"/>
        <v>0</v>
      </c>
      <c r="AH1817" s="177">
        <f t="shared" si="82"/>
        <v>0</v>
      </c>
    </row>
    <row r="1818" spans="23:34">
      <c r="W1818" s="177">
        <f t="shared" si="83"/>
        <v>0</v>
      </c>
      <c r="AB1818" s="178">
        <f t="shared" si="84"/>
        <v>0</v>
      </c>
      <c r="AH1818" s="177">
        <f t="shared" si="82"/>
        <v>0</v>
      </c>
    </row>
    <row r="1819" spans="23:34">
      <c r="W1819" s="177">
        <f t="shared" si="83"/>
        <v>0</v>
      </c>
      <c r="AB1819" s="178">
        <f t="shared" si="84"/>
        <v>0</v>
      </c>
      <c r="AH1819" s="177">
        <f t="shared" si="82"/>
        <v>0</v>
      </c>
    </row>
    <row r="1820" spans="23:34">
      <c r="W1820" s="177">
        <f t="shared" si="83"/>
        <v>0</v>
      </c>
      <c r="AB1820" s="178">
        <f t="shared" si="84"/>
        <v>0</v>
      </c>
      <c r="AH1820" s="177">
        <f t="shared" si="82"/>
        <v>0</v>
      </c>
    </row>
    <row r="1821" spans="23:34">
      <c r="W1821" s="177">
        <f t="shared" si="83"/>
        <v>0</v>
      </c>
      <c r="AB1821" s="178">
        <f t="shared" si="84"/>
        <v>0</v>
      </c>
      <c r="AH1821" s="177">
        <f t="shared" si="82"/>
        <v>0</v>
      </c>
    </row>
    <row r="1822" spans="23:34">
      <c r="W1822" s="177">
        <f t="shared" si="83"/>
        <v>0</v>
      </c>
      <c r="AB1822" s="178">
        <f t="shared" si="84"/>
        <v>0</v>
      </c>
      <c r="AH1822" s="177">
        <f t="shared" si="82"/>
        <v>0</v>
      </c>
    </row>
    <row r="1823" spans="23:34">
      <c r="W1823" s="177">
        <f t="shared" si="83"/>
        <v>0</v>
      </c>
      <c r="AB1823" s="178">
        <f t="shared" si="84"/>
        <v>0</v>
      </c>
      <c r="AH1823" s="177">
        <f t="shared" si="82"/>
        <v>0</v>
      </c>
    </row>
    <row r="1824" spans="23:34">
      <c r="W1824" s="177">
        <f t="shared" si="83"/>
        <v>0</v>
      </c>
      <c r="AB1824" s="178">
        <f t="shared" si="84"/>
        <v>0</v>
      </c>
      <c r="AH1824" s="177">
        <f t="shared" si="82"/>
        <v>0</v>
      </c>
    </row>
    <row r="1825" spans="23:34">
      <c r="W1825" s="177">
        <f t="shared" si="83"/>
        <v>0</v>
      </c>
      <c r="AB1825" s="178">
        <f t="shared" si="84"/>
        <v>0</v>
      </c>
      <c r="AH1825" s="177">
        <f t="shared" si="82"/>
        <v>0</v>
      </c>
    </row>
    <row r="1826" spans="23:34">
      <c r="W1826" s="177">
        <f t="shared" si="83"/>
        <v>0</v>
      </c>
      <c r="AB1826" s="178">
        <f t="shared" si="84"/>
        <v>0</v>
      </c>
      <c r="AH1826" s="177">
        <f t="shared" si="82"/>
        <v>0</v>
      </c>
    </row>
    <row r="1827" spans="23:34">
      <c r="W1827" s="177">
        <f t="shared" si="83"/>
        <v>0</v>
      </c>
      <c r="AB1827" s="178">
        <f t="shared" si="84"/>
        <v>0</v>
      </c>
      <c r="AH1827" s="177">
        <f t="shared" si="82"/>
        <v>0</v>
      </c>
    </row>
    <row r="1828" spans="23:34">
      <c r="W1828" s="177">
        <f t="shared" si="83"/>
        <v>0</v>
      </c>
      <c r="AB1828" s="178">
        <f t="shared" si="84"/>
        <v>0</v>
      </c>
      <c r="AH1828" s="177">
        <f t="shared" si="82"/>
        <v>0</v>
      </c>
    </row>
    <row r="1829" spans="23:34">
      <c r="W1829" s="177">
        <f t="shared" si="83"/>
        <v>0</v>
      </c>
      <c r="AB1829" s="178">
        <f t="shared" si="84"/>
        <v>0</v>
      </c>
      <c r="AH1829" s="177">
        <f t="shared" si="82"/>
        <v>0</v>
      </c>
    </row>
    <row r="1830" spans="23:34">
      <c r="W1830" s="177">
        <f t="shared" si="83"/>
        <v>0</v>
      </c>
      <c r="AB1830" s="178">
        <f t="shared" si="84"/>
        <v>0</v>
      </c>
      <c r="AH1830" s="177">
        <f t="shared" si="82"/>
        <v>0</v>
      </c>
    </row>
    <row r="1831" spans="23:34">
      <c r="W1831" s="177">
        <f t="shared" si="83"/>
        <v>0</v>
      </c>
      <c r="AB1831" s="178">
        <f t="shared" si="84"/>
        <v>0</v>
      </c>
      <c r="AH1831" s="177">
        <f t="shared" si="82"/>
        <v>0</v>
      </c>
    </row>
    <row r="1832" spans="23:34">
      <c r="W1832" s="177">
        <f t="shared" si="83"/>
        <v>0</v>
      </c>
      <c r="AB1832" s="178">
        <f t="shared" si="84"/>
        <v>0</v>
      </c>
      <c r="AH1832" s="177">
        <f t="shared" si="82"/>
        <v>0</v>
      </c>
    </row>
    <row r="1833" spans="23:34">
      <c r="W1833" s="177">
        <f t="shared" si="83"/>
        <v>0</v>
      </c>
      <c r="AB1833" s="178">
        <f t="shared" si="84"/>
        <v>0</v>
      </c>
      <c r="AH1833" s="177">
        <f t="shared" si="82"/>
        <v>0</v>
      </c>
    </row>
    <row r="1834" spans="23:34">
      <c r="W1834" s="177">
        <f t="shared" si="83"/>
        <v>0</v>
      </c>
      <c r="AB1834" s="178">
        <f t="shared" si="84"/>
        <v>0</v>
      </c>
      <c r="AH1834" s="177">
        <f t="shared" si="82"/>
        <v>0</v>
      </c>
    </row>
    <row r="1835" spans="23:34">
      <c r="W1835" s="177">
        <f t="shared" si="83"/>
        <v>0</v>
      </c>
      <c r="AB1835" s="178">
        <f t="shared" si="84"/>
        <v>0</v>
      </c>
      <c r="AH1835" s="177">
        <f t="shared" si="82"/>
        <v>0</v>
      </c>
    </row>
    <row r="1836" spans="23:34">
      <c r="W1836" s="177">
        <f t="shared" si="83"/>
        <v>0</v>
      </c>
      <c r="AB1836" s="178">
        <f t="shared" si="84"/>
        <v>0</v>
      </c>
      <c r="AH1836" s="177">
        <f t="shared" si="82"/>
        <v>0</v>
      </c>
    </row>
    <row r="1837" spans="23:34">
      <c r="W1837" s="177">
        <f t="shared" si="83"/>
        <v>0</v>
      </c>
      <c r="AB1837" s="178">
        <f t="shared" si="84"/>
        <v>0</v>
      </c>
      <c r="AH1837" s="177">
        <f t="shared" si="82"/>
        <v>0</v>
      </c>
    </row>
    <row r="1838" spans="23:34">
      <c r="W1838" s="177">
        <f t="shared" si="83"/>
        <v>0</v>
      </c>
      <c r="AB1838" s="178">
        <f t="shared" si="84"/>
        <v>0</v>
      </c>
      <c r="AH1838" s="177">
        <f t="shared" si="82"/>
        <v>0</v>
      </c>
    </row>
    <row r="1839" spans="23:34">
      <c r="W1839" s="177">
        <f t="shared" si="83"/>
        <v>0</v>
      </c>
      <c r="AB1839" s="178">
        <f t="shared" si="84"/>
        <v>0</v>
      </c>
      <c r="AH1839" s="177">
        <f t="shared" si="82"/>
        <v>0</v>
      </c>
    </row>
    <row r="1840" spans="23:34">
      <c r="W1840" s="177">
        <f t="shared" si="83"/>
        <v>0</v>
      </c>
      <c r="AB1840" s="178">
        <f t="shared" si="84"/>
        <v>0</v>
      </c>
      <c r="AH1840" s="177">
        <f t="shared" ref="AH1840:AH1903" si="85">SUM(AF1840:AG1840)</f>
        <v>0</v>
      </c>
    </row>
    <row r="1841" spans="23:34">
      <c r="W1841" s="177">
        <f t="shared" si="83"/>
        <v>0</v>
      </c>
      <c r="AB1841" s="178">
        <f t="shared" si="84"/>
        <v>0</v>
      </c>
      <c r="AH1841" s="177">
        <f t="shared" si="85"/>
        <v>0</v>
      </c>
    </row>
    <row r="1842" spans="23:34">
      <c r="W1842" s="177">
        <f t="shared" si="83"/>
        <v>0</v>
      </c>
      <c r="AB1842" s="178">
        <f t="shared" si="84"/>
        <v>0</v>
      </c>
      <c r="AH1842" s="177">
        <f t="shared" si="85"/>
        <v>0</v>
      </c>
    </row>
    <row r="1843" spans="23:34">
      <c r="W1843" s="177">
        <f t="shared" ref="W1843:W1906" si="86">SUM(Q1843:T1843)</f>
        <v>0</v>
      </c>
      <c r="AB1843" s="178">
        <f t="shared" si="84"/>
        <v>0</v>
      </c>
      <c r="AH1843" s="177">
        <f t="shared" si="85"/>
        <v>0</v>
      </c>
    </row>
    <row r="1844" spans="23:34">
      <c r="W1844" s="177">
        <f t="shared" si="86"/>
        <v>0</v>
      </c>
      <c r="AB1844" s="178">
        <f t="shared" si="84"/>
        <v>0</v>
      </c>
      <c r="AH1844" s="177">
        <f t="shared" si="85"/>
        <v>0</v>
      </c>
    </row>
    <row r="1845" spans="23:34">
      <c r="W1845" s="177">
        <f t="shared" si="86"/>
        <v>0</v>
      </c>
      <c r="AB1845" s="178">
        <f t="shared" si="84"/>
        <v>0</v>
      </c>
      <c r="AH1845" s="177">
        <f t="shared" si="85"/>
        <v>0</v>
      </c>
    </row>
    <row r="1846" spans="23:34">
      <c r="W1846" s="177">
        <f t="shared" si="86"/>
        <v>0</v>
      </c>
      <c r="AB1846" s="178">
        <f t="shared" si="84"/>
        <v>0</v>
      </c>
      <c r="AH1846" s="177">
        <f t="shared" si="85"/>
        <v>0</v>
      </c>
    </row>
    <row r="1847" spans="23:34">
      <c r="W1847" s="177">
        <f t="shared" si="86"/>
        <v>0</v>
      </c>
      <c r="AB1847" s="178">
        <f t="shared" si="84"/>
        <v>0</v>
      </c>
      <c r="AH1847" s="177">
        <f t="shared" si="85"/>
        <v>0</v>
      </c>
    </row>
    <row r="1848" spans="23:34">
      <c r="W1848" s="177">
        <f t="shared" si="86"/>
        <v>0</v>
      </c>
      <c r="AB1848" s="178">
        <f t="shared" si="84"/>
        <v>0</v>
      </c>
      <c r="AH1848" s="177">
        <f t="shared" si="85"/>
        <v>0</v>
      </c>
    </row>
    <row r="1849" spans="23:34">
      <c r="W1849" s="177">
        <f t="shared" si="86"/>
        <v>0</v>
      </c>
      <c r="AB1849" s="178">
        <f t="shared" si="84"/>
        <v>0</v>
      </c>
      <c r="AH1849" s="177">
        <f t="shared" si="85"/>
        <v>0</v>
      </c>
    </row>
    <row r="1850" spans="23:34">
      <c r="W1850" s="177">
        <f t="shared" si="86"/>
        <v>0</v>
      </c>
      <c r="AB1850" s="178">
        <f t="shared" si="84"/>
        <v>0</v>
      </c>
      <c r="AH1850" s="177">
        <f t="shared" si="85"/>
        <v>0</v>
      </c>
    </row>
    <row r="1851" spans="23:34">
      <c r="W1851" s="177">
        <f t="shared" si="86"/>
        <v>0</v>
      </c>
      <c r="AB1851" s="178">
        <f t="shared" ref="AB1851:AB1914" si="87">SUM(Z1851:AA1851)</f>
        <v>0</v>
      </c>
      <c r="AH1851" s="177">
        <f t="shared" si="85"/>
        <v>0</v>
      </c>
    </row>
    <row r="1852" spans="23:34">
      <c r="W1852" s="177">
        <f t="shared" si="86"/>
        <v>0</v>
      </c>
      <c r="AB1852" s="178">
        <f t="shared" si="87"/>
        <v>0</v>
      </c>
      <c r="AH1852" s="177">
        <f t="shared" si="85"/>
        <v>0</v>
      </c>
    </row>
    <row r="1853" spans="23:34">
      <c r="W1853" s="177">
        <f t="shared" si="86"/>
        <v>0</v>
      </c>
      <c r="AB1853" s="178">
        <f t="shared" si="87"/>
        <v>0</v>
      </c>
      <c r="AH1853" s="177">
        <f t="shared" si="85"/>
        <v>0</v>
      </c>
    </row>
    <row r="1854" spans="23:34">
      <c r="W1854" s="177">
        <f t="shared" si="86"/>
        <v>0</v>
      </c>
      <c r="AB1854" s="178">
        <f t="shared" si="87"/>
        <v>0</v>
      </c>
      <c r="AH1854" s="177">
        <f t="shared" si="85"/>
        <v>0</v>
      </c>
    </row>
    <row r="1855" spans="23:34">
      <c r="W1855" s="177">
        <f t="shared" si="86"/>
        <v>0</v>
      </c>
      <c r="AB1855" s="178">
        <f t="shared" si="87"/>
        <v>0</v>
      </c>
      <c r="AH1855" s="177">
        <f t="shared" si="85"/>
        <v>0</v>
      </c>
    </row>
    <row r="1856" spans="23:34">
      <c r="W1856" s="177">
        <f t="shared" si="86"/>
        <v>0</v>
      </c>
      <c r="AB1856" s="178">
        <f t="shared" si="87"/>
        <v>0</v>
      </c>
      <c r="AH1856" s="177">
        <f t="shared" si="85"/>
        <v>0</v>
      </c>
    </row>
    <row r="1857" spans="23:34">
      <c r="W1857" s="177">
        <f t="shared" si="86"/>
        <v>0</v>
      </c>
      <c r="AB1857" s="178">
        <f t="shared" si="87"/>
        <v>0</v>
      </c>
      <c r="AH1857" s="177">
        <f t="shared" si="85"/>
        <v>0</v>
      </c>
    </row>
    <row r="1858" spans="23:34">
      <c r="W1858" s="177">
        <f t="shared" si="86"/>
        <v>0</v>
      </c>
      <c r="AB1858" s="178">
        <f t="shared" si="87"/>
        <v>0</v>
      </c>
      <c r="AH1858" s="177">
        <f t="shared" si="85"/>
        <v>0</v>
      </c>
    </row>
    <row r="1859" spans="23:34">
      <c r="W1859" s="177">
        <f t="shared" si="86"/>
        <v>0</v>
      </c>
      <c r="AB1859" s="178">
        <f t="shared" si="87"/>
        <v>0</v>
      </c>
      <c r="AH1859" s="177">
        <f t="shared" si="85"/>
        <v>0</v>
      </c>
    </row>
    <row r="1860" spans="23:34">
      <c r="W1860" s="177">
        <f t="shared" si="86"/>
        <v>0</v>
      </c>
      <c r="AB1860" s="178">
        <f t="shared" si="87"/>
        <v>0</v>
      </c>
      <c r="AH1860" s="177">
        <f t="shared" si="85"/>
        <v>0</v>
      </c>
    </row>
    <row r="1861" spans="23:34">
      <c r="W1861" s="177">
        <f t="shared" si="86"/>
        <v>0</v>
      </c>
      <c r="AB1861" s="178">
        <f t="shared" si="87"/>
        <v>0</v>
      </c>
      <c r="AH1861" s="177">
        <f t="shared" si="85"/>
        <v>0</v>
      </c>
    </row>
    <row r="1862" spans="23:34">
      <c r="W1862" s="177">
        <f t="shared" si="86"/>
        <v>0</v>
      </c>
      <c r="AB1862" s="178">
        <f t="shared" si="87"/>
        <v>0</v>
      </c>
      <c r="AH1862" s="177">
        <f t="shared" si="85"/>
        <v>0</v>
      </c>
    </row>
    <row r="1863" spans="23:34">
      <c r="W1863" s="177">
        <f t="shared" si="86"/>
        <v>0</v>
      </c>
      <c r="AB1863" s="178">
        <f t="shared" si="87"/>
        <v>0</v>
      </c>
      <c r="AH1863" s="177">
        <f t="shared" si="85"/>
        <v>0</v>
      </c>
    </row>
    <row r="1864" spans="23:34">
      <c r="W1864" s="177">
        <f t="shared" si="86"/>
        <v>0</v>
      </c>
      <c r="AB1864" s="178">
        <f t="shared" si="87"/>
        <v>0</v>
      </c>
      <c r="AH1864" s="177">
        <f t="shared" si="85"/>
        <v>0</v>
      </c>
    </row>
    <row r="1865" spans="23:34">
      <c r="W1865" s="177">
        <f t="shared" si="86"/>
        <v>0</v>
      </c>
      <c r="AB1865" s="178">
        <f t="shared" si="87"/>
        <v>0</v>
      </c>
      <c r="AH1865" s="177">
        <f t="shared" si="85"/>
        <v>0</v>
      </c>
    </row>
    <row r="1866" spans="23:34">
      <c r="W1866" s="177">
        <f t="shared" si="86"/>
        <v>0</v>
      </c>
      <c r="AB1866" s="178">
        <f t="shared" si="87"/>
        <v>0</v>
      </c>
      <c r="AH1866" s="177">
        <f t="shared" si="85"/>
        <v>0</v>
      </c>
    </row>
    <row r="1867" spans="23:34">
      <c r="W1867" s="177">
        <f t="shared" si="86"/>
        <v>0</v>
      </c>
      <c r="AB1867" s="178">
        <f t="shared" si="87"/>
        <v>0</v>
      </c>
      <c r="AH1867" s="177">
        <f t="shared" si="85"/>
        <v>0</v>
      </c>
    </row>
    <row r="1868" spans="23:34">
      <c r="W1868" s="177">
        <f t="shared" si="86"/>
        <v>0</v>
      </c>
      <c r="AB1868" s="178">
        <f t="shared" si="87"/>
        <v>0</v>
      </c>
      <c r="AH1868" s="177">
        <f t="shared" si="85"/>
        <v>0</v>
      </c>
    </row>
    <row r="1869" spans="23:34">
      <c r="W1869" s="177">
        <f t="shared" si="86"/>
        <v>0</v>
      </c>
      <c r="AB1869" s="178">
        <f t="shared" si="87"/>
        <v>0</v>
      </c>
      <c r="AH1869" s="177">
        <f t="shared" si="85"/>
        <v>0</v>
      </c>
    </row>
    <row r="1870" spans="23:34">
      <c r="W1870" s="177">
        <f t="shared" si="86"/>
        <v>0</v>
      </c>
      <c r="AB1870" s="178">
        <f t="shared" si="87"/>
        <v>0</v>
      </c>
      <c r="AH1870" s="177">
        <f t="shared" si="85"/>
        <v>0</v>
      </c>
    </row>
    <row r="1871" spans="23:34">
      <c r="W1871" s="177">
        <f t="shared" si="86"/>
        <v>0</v>
      </c>
      <c r="AB1871" s="178">
        <f t="shared" si="87"/>
        <v>0</v>
      </c>
      <c r="AH1871" s="177">
        <f t="shared" si="85"/>
        <v>0</v>
      </c>
    </row>
    <row r="1872" spans="23:34">
      <c r="W1872" s="177">
        <f t="shared" si="86"/>
        <v>0</v>
      </c>
      <c r="AB1872" s="178">
        <f t="shared" si="87"/>
        <v>0</v>
      </c>
      <c r="AH1872" s="177">
        <f t="shared" si="85"/>
        <v>0</v>
      </c>
    </row>
    <row r="1873" spans="23:34">
      <c r="W1873" s="177">
        <f t="shared" si="86"/>
        <v>0</v>
      </c>
      <c r="AB1873" s="178">
        <f t="shared" si="87"/>
        <v>0</v>
      </c>
      <c r="AH1873" s="177">
        <f t="shared" si="85"/>
        <v>0</v>
      </c>
    </row>
    <row r="1874" spans="23:34">
      <c r="W1874" s="177">
        <f t="shared" si="86"/>
        <v>0</v>
      </c>
      <c r="AB1874" s="178">
        <f t="shared" si="87"/>
        <v>0</v>
      </c>
      <c r="AH1874" s="177">
        <f t="shared" si="85"/>
        <v>0</v>
      </c>
    </row>
    <row r="1875" spans="23:34">
      <c r="W1875" s="177">
        <f t="shared" si="86"/>
        <v>0</v>
      </c>
      <c r="AB1875" s="178">
        <f t="shared" si="87"/>
        <v>0</v>
      </c>
      <c r="AH1875" s="177">
        <f t="shared" si="85"/>
        <v>0</v>
      </c>
    </row>
    <row r="1876" spans="23:34">
      <c r="W1876" s="177">
        <f t="shared" si="86"/>
        <v>0</v>
      </c>
      <c r="AB1876" s="178">
        <f t="shared" si="87"/>
        <v>0</v>
      </c>
      <c r="AH1876" s="177">
        <f t="shared" si="85"/>
        <v>0</v>
      </c>
    </row>
    <row r="1877" spans="23:34">
      <c r="W1877" s="177">
        <f t="shared" si="86"/>
        <v>0</v>
      </c>
      <c r="AB1877" s="178">
        <f t="shared" si="87"/>
        <v>0</v>
      </c>
      <c r="AH1877" s="177">
        <f t="shared" si="85"/>
        <v>0</v>
      </c>
    </row>
    <row r="1878" spans="23:34">
      <c r="W1878" s="177">
        <f t="shared" si="86"/>
        <v>0</v>
      </c>
      <c r="AB1878" s="178">
        <f t="shared" si="87"/>
        <v>0</v>
      </c>
      <c r="AH1878" s="177">
        <f t="shared" si="85"/>
        <v>0</v>
      </c>
    </row>
    <row r="1879" spans="23:34">
      <c r="W1879" s="177">
        <f t="shared" si="86"/>
        <v>0</v>
      </c>
      <c r="AB1879" s="178">
        <f t="shared" si="87"/>
        <v>0</v>
      </c>
      <c r="AH1879" s="177">
        <f t="shared" si="85"/>
        <v>0</v>
      </c>
    </row>
    <row r="1880" spans="23:34">
      <c r="W1880" s="177">
        <f t="shared" si="86"/>
        <v>0</v>
      </c>
      <c r="AB1880" s="178">
        <f t="shared" si="87"/>
        <v>0</v>
      </c>
      <c r="AH1880" s="177">
        <f t="shared" si="85"/>
        <v>0</v>
      </c>
    </row>
    <row r="1881" spans="23:34">
      <c r="W1881" s="177">
        <f t="shared" si="86"/>
        <v>0</v>
      </c>
      <c r="AB1881" s="178">
        <f t="shared" si="87"/>
        <v>0</v>
      </c>
      <c r="AH1881" s="177">
        <f t="shared" si="85"/>
        <v>0</v>
      </c>
    </row>
    <row r="1882" spans="23:34">
      <c r="W1882" s="177">
        <f t="shared" si="86"/>
        <v>0</v>
      </c>
      <c r="AB1882" s="178">
        <f t="shared" si="87"/>
        <v>0</v>
      </c>
      <c r="AH1882" s="177">
        <f t="shared" si="85"/>
        <v>0</v>
      </c>
    </row>
    <row r="1883" spans="23:34">
      <c r="W1883" s="177">
        <f t="shared" si="86"/>
        <v>0</v>
      </c>
      <c r="AB1883" s="178">
        <f t="shared" si="87"/>
        <v>0</v>
      </c>
      <c r="AH1883" s="177">
        <f t="shared" si="85"/>
        <v>0</v>
      </c>
    </row>
    <row r="1884" spans="23:34">
      <c r="W1884" s="177">
        <f t="shared" si="86"/>
        <v>0</v>
      </c>
      <c r="AB1884" s="178">
        <f t="shared" si="87"/>
        <v>0</v>
      </c>
      <c r="AH1884" s="177">
        <f t="shared" si="85"/>
        <v>0</v>
      </c>
    </row>
    <row r="1885" spans="23:34">
      <c r="W1885" s="177">
        <f t="shared" si="86"/>
        <v>0</v>
      </c>
      <c r="AB1885" s="178">
        <f t="shared" si="87"/>
        <v>0</v>
      </c>
      <c r="AH1885" s="177">
        <f t="shared" si="85"/>
        <v>0</v>
      </c>
    </row>
    <row r="1886" spans="23:34">
      <c r="W1886" s="177">
        <f t="shared" si="86"/>
        <v>0</v>
      </c>
      <c r="AB1886" s="178">
        <f t="shared" si="87"/>
        <v>0</v>
      </c>
      <c r="AH1886" s="177">
        <f t="shared" si="85"/>
        <v>0</v>
      </c>
    </row>
    <row r="1887" spans="23:34">
      <c r="W1887" s="177">
        <f t="shared" si="86"/>
        <v>0</v>
      </c>
      <c r="AB1887" s="178">
        <f t="shared" si="87"/>
        <v>0</v>
      </c>
      <c r="AH1887" s="177">
        <f t="shared" si="85"/>
        <v>0</v>
      </c>
    </row>
    <row r="1888" spans="23:34">
      <c r="W1888" s="177">
        <f t="shared" si="86"/>
        <v>0</v>
      </c>
      <c r="AB1888" s="178">
        <f t="shared" si="87"/>
        <v>0</v>
      </c>
      <c r="AH1888" s="177">
        <f t="shared" si="85"/>
        <v>0</v>
      </c>
    </row>
    <row r="1889" spans="23:34">
      <c r="W1889" s="177">
        <f t="shared" si="86"/>
        <v>0</v>
      </c>
      <c r="AB1889" s="178">
        <f t="shared" si="87"/>
        <v>0</v>
      </c>
      <c r="AH1889" s="177">
        <f t="shared" si="85"/>
        <v>0</v>
      </c>
    </row>
    <row r="1890" spans="23:34">
      <c r="W1890" s="177">
        <f t="shared" si="86"/>
        <v>0</v>
      </c>
      <c r="AB1890" s="178">
        <f t="shared" si="87"/>
        <v>0</v>
      </c>
      <c r="AH1890" s="177">
        <f t="shared" si="85"/>
        <v>0</v>
      </c>
    </row>
    <row r="1891" spans="23:34">
      <c r="W1891" s="177">
        <f t="shared" si="86"/>
        <v>0</v>
      </c>
      <c r="AB1891" s="178">
        <f t="shared" si="87"/>
        <v>0</v>
      </c>
      <c r="AH1891" s="177">
        <f t="shared" si="85"/>
        <v>0</v>
      </c>
    </row>
    <row r="1892" spans="23:34">
      <c r="W1892" s="177">
        <f t="shared" si="86"/>
        <v>0</v>
      </c>
      <c r="AB1892" s="178">
        <f t="shared" si="87"/>
        <v>0</v>
      </c>
      <c r="AH1892" s="177">
        <f t="shared" si="85"/>
        <v>0</v>
      </c>
    </row>
    <row r="1893" spans="23:34">
      <c r="W1893" s="177">
        <f t="shared" si="86"/>
        <v>0</v>
      </c>
      <c r="AB1893" s="178">
        <f t="shared" si="87"/>
        <v>0</v>
      </c>
      <c r="AH1893" s="177">
        <f t="shared" si="85"/>
        <v>0</v>
      </c>
    </row>
    <row r="1894" spans="23:34">
      <c r="W1894" s="177">
        <f t="shared" si="86"/>
        <v>0</v>
      </c>
      <c r="AB1894" s="178">
        <f t="shared" si="87"/>
        <v>0</v>
      </c>
      <c r="AH1894" s="177">
        <f t="shared" si="85"/>
        <v>0</v>
      </c>
    </row>
    <row r="1895" spans="23:34">
      <c r="W1895" s="177">
        <f t="shared" si="86"/>
        <v>0</v>
      </c>
      <c r="AB1895" s="178">
        <f t="shared" si="87"/>
        <v>0</v>
      </c>
      <c r="AH1895" s="177">
        <f t="shared" si="85"/>
        <v>0</v>
      </c>
    </row>
    <row r="1896" spans="23:34">
      <c r="W1896" s="177">
        <f t="shared" si="86"/>
        <v>0</v>
      </c>
      <c r="AB1896" s="178">
        <f t="shared" si="87"/>
        <v>0</v>
      </c>
      <c r="AH1896" s="177">
        <f t="shared" si="85"/>
        <v>0</v>
      </c>
    </row>
    <row r="1897" spans="23:34">
      <c r="W1897" s="177">
        <f t="shared" si="86"/>
        <v>0</v>
      </c>
      <c r="AB1897" s="178">
        <f t="shared" si="87"/>
        <v>0</v>
      </c>
      <c r="AH1897" s="177">
        <f t="shared" si="85"/>
        <v>0</v>
      </c>
    </row>
    <row r="1898" spans="23:34">
      <c r="W1898" s="177">
        <f t="shared" si="86"/>
        <v>0</v>
      </c>
      <c r="AB1898" s="178">
        <f t="shared" si="87"/>
        <v>0</v>
      </c>
      <c r="AH1898" s="177">
        <f t="shared" si="85"/>
        <v>0</v>
      </c>
    </row>
    <row r="1899" spans="23:34">
      <c r="W1899" s="177">
        <f t="shared" si="86"/>
        <v>0</v>
      </c>
      <c r="AB1899" s="178">
        <f t="shared" si="87"/>
        <v>0</v>
      </c>
      <c r="AH1899" s="177">
        <f t="shared" si="85"/>
        <v>0</v>
      </c>
    </row>
    <row r="1900" spans="23:34">
      <c r="W1900" s="177">
        <f t="shared" si="86"/>
        <v>0</v>
      </c>
      <c r="AB1900" s="178">
        <f t="shared" si="87"/>
        <v>0</v>
      </c>
      <c r="AH1900" s="177">
        <f t="shared" si="85"/>
        <v>0</v>
      </c>
    </row>
    <row r="1901" spans="23:34">
      <c r="W1901" s="177">
        <f t="shared" si="86"/>
        <v>0</v>
      </c>
      <c r="AB1901" s="178">
        <f t="shared" si="87"/>
        <v>0</v>
      </c>
      <c r="AH1901" s="177">
        <f t="shared" si="85"/>
        <v>0</v>
      </c>
    </row>
    <row r="1902" spans="23:34">
      <c r="W1902" s="177">
        <f t="shared" si="86"/>
        <v>0</v>
      </c>
      <c r="AB1902" s="178">
        <f t="shared" si="87"/>
        <v>0</v>
      </c>
      <c r="AH1902" s="177">
        <f t="shared" si="85"/>
        <v>0</v>
      </c>
    </row>
    <row r="1903" spans="23:34">
      <c r="W1903" s="177">
        <f t="shared" si="86"/>
        <v>0</v>
      </c>
      <c r="AB1903" s="178">
        <f t="shared" si="87"/>
        <v>0</v>
      </c>
      <c r="AH1903" s="177">
        <f t="shared" si="85"/>
        <v>0</v>
      </c>
    </row>
    <row r="1904" spans="23:34">
      <c r="W1904" s="177">
        <f t="shared" si="86"/>
        <v>0</v>
      </c>
      <c r="AB1904" s="178">
        <f t="shared" si="87"/>
        <v>0</v>
      </c>
      <c r="AH1904" s="177">
        <f t="shared" ref="AH1904:AH1967" si="88">SUM(AF1904:AG1904)</f>
        <v>0</v>
      </c>
    </row>
    <row r="1905" spans="23:34">
      <c r="W1905" s="177">
        <f t="shared" si="86"/>
        <v>0</v>
      </c>
      <c r="AB1905" s="178">
        <f t="shared" si="87"/>
        <v>0</v>
      </c>
      <c r="AH1905" s="177">
        <f t="shared" si="88"/>
        <v>0</v>
      </c>
    </row>
    <row r="1906" spans="23:34">
      <c r="W1906" s="177">
        <f t="shared" si="86"/>
        <v>0</v>
      </c>
      <c r="AB1906" s="178">
        <f t="shared" si="87"/>
        <v>0</v>
      </c>
      <c r="AH1906" s="177">
        <f t="shared" si="88"/>
        <v>0</v>
      </c>
    </row>
    <row r="1907" spans="23:34">
      <c r="W1907" s="177">
        <f t="shared" ref="W1907:W1970" si="89">SUM(Q1907:T1907)</f>
        <v>0</v>
      </c>
      <c r="AB1907" s="178">
        <f t="shared" si="87"/>
        <v>0</v>
      </c>
      <c r="AH1907" s="177">
        <f t="shared" si="88"/>
        <v>0</v>
      </c>
    </row>
    <row r="1908" spans="23:34">
      <c r="W1908" s="177">
        <f t="shared" si="89"/>
        <v>0</v>
      </c>
      <c r="AB1908" s="178">
        <f t="shared" si="87"/>
        <v>0</v>
      </c>
      <c r="AH1908" s="177">
        <f t="shared" si="88"/>
        <v>0</v>
      </c>
    </row>
    <row r="1909" spans="23:34">
      <c r="W1909" s="177">
        <f t="shared" si="89"/>
        <v>0</v>
      </c>
      <c r="AB1909" s="178">
        <f t="shared" si="87"/>
        <v>0</v>
      </c>
      <c r="AH1909" s="177">
        <f t="shared" si="88"/>
        <v>0</v>
      </c>
    </row>
    <row r="1910" spans="23:34">
      <c r="W1910" s="177">
        <f t="shared" si="89"/>
        <v>0</v>
      </c>
      <c r="AB1910" s="178">
        <f t="shared" si="87"/>
        <v>0</v>
      </c>
      <c r="AH1910" s="177">
        <f t="shared" si="88"/>
        <v>0</v>
      </c>
    </row>
    <row r="1911" spans="23:34">
      <c r="W1911" s="177">
        <f t="shared" si="89"/>
        <v>0</v>
      </c>
      <c r="AB1911" s="178">
        <f t="shared" si="87"/>
        <v>0</v>
      </c>
      <c r="AH1911" s="177">
        <f t="shared" si="88"/>
        <v>0</v>
      </c>
    </row>
    <row r="1912" spans="23:34">
      <c r="W1912" s="177">
        <f t="shared" si="89"/>
        <v>0</v>
      </c>
      <c r="AB1912" s="178">
        <f t="shared" si="87"/>
        <v>0</v>
      </c>
      <c r="AH1912" s="177">
        <f t="shared" si="88"/>
        <v>0</v>
      </c>
    </row>
    <row r="1913" spans="23:34">
      <c r="W1913" s="177">
        <f t="shared" si="89"/>
        <v>0</v>
      </c>
      <c r="AB1913" s="178">
        <f t="shared" si="87"/>
        <v>0</v>
      </c>
      <c r="AH1913" s="177">
        <f t="shared" si="88"/>
        <v>0</v>
      </c>
    </row>
    <row r="1914" spans="23:34">
      <c r="W1914" s="177">
        <f t="shared" si="89"/>
        <v>0</v>
      </c>
      <c r="AB1914" s="178">
        <f t="shared" si="87"/>
        <v>0</v>
      </c>
      <c r="AH1914" s="177">
        <f t="shared" si="88"/>
        <v>0</v>
      </c>
    </row>
    <row r="1915" spans="23:34">
      <c r="W1915" s="177">
        <f t="shared" si="89"/>
        <v>0</v>
      </c>
      <c r="AB1915" s="178">
        <f t="shared" ref="AB1915:AB1978" si="90">SUM(Z1915:AA1915)</f>
        <v>0</v>
      </c>
      <c r="AH1915" s="177">
        <f t="shared" si="88"/>
        <v>0</v>
      </c>
    </row>
    <row r="1916" spans="23:34">
      <c r="W1916" s="177">
        <f t="shared" si="89"/>
        <v>0</v>
      </c>
      <c r="AB1916" s="178">
        <f t="shared" si="90"/>
        <v>0</v>
      </c>
      <c r="AH1916" s="177">
        <f t="shared" si="88"/>
        <v>0</v>
      </c>
    </row>
    <row r="1917" spans="23:34">
      <c r="W1917" s="177">
        <f t="shared" si="89"/>
        <v>0</v>
      </c>
      <c r="AB1917" s="178">
        <f t="shared" si="90"/>
        <v>0</v>
      </c>
      <c r="AH1917" s="177">
        <f t="shared" si="88"/>
        <v>0</v>
      </c>
    </row>
    <row r="1918" spans="23:34">
      <c r="W1918" s="177">
        <f t="shared" si="89"/>
        <v>0</v>
      </c>
      <c r="AB1918" s="178">
        <f t="shared" si="90"/>
        <v>0</v>
      </c>
      <c r="AH1918" s="177">
        <f t="shared" si="88"/>
        <v>0</v>
      </c>
    </row>
    <row r="1919" spans="23:34">
      <c r="W1919" s="177">
        <f t="shared" si="89"/>
        <v>0</v>
      </c>
      <c r="AB1919" s="178">
        <f t="shared" si="90"/>
        <v>0</v>
      </c>
      <c r="AH1919" s="177">
        <f t="shared" si="88"/>
        <v>0</v>
      </c>
    </row>
    <row r="1920" spans="23:34">
      <c r="W1920" s="177">
        <f t="shared" si="89"/>
        <v>0</v>
      </c>
      <c r="AB1920" s="178">
        <f t="shared" si="90"/>
        <v>0</v>
      </c>
      <c r="AH1920" s="177">
        <f t="shared" si="88"/>
        <v>0</v>
      </c>
    </row>
    <row r="1921" spans="23:34">
      <c r="W1921" s="177">
        <f t="shared" si="89"/>
        <v>0</v>
      </c>
      <c r="AB1921" s="178">
        <f t="shared" si="90"/>
        <v>0</v>
      </c>
      <c r="AH1921" s="177">
        <f t="shared" si="88"/>
        <v>0</v>
      </c>
    </row>
    <row r="1922" spans="23:34">
      <c r="W1922" s="177">
        <f t="shared" si="89"/>
        <v>0</v>
      </c>
      <c r="AB1922" s="178">
        <f t="shared" si="90"/>
        <v>0</v>
      </c>
      <c r="AH1922" s="177">
        <f t="shared" si="88"/>
        <v>0</v>
      </c>
    </row>
    <row r="1923" spans="23:34">
      <c r="W1923" s="177">
        <f t="shared" si="89"/>
        <v>0</v>
      </c>
      <c r="AB1923" s="178">
        <f t="shared" si="90"/>
        <v>0</v>
      </c>
      <c r="AH1923" s="177">
        <f t="shared" si="88"/>
        <v>0</v>
      </c>
    </row>
    <row r="1924" spans="23:34">
      <c r="W1924" s="177">
        <f t="shared" si="89"/>
        <v>0</v>
      </c>
      <c r="AB1924" s="178">
        <f t="shared" si="90"/>
        <v>0</v>
      </c>
      <c r="AH1924" s="177">
        <f t="shared" si="88"/>
        <v>0</v>
      </c>
    </row>
    <row r="1925" spans="23:34">
      <c r="W1925" s="177">
        <f t="shared" si="89"/>
        <v>0</v>
      </c>
      <c r="AB1925" s="178">
        <f t="shared" si="90"/>
        <v>0</v>
      </c>
      <c r="AH1925" s="177">
        <f t="shared" si="88"/>
        <v>0</v>
      </c>
    </row>
    <row r="1926" spans="23:34">
      <c r="W1926" s="177">
        <f t="shared" si="89"/>
        <v>0</v>
      </c>
      <c r="AB1926" s="178">
        <f t="shared" si="90"/>
        <v>0</v>
      </c>
      <c r="AH1926" s="177">
        <f t="shared" si="88"/>
        <v>0</v>
      </c>
    </row>
    <row r="1927" spans="23:34">
      <c r="W1927" s="177">
        <f t="shared" si="89"/>
        <v>0</v>
      </c>
      <c r="AB1927" s="178">
        <f t="shared" si="90"/>
        <v>0</v>
      </c>
      <c r="AH1927" s="177">
        <f t="shared" si="88"/>
        <v>0</v>
      </c>
    </row>
    <row r="1928" spans="23:34">
      <c r="W1928" s="177">
        <f t="shared" si="89"/>
        <v>0</v>
      </c>
      <c r="AB1928" s="178">
        <f t="shared" si="90"/>
        <v>0</v>
      </c>
      <c r="AH1928" s="177">
        <f t="shared" si="88"/>
        <v>0</v>
      </c>
    </row>
    <row r="1929" spans="23:34">
      <c r="W1929" s="177">
        <f t="shared" si="89"/>
        <v>0</v>
      </c>
      <c r="AB1929" s="178">
        <f t="shared" si="90"/>
        <v>0</v>
      </c>
      <c r="AH1929" s="177">
        <f t="shared" si="88"/>
        <v>0</v>
      </c>
    </row>
    <row r="1930" spans="23:34">
      <c r="W1930" s="177">
        <f t="shared" si="89"/>
        <v>0</v>
      </c>
      <c r="AB1930" s="178">
        <f t="shared" si="90"/>
        <v>0</v>
      </c>
      <c r="AH1930" s="177">
        <f t="shared" si="88"/>
        <v>0</v>
      </c>
    </row>
    <row r="1931" spans="23:34">
      <c r="W1931" s="177">
        <f t="shared" si="89"/>
        <v>0</v>
      </c>
      <c r="AB1931" s="178">
        <f t="shared" si="90"/>
        <v>0</v>
      </c>
      <c r="AH1931" s="177">
        <f t="shared" si="88"/>
        <v>0</v>
      </c>
    </row>
    <row r="1932" spans="23:34">
      <c r="W1932" s="177">
        <f t="shared" si="89"/>
        <v>0</v>
      </c>
      <c r="AB1932" s="178">
        <f t="shared" si="90"/>
        <v>0</v>
      </c>
      <c r="AH1932" s="177">
        <f t="shared" si="88"/>
        <v>0</v>
      </c>
    </row>
    <row r="1933" spans="23:34">
      <c r="W1933" s="177">
        <f t="shared" si="89"/>
        <v>0</v>
      </c>
      <c r="AB1933" s="178">
        <f t="shared" si="90"/>
        <v>0</v>
      </c>
      <c r="AH1933" s="177">
        <f t="shared" si="88"/>
        <v>0</v>
      </c>
    </row>
    <row r="1934" spans="23:34">
      <c r="W1934" s="177">
        <f t="shared" si="89"/>
        <v>0</v>
      </c>
      <c r="AB1934" s="178">
        <f t="shared" si="90"/>
        <v>0</v>
      </c>
      <c r="AH1934" s="177">
        <f t="shared" si="88"/>
        <v>0</v>
      </c>
    </row>
    <row r="1935" spans="23:34">
      <c r="W1935" s="177">
        <f t="shared" si="89"/>
        <v>0</v>
      </c>
      <c r="AB1935" s="178">
        <f t="shared" si="90"/>
        <v>0</v>
      </c>
      <c r="AH1935" s="177">
        <f t="shared" si="88"/>
        <v>0</v>
      </c>
    </row>
    <row r="1936" spans="23:34">
      <c r="W1936" s="177">
        <f t="shared" si="89"/>
        <v>0</v>
      </c>
      <c r="AB1936" s="178">
        <f t="shared" si="90"/>
        <v>0</v>
      </c>
      <c r="AH1936" s="177">
        <f t="shared" si="88"/>
        <v>0</v>
      </c>
    </row>
    <row r="1937" spans="23:34">
      <c r="W1937" s="177">
        <f t="shared" si="89"/>
        <v>0</v>
      </c>
      <c r="AB1937" s="178">
        <f t="shared" si="90"/>
        <v>0</v>
      </c>
      <c r="AH1937" s="177">
        <f t="shared" si="88"/>
        <v>0</v>
      </c>
    </row>
    <row r="1938" spans="23:34">
      <c r="W1938" s="177">
        <f t="shared" si="89"/>
        <v>0</v>
      </c>
      <c r="AB1938" s="178">
        <f t="shared" si="90"/>
        <v>0</v>
      </c>
      <c r="AH1938" s="177">
        <f t="shared" si="88"/>
        <v>0</v>
      </c>
    </row>
    <row r="1939" spans="23:34">
      <c r="W1939" s="177">
        <f t="shared" si="89"/>
        <v>0</v>
      </c>
      <c r="AB1939" s="178">
        <f t="shared" si="90"/>
        <v>0</v>
      </c>
      <c r="AH1939" s="177">
        <f t="shared" si="88"/>
        <v>0</v>
      </c>
    </row>
    <row r="1940" spans="23:34">
      <c r="W1940" s="177">
        <f t="shared" si="89"/>
        <v>0</v>
      </c>
      <c r="AB1940" s="178">
        <f t="shared" si="90"/>
        <v>0</v>
      </c>
      <c r="AH1940" s="177">
        <f t="shared" si="88"/>
        <v>0</v>
      </c>
    </row>
    <row r="1941" spans="23:34">
      <c r="W1941" s="177">
        <f t="shared" si="89"/>
        <v>0</v>
      </c>
      <c r="AB1941" s="178">
        <f t="shared" si="90"/>
        <v>0</v>
      </c>
      <c r="AH1941" s="177">
        <f t="shared" si="88"/>
        <v>0</v>
      </c>
    </row>
    <row r="1942" spans="23:34">
      <c r="W1942" s="177">
        <f t="shared" si="89"/>
        <v>0</v>
      </c>
      <c r="AB1942" s="178">
        <f t="shared" si="90"/>
        <v>0</v>
      </c>
      <c r="AH1942" s="177">
        <f t="shared" si="88"/>
        <v>0</v>
      </c>
    </row>
    <row r="1943" spans="23:34">
      <c r="W1943" s="177">
        <f t="shared" si="89"/>
        <v>0</v>
      </c>
      <c r="AB1943" s="178">
        <f t="shared" si="90"/>
        <v>0</v>
      </c>
      <c r="AH1943" s="177">
        <f t="shared" si="88"/>
        <v>0</v>
      </c>
    </row>
    <row r="1944" spans="23:34">
      <c r="W1944" s="177">
        <f t="shared" si="89"/>
        <v>0</v>
      </c>
      <c r="AB1944" s="178">
        <f t="shared" si="90"/>
        <v>0</v>
      </c>
      <c r="AH1944" s="177">
        <f t="shared" si="88"/>
        <v>0</v>
      </c>
    </row>
    <row r="1945" spans="23:34">
      <c r="W1945" s="177">
        <f t="shared" si="89"/>
        <v>0</v>
      </c>
      <c r="AB1945" s="178">
        <f t="shared" si="90"/>
        <v>0</v>
      </c>
      <c r="AH1945" s="177">
        <f t="shared" si="88"/>
        <v>0</v>
      </c>
    </row>
    <row r="1946" spans="23:34">
      <c r="W1946" s="177">
        <f t="shared" si="89"/>
        <v>0</v>
      </c>
      <c r="AB1946" s="178">
        <f t="shared" si="90"/>
        <v>0</v>
      </c>
      <c r="AH1946" s="177">
        <f t="shared" si="88"/>
        <v>0</v>
      </c>
    </row>
    <row r="1947" spans="23:34">
      <c r="W1947" s="177">
        <f t="shared" si="89"/>
        <v>0</v>
      </c>
      <c r="AB1947" s="178">
        <f t="shared" si="90"/>
        <v>0</v>
      </c>
      <c r="AH1947" s="177">
        <f t="shared" si="88"/>
        <v>0</v>
      </c>
    </row>
    <row r="1948" spans="23:34">
      <c r="W1948" s="177">
        <f t="shared" si="89"/>
        <v>0</v>
      </c>
      <c r="AB1948" s="178">
        <f t="shared" si="90"/>
        <v>0</v>
      </c>
      <c r="AH1948" s="177">
        <f t="shared" si="88"/>
        <v>0</v>
      </c>
    </row>
    <row r="1949" spans="23:34">
      <c r="W1949" s="177">
        <f t="shared" si="89"/>
        <v>0</v>
      </c>
      <c r="AB1949" s="178">
        <f t="shared" si="90"/>
        <v>0</v>
      </c>
      <c r="AH1949" s="177">
        <f t="shared" si="88"/>
        <v>0</v>
      </c>
    </row>
    <row r="1950" spans="23:34">
      <c r="W1950" s="177">
        <f t="shared" si="89"/>
        <v>0</v>
      </c>
      <c r="AB1950" s="178">
        <f t="shared" si="90"/>
        <v>0</v>
      </c>
      <c r="AH1950" s="177">
        <f t="shared" si="88"/>
        <v>0</v>
      </c>
    </row>
    <row r="1951" spans="23:34">
      <c r="W1951" s="177">
        <f t="shared" si="89"/>
        <v>0</v>
      </c>
      <c r="AB1951" s="178">
        <f t="shared" si="90"/>
        <v>0</v>
      </c>
      <c r="AH1951" s="177">
        <f t="shared" si="88"/>
        <v>0</v>
      </c>
    </row>
    <row r="1952" spans="23:34">
      <c r="W1952" s="177">
        <f t="shared" si="89"/>
        <v>0</v>
      </c>
      <c r="AB1952" s="178">
        <f t="shared" si="90"/>
        <v>0</v>
      </c>
      <c r="AH1952" s="177">
        <f t="shared" si="88"/>
        <v>0</v>
      </c>
    </row>
    <row r="1953" spans="23:34">
      <c r="W1953" s="177">
        <f t="shared" si="89"/>
        <v>0</v>
      </c>
      <c r="AB1953" s="178">
        <f t="shared" si="90"/>
        <v>0</v>
      </c>
      <c r="AH1953" s="177">
        <f t="shared" si="88"/>
        <v>0</v>
      </c>
    </row>
    <row r="1954" spans="23:34">
      <c r="W1954" s="177">
        <f t="shared" si="89"/>
        <v>0</v>
      </c>
      <c r="AB1954" s="178">
        <f t="shared" si="90"/>
        <v>0</v>
      </c>
      <c r="AH1954" s="177">
        <f t="shared" si="88"/>
        <v>0</v>
      </c>
    </row>
    <row r="1955" spans="23:34">
      <c r="W1955" s="177">
        <f t="shared" si="89"/>
        <v>0</v>
      </c>
      <c r="AB1955" s="178">
        <f t="shared" si="90"/>
        <v>0</v>
      </c>
      <c r="AH1955" s="177">
        <f t="shared" si="88"/>
        <v>0</v>
      </c>
    </row>
    <row r="1956" spans="23:34">
      <c r="W1956" s="177">
        <f t="shared" si="89"/>
        <v>0</v>
      </c>
      <c r="AB1956" s="178">
        <f t="shared" si="90"/>
        <v>0</v>
      </c>
      <c r="AH1956" s="177">
        <f t="shared" si="88"/>
        <v>0</v>
      </c>
    </row>
    <row r="1957" spans="23:34">
      <c r="W1957" s="177">
        <f t="shared" si="89"/>
        <v>0</v>
      </c>
      <c r="AB1957" s="178">
        <f t="shared" si="90"/>
        <v>0</v>
      </c>
      <c r="AH1957" s="177">
        <f t="shared" si="88"/>
        <v>0</v>
      </c>
    </row>
    <row r="1958" spans="23:34">
      <c r="W1958" s="177">
        <f t="shared" si="89"/>
        <v>0</v>
      </c>
      <c r="AB1958" s="178">
        <f t="shared" si="90"/>
        <v>0</v>
      </c>
      <c r="AH1958" s="177">
        <f t="shared" si="88"/>
        <v>0</v>
      </c>
    </row>
    <row r="1959" spans="23:34">
      <c r="W1959" s="177">
        <f t="shared" si="89"/>
        <v>0</v>
      </c>
      <c r="AB1959" s="178">
        <f t="shared" si="90"/>
        <v>0</v>
      </c>
      <c r="AH1959" s="177">
        <f t="shared" si="88"/>
        <v>0</v>
      </c>
    </row>
    <row r="1960" spans="23:34">
      <c r="W1960" s="177">
        <f t="shared" si="89"/>
        <v>0</v>
      </c>
      <c r="AB1960" s="178">
        <f t="shared" si="90"/>
        <v>0</v>
      </c>
      <c r="AH1960" s="177">
        <f t="shared" si="88"/>
        <v>0</v>
      </c>
    </row>
    <row r="1961" spans="23:34">
      <c r="W1961" s="177">
        <f t="shared" si="89"/>
        <v>0</v>
      </c>
      <c r="AB1961" s="178">
        <f t="shared" si="90"/>
        <v>0</v>
      </c>
      <c r="AH1961" s="177">
        <f t="shared" si="88"/>
        <v>0</v>
      </c>
    </row>
    <row r="1962" spans="23:34">
      <c r="W1962" s="177">
        <f t="shared" si="89"/>
        <v>0</v>
      </c>
      <c r="AB1962" s="178">
        <f t="shared" si="90"/>
        <v>0</v>
      </c>
      <c r="AH1962" s="177">
        <f t="shared" si="88"/>
        <v>0</v>
      </c>
    </row>
    <row r="1963" spans="23:34">
      <c r="W1963" s="177">
        <f t="shared" si="89"/>
        <v>0</v>
      </c>
      <c r="AB1963" s="178">
        <f t="shared" si="90"/>
        <v>0</v>
      </c>
      <c r="AH1963" s="177">
        <f t="shared" si="88"/>
        <v>0</v>
      </c>
    </row>
    <row r="1964" spans="23:34">
      <c r="W1964" s="177">
        <f t="shared" si="89"/>
        <v>0</v>
      </c>
      <c r="AB1964" s="178">
        <f t="shared" si="90"/>
        <v>0</v>
      </c>
      <c r="AH1964" s="177">
        <f t="shared" si="88"/>
        <v>0</v>
      </c>
    </row>
    <row r="1965" spans="23:34">
      <c r="W1965" s="177">
        <f t="shared" si="89"/>
        <v>0</v>
      </c>
      <c r="AB1965" s="178">
        <f t="shared" si="90"/>
        <v>0</v>
      </c>
      <c r="AH1965" s="177">
        <f t="shared" si="88"/>
        <v>0</v>
      </c>
    </row>
    <row r="1966" spans="23:34">
      <c r="W1966" s="177">
        <f t="shared" si="89"/>
        <v>0</v>
      </c>
      <c r="AB1966" s="178">
        <f t="shared" si="90"/>
        <v>0</v>
      </c>
      <c r="AH1966" s="177">
        <f t="shared" si="88"/>
        <v>0</v>
      </c>
    </row>
    <row r="1967" spans="23:34">
      <c r="W1967" s="177">
        <f t="shared" si="89"/>
        <v>0</v>
      </c>
      <c r="AB1967" s="178">
        <f t="shared" si="90"/>
        <v>0</v>
      </c>
      <c r="AH1967" s="177">
        <f t="shared" si="88"/>
        <v>0</v>
      </c>
    </row>
    <row r="1968" spans="23:34">
      <c r="W1968" s="177">
        <f t="shared" si="89"/>
        <v>0</v>
      </c>
      <c r="AB1968" s="178">
        <f t="shared" si="90"/>
        <v>0</v>
      </c>
      <c r="AH1968" s="177">
        <f t="shared" ref="AH1968:AH2031" si="91">SUM(AF1968:AG1968)</f>
        <v>0</v>
      </c>
    </row>
    <row r="1969" spans="23:34">
      <c r="W1969" s="177">
        <f t="shared" si="89"/>
        <v>0</v>
      </c>
      <c r="AB1969" s="178">
        <f t="shared" si="90"/>
        <v>0</v>
      </c>
      <c r="AH1969" s="177">
        <f t="shared" si="91"/>
        <v>0</v>
      </c>
    </row>
    <row r="1970" spans="23:34">
      <c r="W1970" s="177">
        <f t="shared" si="89"/>
        <v>0</v>
      </c>
      <c r="AB1970" s="178">
        <f t="shared" si="90"/>
        <v>0</v>
      </c>
      <c r="AH1970" s="177">
        <f t="shared" si="91"/>
        <v>0</v>
      </c>
    </row>
    <row r="1971" spans="23:34">
      <c r="W1971" s="177">
        <f t="shared" ref="W1971:W2034" si="92">SUM(Q1971:T1971)</f>
        <v>0</v>
      </c>
      <c r="AB1971" s="178">
        <f t="shared" si="90"/>
        <v>0</v>
      </c>
      <c r="AH1971" s="177">
        <f t="shared" si="91"/>
        <v>0</v>
      </c>
    </row>
    <row r="1972" spans="23:34">
      <c r="W1972" s="177">
        <f t="shared" si="92"/>
        <v>0</v>
      </c>
      <c r="AB1972" s="178">
        <f t="shared" si="90"/>
        <v>0</v>
      </c>
      <c r="AH1972" s="177">
        <f t="shared" si="91"/>
        <v>0</v>
      </c>
    </row>
    <row r="1973" spans="23:34">
      <c r="W1973" s="177">
        <f t="shared" si="92"/>
        <v>0</v>
      </c>
      <c r="AB1973" s="178">
        <f t="shared" si="90"/>
        <v>0</v>
      </c>
      <c r="AH1973" s="177">
        <f t="shared" si="91"/>
        <v>0</v>
      </c>
    </row>
    <row r="1974" spans="23:34">
      <c r="W1974" s="177">
        <f t="shared" si="92"/>
        <v>0</v>
      </c>
      <c r="AB1974" s="178">
        <f t="shared" si="90"/>
        <v>0</v>
      </c>
      <c r="AH1974" s="177">
        <f t="shared" si="91"/>
        <v>0</v>
      </c>
    </row>
    <row r="1975" spans="23:34">
      <c r="W1975" s="177">
        <f t="shared" si="92"/>
        <v>0</v>
      </c>
      <c r="AB1975" s="178">
        <f t="shared" si="90"/>
        <v>0</v>
      </c>
      <c r="AH1975" s="177">
        <f t="shared" si="91"/>
        <v>0</v>
      </c>
    </row>
    <row r="1976" spans="23:34">
      <c r="W1976" s="177">
        <f t="shared" si="92"/>
        <v>0</v>
      </c>
      <c r="AB1976" s="178">
        <f t="shared" si="90"/>
        <v>0</v>
      </c>
      <c r="AH1976" s="177">
        <f t="shared" si="91"/>
        <v>0</v>
      </c>
    </row>
    <row r="1977" spans="23:34">
      <c r="W1977" s="177">
        <f t="shared" si="92"/>
        <v>0</v>
      </c>
      <c r="AB1977" s="178">
        <f t="shared" si="90"/>
        <v>0</v>
      </c>
      <c r="AH1977" s="177">
        <f t="shared" si="91"/>
        <v>0</v>
      </c>
    </row>
    <row r="1978" spans="23:34">
      <c r="W1978" s="177">
        <f t="shared" si="92"/>
        <v>0</v>
      </c>
      <c r="AB1978" s="178">
        <f t="shared" si="90"/>
        <v>0</v>
      </c>
      <c r="AH1978" s="177">
        <f t="shared" si="91"/>
        <v>0</v>
      </c>
    </row>
    <row r="1979" spans="23:34">
      <c r="W1979" s="177">
        <f t="shared" si="92"/>
        <v>0</v>
      </c>
      <c r="AB1979" s="178">
        <f t="shared" ref="AB1979:AB2042" si="93">SUM(Z1979:AA1979)</f>
        <v>0</v>
      </c>
      <c r="AH1979" s="177">
        <f t="shared" si="91"/>
        <v>0</v>
      </c>
    </row>
    <row r="1980" spans="23:34">
      <c r="W1980" s="177">
        <f t="shared" si="92"/>
        <v>0</v>
      </c>
      <c r="AB1980" s="178">
        <f t="shared" si="93"/>
        <v>0</v>
      </c>
      <c r="AH1980" s="177">
        <f t="shared" si="91"/>
        <v>0</v>
      </c>
    </row>
    <row r="1981" spans="23:34">
      <c r="W1981" s="177">
        <f t="shared" si="92"/>
        <v>0</v>
      </c>
      <c r="AB1981" s="178">
        <f t="shared" si="93"/>
        <v>0</v>
      </c>
      <c r="AH1981" s="177">
        <f t="shared" si="91"/>
        <v>0</v>
      </c>
    </row>
    <row r="1982" spans="23:34">
      <c r="W1982" s="177">
        <f t="shared" si="92"/>
        <v>0</v>
      </c>
      <c r="AB1982" s="178">
        <f t="shared" si="93"/>
        <v>0</v>
      </c>
      <c r="AH1982" s="177">
        <f t="shared" si="91"/>
        <v>0</v>
      </c>
    </row>
    <row r="1983" spans="23:34">
      <c r="W1983" s="177">
        <f t="shared" si="92"/>
        <v>0</v>
      </c>
      <c r="AB1983" s="178">
        <f t="shared" si="93"/>
        <v>0</v>
      </c>
      <c r="AH1983" s="177">
        <f t="shared" si="91"/>
        <v>0</v>
      </c>
    </row>
    <row r="1984" spans="23:34">
      <c r="W1984" s="177">
        <f t="shared" si="92"/>
        <v>0</v>
      </c>
      <c r="AB1984" s="178">
        <f t="shared" si="93"/>
        <v>0</v>
      </c>
      <c r="AH1984" s="177">
        <f t="shared" si="91"/>
        <v>0</v>
      </c>
    </row>
    <row r="1985" spans="23:34">
      <c r="W1985" s="177">
        <f t="shared" si="92"/>
        <v>0</v>
      </c>
      <c r="AB1985" s="178">
        <f t="shared" si="93"/>
        <v>0</v>
      </c>
      <c r="AH1985" s="177">
        <f t="shared" si="91"/>
        <v>0</v>
      </c>
    </row>
    <row r="1986" spans="23:34">
      <c r="W1986" s="177">
        <f t="shared" si="92"/>
        <v>0</v>
      </c>
      <c r="AB1986" s="178">
        <f t="shared" si="93"/>
        <v>0</v>
      </c>
      <c r="AH1986" s="177">
        <f t="shared" si="91"/>
        <v>0</v>
      </c>
    </row>
    <row r="1987" spans="23:34">
      <c r="W1987" s="177">
        <f t="shared" si="92"/>
        <v>0</v>
      </c>
      <c r="AB1987" s="178">
        <f t="shared" si="93"/>
        <v>0</v>
      </c>
      <c r="AH1987" s="177">
        <f t="shared" si="91"/>
        <v>0</v>
      </c>
    </row>
    <row r="1988" spans="23:34">
      <c r="W1988" s="177">
        <f t="shared" si="92"/>
        <v>0</v>
      </c>
      <c r="AB1988" s="178">
        <f t="shared" si="93"/>
        <v>0</v>
      </c>
      <c r="AH1988" s="177">
        <f t="shared" si="91"/>
        <v>0</v>
      </c>
    </row>
    <row r="1989" spans="23:34">
      <c r="W1989" s="177">
        <f t="shared" si="92"/>
        <v>0</v>
      </c>
      <c r="AB1989" s="178">
        <f t="shared" si="93"/>
        <v>0</v>
      </c>
      <c r="AH1989" s="177">
        <f t="shared" si="91"/>
        <v>0</v>
      </c>
    </row>
    <row r="1990" spans="23:34">
      <c r="W1990" s="177">
        <f t="shared" si="92"/>
        <v>0</v>
      </c>
      <c r="AB1990" s="178">
        <f t="shared" si="93"/>
        <v>0</v>
      </c>
      <c r="AH1990" s="177">
        <f t="shared" si="91"/>
        <v>0</v>
      </c>
    </row>
    <row r="1991" spans="23:34">
      <c r="W1991" s="177">
        <f t="shared" si="92"/>
        <v>0</v>
      </c>
      <c r="AB1991" s="178">
        <f t="shared" si="93"/>
        <v>0</v>
      </c>
      <c r="AH1991" s="177">
        <f t="shared" si="91"/>
        <v>0</v>
      </c>
    </row>
    <row r="1992" spans="23:34">
      <c r="W1992" s="177">
        <f t="shared" si="92"/>
        <v>0</v>
      </c>
      <c r="AB1992" s="178">
        <f t="shared" si="93"/>
        <v>0</v>
      </c>
      <c r="AH1992" s="177">
        <f t="shared" si="91"/>
        <v>0</v>
      </c>
    </row>
    <row r="1993" spans="23:34">
      <c r="W1993" s="177">
        <f t="shared" si="92"/>
        <v>0</v>
      </c>
      <c r="AB1993" s="178">
        <f t="shared" si="93"/>
        <v>0</v>
      </c>
      <c r="AH1993" s="177">
        <f t="shared" si="91"/>
        <v>0</v>
      </c>
    </row>
    <row r="1994" spans="23:34">
      <c r="W1994" s="177">
        <f t="shared" si="92"/>
        <v>0</v>
      </c>
      <c r="AB1994" s="178">
        <f t="shared" si="93"/>
        <v>0</v>
      </c>
      <c r="AH1994" s="177">
        <f t="shared" si="91"/>
        <v>0</v>
      </c>
    </row>
    <row r="1995" spans="23:34">
      <c r="W1995" s="177">
        <f t="shared" si="92"/>
        <v>0</v>
      </c>
      <c r="AB1995" s="178">
        <f t="shared" si="93"/>
        <v>0</v>
      </c>
      <c r="AH1995" s="177">
        <f t="shared" si="91"/>
        <v>0</v>
      </c>
    </row>
    <row r="1996" spans="23:34">
      <c r="W1996" s="177">
        <f t="shared" si="92"/>
        <v>0</v>
      </c>
      <c r="AB1996" s="178">
        <f t="shared" si="93"/>
        <v>0</v>
      </c>
      <c r="AH1996" s="177">
        <f t="shared" si="91"/>
        <v>0</v>
      </c>
    </row>
    <row r="1997" spans="23:34">
      <c r="W1997" s="177">
        <f t="shared" si="92"/>
        <v>0</v>
      </c>
      <c r="AB1997" s="178">
        <f t="shared" si="93"/>
        <v>0</v>
      </c>
      <c r="AH1997" s="177">
        <f t="shared" si="91"/>
        <v>0</v>
      </c>
    </row>
    <row r="1998" spans="23:34">
      <c r="W1998" s="177">
        <f t="shared" si="92"/>
        <v>0</v>
      </c>
      <c r="AB1998" s="178">
        <f t="shared" si="93"/>
        <v>0</v>
      </c>
      <c r="AH1998" s="177">
        <f t="shared" si="91"/>
        <v>0</v>
      </c>
    </row>
    <row r="1999" spans="23:34">
      <c r="W1999" s="177">
        <f t="shared" si="92"/>
        <v>0</v>
      </c>
      <c r="AB1999" s="178">
        <f t="shared" si="93"/>
        <v>0</v>
      </c>
      <c r="AH1999" s="177">
        <f t="shared" si="91"/>
        <v>0</v>
      </c>
    </row>
    <row r="2000" spans="23:34">
      <c r="W2000" s="177">
        <f t="shared" si="92"/>
        <v>0</v>
      </c>
      <c r="AB2000" s="178">
        <f t="shared" si="93"/>
        <v>0</v>
      </c>
      <c r="AH2000" s="177">
        <f t="shared" si="91"/>
        <v>0</v>
      </c>
    </row>
    <row r="2001" spans="23:34">
      <c r="W2001" s="177">
        <f t="shared" si="92"/>
        <v>0</v>
      </c>
      <c r="AB2001" s="178">
        <f t="shared" si="93"/>
        <v>0</v>
      </c>
      <c r="AH2001" s="177">
        <f t="shared" si="91"/>
        <v>0</v>
      </c>
    </row>
    <row r="2002" spans="23:34">
      <c r="W2002" s="177">
        <f t="shared" si="92"/>
        <v>0</v>
      </c>
      <c r="AB2002" s="178">
        <f t="shared" si="93"/>
        <v>0</v>
      </c>
      <c r="AH2002" s="177">
        <f t="shared" si="91"/>
        <v>0</v>
      </c>
    </row>
    <row r="2003" spans="23:34">
      <c r="W2003" s="177">
        <f t="shared" si="92"/>
        <v>0</v>
      </c>
      <c r="AB2003" s="178">
        <f t="shared" si="93"/>
        <v>0</v>
      </c>
      <c r="AH2003" s="177">
        <f t="shared" si="91"/>
        <v>0</v>
      </c>
    </row>
    <row r="2004" spans="23:34">
      <c r="W2004" s="177">
        <f t="shared" si="92"/>
        <v>0</v>
      </c>
      <c r="AB2004" s="178">
        <f t="shared" si="93"/>
        <v>0</v>
      </c>
      <c r="AH2004" s="177">
        <f t="shared" si="91"/>
        <v>0</v>
      </c>
    </row>
    <row r="2005" spans="23:34">
      <c r="W2005" s="177">
        <f t="shared" si="92"/>
        <v>0</v>
      </c>
      <c r="AB2005" s="178">
        <f t="shared" si="93"/>
        <v>0</v>
      </c>
      <c r="AH2005" s="177">
        <f t="shared" si="91"/>
        <v>0</v>
      </c>
    </row>
    <row r="2006" spans="23:34">
      <c r="W2006" s="177">
        <f t="shared" si="92"/>
        <v>0</v>
      </c>
      <c r="AB2006" s="178">
        <f t="shared" si="93"/>
        <v>0</v>
      </c>
      <c r="AH2006" s="177">
        <f t="shared" si="91"/>
        <v>0</v>
      </c>
    </row>
    <row r="2007" spans="23:34">
      <c r="W2007" s="177">
        <f t="shared" si="92"/>
        <v>0</v>
      </c>
      <c r="AB2007" s="178">
        <f t="shared" si="93"/>
        <v>0</v>
      </c>
      <c r="AH2007" s="177">
        <f t="shared" si="91"/>
        <v>0</v>
      </c>
    </row>
    <row r="2008" spans="23:34">
      <c r="W2008" s="177">
        <f t="shared" si="92"/>
        <v>0</v>
      </c>
      <c r="AB2008" s="178">
        <f t="shared" si="93"/>
        <v>0</v>
      </c>
      <c r="AH2008" s="177">
        <f t="shared" si="91"/>
        <v>0</v>
      </c>
    </row>
    <row r="2009" spans="23:34">
      <c r="W2009" s="177">
        <f t="shared" si="92"/>
        <v>0</v>
      </c>
      <c r="AB2009" s="178">
        <f t="shared" si="93"/>
        <v>0</v>
      </c>
      <c r="AH2009" s="177">
        <f t="shared" si="91"/>
        <v>0</v>
      </c>
    </row>
    <row r="2010" spans="23:34">
      <c r="W2010" s="177">
        <f t="shared" si="92"/>
        <v>0</v>
      </c>
      <c r="AB2010" s="178">
        <f t="shared" si="93"/>
        <v>0</v>
      </c>
      <c r="AH2010" s="177">
        <f t="shared" si="91"/>
        <v>0</v>
      </c>
    </row>
    <row r="2011" spans="23:34">
      <c r="W2011" s="177">
        <f t="shared" si="92"/>
        <v>0</v>
      </c>
      <c r="AB2011" s="178">
        <f t="shared" si="93"/>
        <v>0</v>
      </c>
      <c r="AH2011" s="177">
        <f t="shared" si="91"/>
        <v>0</v>
      </c>
    </row>
    <row r="2012" spans="23:34">
      <c r="W2012" s="177">
        <f t="shared" si="92"/>
        <v>0</v>
      </c>
      <c r="AB2012" s="178">
        <f t="shared" si="93"/>
        <v>0</v>
      </c>
      <c r="AH2012" s="177">
        <f t="shared" si="91"/>
        <v>0</v>
      </c>
    </row>
    <row r="2013" spans="23:34">
      <c r="W2013" s="177">
        <f t="shared" si="92"/>
        <v>0</v>
      </c>
      <c r="AB2013" s="178">
        <f t="shared" si="93"/>
        <v>0</v>
      </c>
      <c r="AH2013" s="177">
        <f t="shared" si="91"/>
        <v>0</v>
      </c>
    </row>
    <row r="2014" spans="23:34">
      <c r="W2014" s="177">
        <f t="shared" si="92"/>
        <v>0</v>
      </c>
      <c r="AB2014" s="178">
        <f t="shared" si="93"/>
        <v>0</v>
      </c>
      <c r="AH2014" s="177">
        <f t="shared" si="91"/>
        <v>0</v>
      </c>
    </row>
    <row r="2015" spans="23:34">
      <c r="W2015" s="177">
        <f t="shared" si="92"/>
        <v>0</v>
      </c>
      <c r="AB2015" s="178">
        <f t="shared" si="93"/>
        <v>0</v>
      </c>
      <c r="AH2015" s="177">
        <f t="shared" si="91"/>
        <v>0</v>
      </c>
    </row>
    <row r="2016" spans="23:34">
      <c r="W2016" s="177">
        <f t="shared" si="92"/>
        <v>0</v>
      </c>
      <c r="AB2016" s="178">
        <f t="shared" si="93"/>
        <v>0</v>
      </c>
      <c r="AH2016" s="177">
        <f t="shared" si="91"/>
        <v>0</v>
      </c>
    </row>
    <row r="2017" spans="23:34">
      <c r="W2017" s="177">
        <f t="shared" si="92"/>
        <v>0</v>
      </c>
      <c r="AB2017" s="178">
        <f t="shared" si="93"/>
        <v>0</v>
      </c>
      <c r="AH2017" s="177">
        <f t="shared" si="91"/>
        <v>0</v>
      </c>
    </row>
    <row r="2018" spans="23:34">
      <c r="W2018" s="177">
        <f t="shared" si="92"/>
        <v>0</v>
      </c>
      <c r="AB2018" s="178">
        <f t="shared" si="93"/>
        <v>0</v>
      </c>
      <c r="AH2018" s="177">
        <f t="shared" si="91"/>
        <v>0</v>
      </c>
    </row>
    <row r="2019" spans="23:34">
      <c r="W2019" s="177">
        <f t="shared" si="92"/>
        <v>0</v>
      </c>
      <c r="AB2019" s="178">
        <f t="shared" si="93"/>
        <v>0</v>
      </c>
      <c r="AH2019" s="177">
        <f t="shared" si="91"/>
        <v>0</v>
      </c>
    </row>
    <row r="2020" spans="23:34">
      <c r="W2020" s="177">
        <f t="shared" si="92"/>
        <v>0</v>
      </c>
      <c r="AB2020" s="178">
        <f t="shared" si="93"/>
        <v>0</v>
      </c>
      <c r="AH2020" s="177">
        <f t="shared" si="91"/>
        <v>0</v>
      </c>
    </row>
    <row r="2021" spans="23:34">
      <c r="W2021" s="177">
        <f t="shared" si="92"/>
        <v>0</v>
      </c>
      <c r="AB2021" s="178">
        <f t="shared" si="93"/>
        <v>0</v>
      </c>
      <c r="AH2021" s="177">
        <f t="shared" si="91"/>
        <v>0</v>
      </c>
    </row>
    <row r="2022" spans="23:34">
      <c r="W2022" s="177">
        <f t="shared" si="92"/>
        <v>0</v>
      </c>
      <c r="AB2022" s="178">
        <f t="shared" si="93"/>
        <v>0</v>
      </c>
      <c r="AH2022" s="177">
        <f t="shared" si="91"/>
        <v>0</v>
      </c>
    </row>
    <row r="2023" spans="23:34">
      <c r="W2023" s="177">
        <f t="shared" si="92"/>
        <v>0</v>
      </c>
      <c r="AB2023" s="178">
        <f t="shared" si="93"/>
        <v>0</v>
      </c>
      <c r="AH2023" s="177">
        <f t="shared" si="91"/>
        <v>0</v>
      </c>
    </row>
    <row r="2024" spans="23:34">
      <c r="W2024" s="177">
        <f t="shared" si="92"/>
        <v>0</v>
      </c>
      <c r="AB2024" s="178">
        <f t="shared" si="93"/>
        <v>0</v>
      </c>
      <c r="AH2024" s="177">
        <f t="shared" si="91"/>
        <v>0</v>
      </c>
    </row>
    <row r="2025" spans="23:34">
      <c r="W2025" s="177">
        <f t="shared" si="92"/>
        <v>0</v>
      </c>
      <c r="AB2025" s="178">
        <f t="shared" si="93"/>
        <v>0</v>
      </c>
      <c r="AH2025" s="177">
        <f t="shared" si="91"/>
        <v>0</v>
      </c>
    </row>
    <row r="2026" spans="23:34">
      <c r="W2026" s="177">
        <f t="shared" si="92"/>
        <v>0</v>
      </c>
      <c r="AB2026" s="178">
        <f t="shared" si="93"/>
        <v>0</v>
      </c>
      <c r="AH2026" s="177">
        <f t="shared" si="91"/>
        <v>0</v>
      </c>
    </row>
    <row r="2027" spans="23:34">
      <c r="W2027" s="177">
        <f t="shared" si="92"/>
        <v>0</v>
      </c>
      <c r="AB2027" s="178">
        <f t="shared" si="93"/>
        <v>0</v>
      </c>
      <c r="AH2027" s="177">
        <f t="shared" si="91"/>
        <v>0</v>
      </c>
    </row>
    <row r="2028" spans="23:34">
      <c r="W2028" s="177">
        <f t="shared" si="92"/>
        <v>0</v>
      </c>
      <c r="AB2028" s="178">
        <f t="shared" si="93"/>
        <v>0</v>
      </c>
      <c r="AH2028" s="177">
        <f t="shared" si="91"/>
        <v>0</v>
      </c>
    </row>
    <row r="2029" spans="23:34">
      <c r="W2029" s="177">
        <f t="shared" si="92"/>
        <v>0</v>
      </c>
      <c r="AB2029" s="178">
        <f t="shared" si="93"/>
        <v>0</v>
      </c>
      <c r="AH2029" s="177">
        <f t="shared" si="91"/>
        <v>0</v>
      </c>
    </row>
    <row r="2030" spans="23:34">
      <c r="W2030" s="177">
        <f t="shared" si="92"/>
        <v>0</v>
      </c>
      <c r="AB2030" s="178">
        <f t="shared" si="93"/>
        <v>0</v>
      </c>
      <c r="AH2030" s="177">
        <f t="shared" si="91"/>
        <v>0</v>
      </c>
    </row>
    <row r="2031" spans="23:34">
      <c r="W2031" s="177">
        <f t="shared" si="92"/>
        <v>0</v>
      </c>
      <c r="AB2031" s="178">
        <f t="shared" si="93"/>
        <v>0</v>
      </c>
      <c r="AH2031" s="177">
        <f t="shared" si="91"/>
        <v>0</v>
      </c>
    </row>
    <row r="2032" spans="23:34">
      <c r="W2032" s="177">
        <f t="shared" si="92"/>
        <v>0</v>
      </c>
      <c r="AB2032" s="178">
        <f t="shared" si="93"/>
        <v>0</v>
      </c>
      <c r="AH2032" s="177">
        <f t="shared" ref="AH2032:AH2095" si="94">SUM(AF2032:AG2032)</f>
        <v>0</v>
      </c>
    </row>
    <row r="2033" spans="23:34">
      <c r="W2033" s="177">
        <f t="shared" si="92"/>
        <v>0</v>
      </c>
      <c r="AB2033" s="178">
        <f t="shared" si="93"/>
        <v>0</v>
      </c>
      <c r="AH2033" s="177">
        <f t="shared" si="94"/>
        <v>0</v>
      </c>
    </row>
    <row r="2034" spans="23:34">
      <c r="W2034" s="177">
        <f t="shared" si="92"/>
        <v>0</v>
      </c>
      <c r="AB2034" s="178">
        <f t="shared" si="93"/>
        <v>0</v>
      </c>
      <c r="AH2034" s="177">
        <f t="shared" si="94"/>
        <v>0</v>
      </c>
    </row>
    <row r="2035" spans="23:34">
      <c r="W2035" s="177">
        <f t="shared" ref="W2035:W2098" si="95">SUM(Q2035:T2035)</f>
        <v>0</v>
      </c>
      <c r="AB2035" s="178">
        <f t="shared" si="93"/>
        <v>0</v>
      </c>
      <c r="AH2035" s="177">
        <f t="shared" si="94"/>
        <v>0</v>
      </c>
    </row>
    <row r="2036" spans="23:34">
      <c r="W2036" s="177">
        <f t="shared" si="95"/>
        <v>0</v>
      </c>
      <c r="AB2036" s="178">
        <f t="shared" si="93"/>
        <v>0</v>
      </c>
      <c r="AH2036" s="177">
        <f t="shared" si="94"/>
        <v>0</v>
      </c>
    </row>
    <row r="2037" spans="23:34">
      <c r="W2037" s="177">
        <f t="shared" si="95"/>
        <v>0</v>
      </c>
      <c r="AB2037" s="178">
        <f t="shared" si="93"/>
        <v>0</v>
      </c>
      <c r="AH2037" s="177">
        <f t="shared" si="94"/>
        <v>0</v>
      </c>
    </row>
    <row r="2038" spans="23:34">
      <c r="W2038" s="177">
        <f t="shared" si="95"/>
        <v>0</v>
      </c>
      <c r="AB2038" s="178">
        <f t="shared" si="93"/>
        <v>0</v>
      </c>
      <c r="AH2038" s="177">
        <f t="shared" si="94"/>
        <v>0</v>
      </c>
    </row>
    <row r="2039" spans="23:34">
      <c r="W2039" s="177">
        <f t="shared" si="95"/>
        <v>0</v>
      </c>
      <c r="AB2039" s="178">
        <f t="shared" si="93"/>
        <v>0</v>
      </c>
      <c r="AH2039" s="177">
        <f t="shared" si="94"/>
        <v>0</v>
      </c>
    </row>
    <row r="2040" spans="23:34">
      <c r="W2040" s="177">
        <f t="shared" si="95"/>
        <v>0</v>
      </c>
      <c r="AB2040" s="178">
        <f t="shared" si="93"/>
        <v>0</v>
      </c>
      <c r="AH2040" s="177">
        <f t="shared" si="94"/>
        <v>0</v>
      </c>
    </row>
    <row r="2041" spans="23:34">
      <c r="W2041" s="177">
        <f t="shared" si="95"/>
        <v>0</v>
      </c>
      <c r="AB2041" s="178">
        <f t="shared" si="93"/>
        <v>0</v>
      </c>
      <c r="AH2041" s="177">
        <f t="shared" si="94"/>
        <v>0</v>
      </c>
    </row>
    <row r="2042" spans="23:34">
      <c r="W2042" s="177">
        <f t="shared" si="95"/>
        <v>0</v>
      </c>
      <c r="AB2042" s="178">
        <f t="shared" si="93"/>
        <v>0</v>
      </c>
      <c r="AH2042" s="177">
        <f t="shared" si="94"/>
        <v>0</v>
      </c>
    </row>
    <row r="2043" spans="23:34">
      <c r="W2043" s="177">
        <f t="shared" si="95"/>
        <v>0</v>
      </c>
      <c r="AB2043" s="178">
        <f t="shared" ref="AB2043:AB2106" si="96">SUM(Z2043:AA2043)</f>
        <v>0</v>
      </c>
      <c r="AH2043" s="177">
        <f t="shared" si="94"/>
        <v>0</v>
      </c>
    </row>
    <row r="2044" spans="23:34">
      <c r="W2044" s="177">
        <f t="shared" si="95"/>
        <v>0</v>
      </c>
      <c r="AB2044" s="178">
        <f t="shared" si="96"/>
        <v>0</v>
      </c>
      <c r="AH2044" s="177">
        <f t="shared" si="94"/>
        <v>0</v>
      </c>
    </row>
    <row r="2045" spans="23:34">
      <c r="W2045" s="177">
        <f t="shared" si="95"/>
        <v>0</v>
      </c>
      <c r="AB2045" s="178">
        <f t="shared" si="96"/>
        <v>0</v>
      </c>
      <c r="AH2045" s="177">
        <f t="shared" si="94"/>
        <v>0</v>
      </c>
    </row>
    <row r="2046" spans="23:34">
      <c r="W2046" s="177">
        <f t="shared" si="95"/>
        <v>0</v>
      </c>
      <c r="AB2046" s="178">
        <f t="shared" si="96"/>
        <v>0</v>
      </c>
      <c r="AH2046" s="177">
        <f t="shared" si="94"/>
        <v>0</v>
      </c>
    </row>
    <row r="2047" spans="23:34">
      <c r="W2047" s="177">
        <f t="shared" si="95"/>
        <v>0</v>
      </c>
      <c r="AB2047" s="178">
        <f t="shared" si="96"/>
        <v>0</v>
      </c>
      <c r="AH2047" s="177">
        <f t="shared" si="94"/>
        <v>0</v>
      </c>
    </row>
    <row r="2048" spans="23:34">
      <c r="W2048" s="177">
        <f t="shared" si="95"/>
        <v>0</v>
      </c>
      <c r="AB2048" s="178">
        <f t="shared" si="96"/>
        <v>0</v>
      </c>
      <c r="AH2048" s="177">
        <f t="shared" si="94"/>
        <v>0</v>
      </c>
    </row>
    <row r="2049" spans="23:34">
      <c r="W2049" s="177">
        <f t="shared" si="95"/>
        <v>0</v>
      </c>
      <c r="AB2049" s="178">
        <f t="shared" si="96"/>
        <v>0</v>
      </c>
      <c r="AH2049" s="177">
        <f t="shared" si="94"/>
        <v>0</v>
      </c>
    </row>
    <row r="2050" spans="23:34">
      <c r="W2050" s="177">
        <f t="shared" si="95"/>
        <v>0</v>
      </c>
      <c r="AB2050" s="178">
        <f t="shared" si="96"/>
        <v>0</v>
      </c>
      <c r="AH2050" s="177">
        <f t="shared" si="94"/>
        <v>0</v>
      </c>
    </row>
    <row r="2051" spans="23:34">
      <c r="W2051" s="177">
        <f t="shared" si="95"/>
        <v>0</v>
      </c>
      <c r="AB2051" s="178">
        <f t="shared" si="96"/>
        <v>0</v>
      </c>
      <c r="AH2051" s="177">
        <f t="shared" si="94"/>
        <v>0</v>
      </c>
    </row>
    <row r="2052" spans="23:34">
      <c r="W2052" s="177">
        <f t="shared" si="95"/>
        <v>0</v>
      </c>
      <c r="AB2052" s="178">
        <f t="shared" si="96"/>
        <v>0</v>
      </c>
      <c r="AH2052" s="177">
        <f t="shared" si="94"/>
        <v>0</v>
      </c>
    </row>
    <row r="2053" spans="23:34">
      <c r="W2053" s="177">
        <f t="shared" si="95"/>
        <v>0</v>
      </c>
      <c r="AB2053" s="178">
        <f t="shared" si="96"/>
        <v>0</v>
      </c>
      <c r="AH2053" s="177">
        <f t="shared" si="94"/>
        <v>0</v>
      </c>
    </row>
    <row r="2054" spans="23:34">
      <c r="W2054" s="177">
        <f t="shared" si="95"/>
        <v>0</v>
      </c>
      <c r="AB2054" s="178">
        <f t="shared" si="96"/>
        <v>0</v>
      </c>
      <c r="AH2054" s="177">
        <f t="shared" si="94"/>
        <v>0</v>
      </c>
    </row>
    <row r="2055" spans="23:34">
      <c r="W2055" s="177">
        <f t="shared" si="95"/>
        <v>0</v>
      </c>
      <c r="AB2055" s="178">
        <f t="shared" si="96"/>
        <v>0</v>
      </c>
      <c r="AH2055" s="177">
        <f t="shared" si="94"/>
        <v>0</v>
      </c>
    </row>
    <row r="2056" spans="23:34">
      <c r="W2056" s="177">
        <f t="shared" si="95"/>
        <v>0</v>
      </c>
      <c r="AB2056" s="178">
        <f t="shared" si="96"/>
        <v>0</v>
      </c>
      <c r="AH2056" s="177">
        <f t="shared" si="94"/>
        <v>0</v>
      </c>
    </row>
    <row r="2057" spans="23:34">
      <c r="W2057" s="177">
        <f t="shared" si="95"/>
        <v>0</v>
      </c>
      <c r="AB2057" s="178">
        <f t="shared" si="96"/>
        <v>0</v>
      </c>
      <c r="AH2057" s="177">
        <f t="shared" si="94"/>
        <v>0</v>
      </c>
    </row>
    <row r="2058" spans="23:34">
      <c r="W2058" s="177">
        <f t="shared" si="95"/>
        <v>0</v>
      </c>
      <c r="AB2058" s="178">
        <f t="shared" si="96"/>
        <v>0</v>
      </c>
      <c r="AH2058" s="177">
        <f t="shared" si="94"/>
        <v>0</v>
      </c>
    </row>
    <row r="2059" spans="23:34">
      <c r="W2059" s="177">
        <f t="shared" si="95"/>
        <v>0</v>
      </c>
      <c r="AB2059" s="178">
        <f t="shared" si="96"/>
        <v>0</v>
      </c>
      <c r="AH2059" s="177">
        <f t="shared" si="94"/>
        <v>0</v>
      </c>
    </row>
    <row r="2060" spans="23:34">
      <c r="W2060" s="177">
        <f t="shared" si="95"/>
        <v>0</v>
      </c>
      <c r="AB2060" s="178">
        <f t="shared" si="96"/>
        <v>0</v>
      </c>
      <c r="AH2060" s="177">
        <f t="shared" si="94"/>
        <v>0</v>
      </c>
    </row>
    <row r="2061" spans="23:34">
      <c r="W2061" s="177">
        <f t="shared" si="95"/>
        <v>0</v>
      </c>
      <c r="AB2061" s="178">
        <f t="shared" si="96"/>
        <v>0</v>
      </c>
      <c r="AH2061" s="177">
        <f t="shared" si="94"/>
        <v>0</v>
      </c>
    </row>
    <row r="2062" spans="23:34">
      <c r="W2062" s="177">
        <f t="shared" si="95"/>
        <v>0</v>
      </c>
      <c r="AB2062" s="178">
        <f t="shared" si="96"/>
        <v>0</v>
      </c>
      <c r="AH2062" s="177">
        <f t="shared" si="94"/>
        <v>0</v>
      </c>
    </row>
    <row r="2063" spans="23:34">
      <c r="W2063" s="177">
        <f t="shared" si="95"/>
        <v>0</v>
      </c>
      <c r="AB2063" s="178">
        <f t="shared" si="96"/>
        <v>0</v>
      </c>
      <c r="AH2063" s="177">
        <f t="shared" si="94"/>
        <v>0</v>
      </c>
    </row>
    <row r="2064" spans="23:34">
      <c r="W2064" s="177">
        <f t="shared" si="95"/>
        <v>0</v>
      </c>
      <c r="AB2064" s="178">
        <f t="shared" si="96"/>
        <v>0</v>
      </c>
      <c r="AH2064" s="177">
        <f t="shared" si="94"/>
        <v>0</v>
      </c>
    </row>
    <row r="2065" spans="23:34">
      <c r="W2065" s="177">
        <f t="shared" si="95"/>
        <v>0</v>
      </c>
      <c r="AB2065" s="178">
        <f t="shared" si="96"/>
        <v>0</v>
      </c>
      <c r="AH2065" s="177">
        <f t="shared" si="94"/>
        <v>0</v>
      </c>
    </row>
    <row r="2066" spans="23:34">
      <c r="W2066" s="177">
        <f t="shared" si="95"/>
        <v>0</v>
      </c>
      <c r="AB2066" s="178">
        <f t="shared" si="96"/>
        <v>0</v>
      </c>
      <c r="AH2066" s="177">
        <f t="shared" si="94"/>
        <v>0</v>
      </c>
    </row>
    <row r="2067" spans="23:34">
      <c r="W2067" s="177">
        <f t="shared" si="95"/>
        <v>0</v>
      </c>
      <c r="AB2067" s="178">
        <f t="shared" si="96"/>
        <v>0</v>
      </c>
      <c r="AH2067" s="177">
        <f t="shared" si="94"/>
        <v>0</v>
      </c>
    </row>
    <row r="2068" spans="23:34">
      <c r="W2068" s="177">
        <f t="shared" si="95"/>
        <v>0</v>
      </c>
      <c r="AB2068" s="178">
        <f t="shared" si="96"/>
        <v>0</v>
      </c>
      <c r="AH2068" s="177">
        <f t="shared" si="94"/>
        <v>0</v>
      </c>
    </row>
    <row r="2069" spans="23:34">
      <c r="W2069" s="177">
        <f t="shared" si="95"/>
        <v>0</v>
      </c>
      <c r="AB2069" s="178">
        <f t="shared" si="96"/>
        <v>0</v>
      </c>
      <c r="AH2069" s="177">
        <f t="shared" si="94"/>
        <v>0</v>
      </c>
    </row>
    <row r="2070" spans="23:34">
      <c r="W2070" s="177">
        <f t="shared" si="95"/>
        <v>0</v>
      </c>
      <c r="AB2070" s="178">
        <f t="shared" si="96"/>
        <v>0</v>
      </c>
      <c r="AH2070" s="177">
        <f t="shared" si="94"/>
        <v>0</v>
      </c>
    </row>
    <row r="2071" spans="23:34">
      <c r="W2071" s="177">
        <f t="shared" si="95"/>
        <v>0</v>
      </c>
      <c r="AB2071" s="178">
        <f t="shared" si="96"/>
        <v>0</v>
      </c>
      <c r="AH2071" s="177">
        <f t="shared" si="94"/>
        <v>0</v>
      </c>
    </row>
    <row r="2072" spans="23:34">
      <c r="W2072" s="177">
        <f t="shared" si="95"/>
        <v>0</v>
      </c>
      <c r="AB2072" s="178">
        <f t="shared" si="96"/>
        <v>0</v>
      </c>
      <c r="AH2072" s="177">
        <f t="shared" si="94"/>
        <v>0</v>
      </c>
    </row>
    <row r="2073" spans="23:34">
      <c r="W2073" s="177">
        <f t="shared" si="95"/>
        <v>0</v>
      </c>
      <c r="AB2073" s="178">
        <f t="shared" si="96"/>
        <v>0</v>
      </c>
      <c r="AH2073" s="177">
        <f t="shared" si="94"/>
        <v>0</v>
      </c>
    </row>
    <row r="2074" spans="23:34">
      <c r="W2074" s="177">
        <f t="shared" si="95"/>
        <v>0</v>
      </c>
      <c r="AB2074" s="178">
        <f t="shared" si="96"/>
        <v>0</v>
      </c>
      <c r="AH2074" s="177">
        <f t="shared" si="94"/>
        <v>0</v>
      </c>
    </row>
    <row r="2075" spans="23:34">
      <c r="W2075" s="177">
        <f t="shared" si="95"/>
        <v>0</v>
      </c>
      <c r="AB2075" s="178">
        <f t="shared" si="96"/>
        <v>0</v>
      </c>
      <c r="AH2075" s="177">
        <f t="shared" si="94"/>
        <v>0</v>
      </c>
    </row>
    <row r="2076" spans="23:34">
      <c r="W2076" s="177">
        <f t="shared" si="95"/>
        <v>0</v>
      </c>
      <c r="AB2076" s="178">
        <f t="shared" si="96"/>
        <v>0</v>
      </c>
      <c r="AH2076" s="177">
        <f t="shared" si="94"/>
        <v>0</v>
      </c>
    </row>
    <row r="2077" spans="23:34">
      <c r="W2077" s="177">
        <f t="shared" si="95"/>
        <v>0</v>
      </c>
      <c r="AB2077" s="178">
        <f t="shared" si="96"/>
        <v>0</v>
      </c>
      <c r="AH2077" s="177">
        <f t="shared" si="94"/>
        <v>0</v>
      </c>
    </row>
    <row r="2078" spans="23:34">
      <c r="W2078" s="177">
        <f t="shared" si="95"/>
        <v>0</v>
      </c>
      <c r="AB2078" s="178">
        <f t="shared" si="96"/>
        <v>0</v>
      </c>
      <c r="AH2078" s="177">
        <f t="shared" si="94"/>
        <v>0</v>
      </c>
    </row>
    <row r="2079" spans="23:34">
      <c r="W2079" s="177">
        <f t="shared" si="95"/>
        <v>0</v>
      </c>
      <c r="AB2079" s="178">
        <f t="shared" si="96"/>
        <v>0</v>
      </c>
      <c r="AH2079" s="177">
        <f t="shared" si="94"/>
        <v>0</v>
      </c>
    </row>
    <row r="2080" spans="23:34">
      <c r="W2080" s="177">
        <f t="shared" si="95"/>
        <v>0</v>
      </c>
      <c r="AB2080" s="178">
        <f t="shared" si="96"/>
        <v>0</v>
      </c>
      <c r="AH2080" s="177">
        <f t="shared" si="94"/>
        <v>0</v>
      </c>
    </row>
    <row r="2081" spans="23:34">
      <c r="W2081" s="177">
        <f t="shared" si="95"/>
        <v>0</v>
      </c>
      <c r="AB2081" s="178">
        <f t="shared" si="96"/>
        <v>0</v>
      </c>
      <c r="AH2081" s="177">
        <f t="shared" si="94"/>
        <v>0</v>
      </c>
    </row>
    <row r="2082" spans="23:34">
      <c r="W2082" s="177">
        <f t="shared" si="95"/>
        <v>0</v>
      </c>
      <c r="AB2082" s="178">
        <f t="shared" si="96"/>
        <v>0</v>
      </c>
      <c r="AH2082" s="177">
        <f t="shared" si="94"/>
        <v>0</v>
      </c>
    </row>
    <row r="2083" spans="23:34">
      <c r="W2083" s="177">
        <f t="shared" si="95"/>
        <v>0</v>
      </c>
      <c r="AB2083" s="178">
        <f t="shared" si="96"/>
        <v>0</v>
      </c>
      <c r="AH2083" s="177">
        <f t="shared" si="94"/>
        <v>0</v>
      </c>
    </row>
    <row r="2084" spans="23:34">
      <c r="W2084" s="177">
        <f t="shared" si="95"/>
        <v>0</v>
      </c>
      <c r="AB2084" s="178">
        <f t="shared" si="96"/>
        <v>0</v>
      </c>
      <c r="AH2084" s="177">
        <f t="shared" si="94"/>
        <v>0</v>
      </c>
    </row>
    <row r="2085" spans="23:34">
      <c r="W2085" s="177">
        <f t="shared" si="95"/>
        <v>0</v>
      </c>
      <c r="AB2085" s="178">
        <f t="shared" si="96"/>
        <v>0</v>
      </c>
      <c r="AH2085" s="177">
        <f t="shared" si="94"/>
        <v>0</v>
      </c>
    </row>
    <row r="2086" spans="23:34">
      <c r="W2086" s="177">
        <f t="shared" si="95"/>
        <v>0</v>
      </c>
      <c r="AB2086" s="178">
        <f t="shared" si="96"/>
        <v>0</v>
      </c>
      <c r="AH2086" s="177">
        <f t="shared" si="94"/>
        <v>0</v>
      </c>
    </row>
    <row r="2087" spans="23:34">
      <c r="W2087" s="177">
        <f t="shared" si="95"/>
        <v>0</v>
      </c>
      <c r="AB2087" s="178">
        <f t="shared" si="96"/>
        <v>0</v>
      </c>
      <c r="AH2087" s="177">
        <f t="shared" si="94"/>
        <v>0</v>
      </c>
    </row>
    <row r="2088" spans="23:34">
      <c r="W2088" s="177">
        <f t="shared" si="95"/>
        <v>0</v>
      </c>
      <c r="AB2088" s="178">
        <f t="shared" si="96"/>
        <v>0</v>
      </c>
      <c r="AH2088" s="177">
        <f t="shared" si="94"/>
        <v>0</v>
      </c>
    </row>
    <row r="2089" spans="23:34">
      <c r="W2089" s="177">
        <f t="shared" si="95"/>
        <v>0</v>
      </c>
      <c r="AB2089" s="178">
        <f t="shared" si="96"/>
        <v>0</v>
      </c>
      <c r="AH2089" s="177">
        <f t="shared" si="94"/>
        <v>0</v>
      </c>
    </row>
    <row r="2090" spans="23:34">
      <c r="W2090" s="177">
        <f t="shared" si="95"/>
        <v>0</v>
      </c>
      <c r="AB2090" s="178">
        <f t="shared" si="96"/>
        <v>0</v>
      </c>
      <c r="AH2090" s="177">
        <f t="shared" si="94"/>
        <v>0</v>
      </c>
    </row>
    <row r="2091" spans="23:34">
      <c r="W2091" s="177">
        <f t="shared" si="95"/>
        <v>0</v>
      </c>
      <c r="AB2091" s="178">
        <f t="shared" si="96"/>
        <v>0</v>
      </c>
      <c r="AH2091" s="177">
        <f t="shared" si="94"/>
        <v>0</v>
      </c>
    </row>
    <row r="2092" spans="23:34">
      <c r="W2092" s="177">
        <f t="shared" si="95"/>
        <v>0</v>
      </c>
      <c r="AB2092" s="178">
        <f t="shared" si="96"/>
        <v>0</v>
      </c>
      <c r="AH2092" s="177">
        <f t="shared" si="94"/>
        <v>0</v>
      </c>
    </row>
    <row r="2093" spans="23:34">
      <c r="W2093" s="177">
        <f t="shared" si="95"/>
        <v>0</v>
      </c>
      <c r="AB2093" s="178">
        <f t="shared" si="96"/>
        <v>0</v>
      </c>
      <c r="AH2093" s="177">
        <f t="shared" si="94"/>
        <v>0</v>
      </c>
    </row>
    <row r="2094" spans="23:34">
      <c r="W2094" s="177">
        <f t="shared" si="95"/>
        <v>0</v>
      </c>
      <c r="AB2094" s="178">
        <f t="shared" si="96"/>
        <v>0</v>
      </c>
      <c r="AH2094" s="177">
        <f t="shared" si="94"/>
        <v>0</v>
      </c>
    </row>
    <row r="2095" spans="23:34">
      <c r="W2095" s="177">
        <f t="shared" si="95"/>
        <v>0</v>
      </c>
      <c r="AB2095" s="178">
        <f t="shared" si="96"/>
        <v>0</v>
      </c>
      <c r="AH2095" s="177">
        <f t="shared" si="94"/>
        <v>0</v>
      </c>
    </row>
    <row r="2096" spans="23:34">
      <c r="W2096" s="177">
        <f t="shared" si="95"/>
        <v>0</v>
      </c>
      <c r="AB2096" s="178">
        <f t="shared" si="96"/>
        <v>0</v>
      </c>
      <c r="AH2096" s="177">
        <f t="shared" ref="AH2096:AH2159" si="97">SUM(AF2096:AG2096)</f>
        <v>0</v>
      </c>
    </row>
    <row r="2097" spans="23:34">
      <c r="W2097" s="177">
        <f t="shared" si="95"/>
        <v>0</v>
      </c>
      <c r="AB2097" s="178">
        <f t="shared" si="96"/>
        <v>0</v>
      </c>
      <c r="AH2097" s="177">
        <f t="shared" si="97"/>
        <v>0</v>
      </c>
    </row>
    <row r="2098" spans="23:34">
      <c r="W2098" s="177">
        <f t="shared" si="95"/>
        <v>0</v>
      </c>
      <c r="AB2098" s="178">
        <f t="shared" si="96"/>
        <v>0</v>
      </c>
      <c r="AH2098" s="177">
        <f t="shared" si="97"/>
        <v>0</v>
      </c>
    </row>
    <row r="2099" spans="23:34">
      <c r="W2099" s="177">
        <f t="shared" ref="W2099:W2162" si="98">SUM(Q2099:T2099)</f>
        <v>0</v>
      </c>
      <c r="AB2099" s="178">
        <f t="shared" si="96"/>
        <v>0</v>
      </c>
      <c r="AH2099" s="177">
        <f t="shared" si="97"/>
        <v>0</v>
      </c>
    </row>
    <row r="2100" spans="23:34">
      <c r="W2100" s="177">
        <f t="shared" si="98"/>
        <v>0</v>
      </c>
      <c r="AB2100" s="178">
        <f t="shared" si="96"/>
        <v>0</v>
      </c>
      <c r="AH2100" s="177">
        <f t="shared" si="97"/>
        <v>0</v>
      </c>
    </row>
    <row r="2101" spans="23:34">
      <c r="W2101" s="177">
        <f t="shared" si="98"/>
        <v>0</v>
      </c>
      <c r="AB2101" s="178">
        <f t="shared" si="96"/>
        <v>0</v>
      </c>
      <c r="AH2101" s="177">
        <f t="shared" si="97"/>
        <v>0</v>
      </c>
    </row>
    <row r="2102" spans="23:34">
      <c r="W2102" s="177">
        <f t="shared" si="98"/>
        <v>0</v>
      </c>
      <c r="AB2102" s="178">
        <f t="shared" si="96"/>
        <v>0</v>
      </c>
      <c r="AH2102" s="177">
        <f t="shared" si="97"/>
        <v>0</v>
      </c>
    </row>
    <row r="2103" spans="23:34">
      <c r="W2103" s="177">
        <f t="shared" si="98"/>
        <v>0</v>
      </c>
      <c r="AB2103" s="178">
        <f t="shared" si="96"/>
        <v>0</v>
      </c>
      <c r="AH2103" s="177">
        <f t="shared" si="97"/>
        <v>0</v>
      </c>
    </row>
    <row r="2104" spans="23:34">
      <c r="W2104" s="177">
        <f t="shared" si="98"/>
        <v>0</v>
      </c>
      <c r="AB2104" s="178">
        <f t="shared" si="96"/>
        <v>0</v>
      </c>
      <c r="AH2104" s="177">
        <f t="shared" si="97"/>
        <v>0</v>
      </c>
    </row>
    <row r="2105" spans="23:34">
      <c r="W2105" s="177">
        <f t="shared" si="98"/>
        <v>0</v>
      </c>
      <c r="AB2105" s="178">
        <f t="shared" si="96"/>
        <v>0</v>
      </c>
      <c r="AH2105" s="177">
        <f t="shared" si="97"/>
        <v>0</v>
      </c>
    </row>
    <row r="2106" spans="23:34">
      <c r="W2106" s="177">
        <f t="shared" si="98"/>
        <v>0</v>
      </c>
      <c r="AB2106" s="178">
        <f t="shared" si="96"/>
        <v>0</v>
      </c>
      <c r="AH2106" s="177">
        <f t="shared" si="97"/>
        <v>0</v>
      </c>
    </row>
    <row r="2107" spans="23:34">
      <c r="W2107" s="177">
        <f t="shared" si="98"/>
        <v>0</v>
      </c>
      <c r="AB2107" s="178">
        <f t="shared" ref="AB2107:AB2170" si="99">SUM(Z2107:AA2107)</f>
        <v>0</v>
      </c>
      <c r="AH2107" s="177">
        <f t="shared" si="97"/>
        <v>0</v>
      </c>
    </row>
    <row r="2108" spans="23:34">
      <c r="W2108" s="177">
        <f t="shared" si="98"/>
        <v>0</v>
      </c>
      <c r="AB2108" s="178">
        <f t="shared" si="99"/>
        <v>0</v>
      </c>
      <c r="AH2108" s="177">
        <f t="shared" si="97"/>
        <v>0</v>
      </c>
    </row>
    <row r="2109" spans="23:34">
      <c r="W2109" s="177">
        <f t="shared" si="98"/>
        <v>0</v>
      </c>
      <c r="AB2109" s="178">
        <f t="shared" si="99"/>
        <v>0</v>
      </c>
      <c r="AH2109" s="177">
        <f t="shared" si="97"/>
        <v>0</v>
      </c>
    </row>
    <row r="2110" spans="23:34">
      <c r="W2110" s="177">
        <f t="shared" si="98"/>
        <v>0</v>
      </c>
      <c r="AB2110" s="178">
        <f t="shared" si="99"/>
        <v>0</v>
      </c>
      <c r="AH2110" s="177">
        <f t="shared" si="97"/>
        <v>0</v>
      </c>
    </row>
    <row r="2111" spans="23:34">
      <c r="W2111" s="177">
        <f t="shared" si="98"/>
        <v>0</v>
      </c>
      <c r="AB2111" s="178">
        <f t="shared" si="99"/>
        <v>0</v>
      </c>
      <c r="AH2111" s="177">
        <f t="shared" si="97"/>
        <v>0</v>
      </c>
    </row>
    <row r="2112" spans="23:34">
      <c r="W2112" s="177">
        <f t="shared" si="98"/>
        <v>0</v>
      </c>
      <c r="AB2112" s="178">
        <f t="shared" si="99"/>
        <v>0</v>
      </c>
      <c r="AH2112" s="177">
        <f t="shared" si="97"/>
        <v>0</v>
      </c>
    </row>
    <row r="2113" spans="23:34">
      <c r="W2113" s="177">
        <f t="shared" si="98"/>
        <v>0</v>
      </c>
      <c r="AB2113" s="178">
        <f t="shared" si="99"/>
        <v>0</v>
      </c>
      <c r="AH2113" s="177">
        <f t="shared" si="97"/>
        <v>0</v>
      </c>
    </row>
    <row r="2114" spans="23:34">
      <c r="W2114" s="177">
        <f t="shared" si="98"/>
        <v>0</v>
      </c>
      <c r="AB2114" s="178">
        <f t="shared" si="99"/>
        <v>0</v>
      </c>
      <c r="AH2114" s="177">
        <f t="shared" si="97"/>
        <v>0</v>
      </c>
    </row>
    <row r="2115" spans="23:34">
      <c r="W2115" s="177">
        <f t="shared" si="98"/>
        <v>0</v>
      </c>
      <c r="AB2115" s="178">
        <f t="shared" si="99"/>
        <v>0</v>
      </c>
      <c r="AH2115" s="177">
        <f t="shared" si="97"/>
        <v>0</v>
      </c>
    </row>
    <row r="2116" spans="23:34">
      <c r="W2116" s="177">
        <f t="shared" si="98"/>
        <v>0</v>
      </c>
      <c r="AB2116" s="178">
        <f t="shared" si="99"/>
        <v>0</v>
      </c>
      <c r="AH2116" s="177">
        <f t="shared" si="97"/>
        <v>0</v>
      </c>
    </row>
    <row r="2117" spans="23:34">
      <c r="W2117" s="177">
        <f t="shared" si="98"/>
        <v>0</v>
      </c>
      <c r="AB2117" s="178">
        <f t="shared" si="99"/>
        <v>0</v>
      </c>
      <c r="AH2117" s="177">
        <f t="shared" si="97"/>
        <v>0</v>
      </c>
    </row>
    <row r="2118" spans="23:34">
      <c r="W2118" s="177">
        <f t="shared" si="98"/>
        <v>0</v>
      </c>
      <c r="AB2118" s="178">
        <f t="shared" si="99"/>
        <v>0</v>
      </c>
      <c r="AH2118" s="177">
        <f t="shared" si="97"/>
        <v>0</v>
      </c>
    </row>
    <row r="2119" spans="23:34">
      <c r="W2119" s="177">
        <f t="shared" si="98"/>
        <v>0</v>
      </c>
      <c r="AB2119" s="178">
        <f t="shared" si="99"/>
        <v>0</v>
      </c>
      <c r="AH2119" s="177">
        <f t="shared" si="97"/>
        <v>0</v>
      </c>
    </row>
    <row r="2120" spans="23:34">
      <c r="W2120" s="177">
        <f t="shared" si="98"/>
        <v>0</v>
      </c>
      <c r="AB2120" s="178">
        <f t="shared" si="99"/>
        <v>0</v>
      </c>
      <c r="AH2120" s="177">
        <f t="shared" si="97"/>
        <v>0</v>
      </c>
    </row>
    <row r="2121" spans="23:34">
      <c r="W2121" s="177">
        <f t="shared" si="98"/>
        <v>0</v>
      </c>
      <c r="AB2121" s="178">
        <f t="shared" si="99"/>
        <v>0</v>
      </c>
      <c r="AH2121" s="177">
        <f t="shared" si="97"/>
        <v>0</v>
      </c>
    </row>
    <row r="2122" spans="23:34">
      <c r="W2122" s="177">
        <f t="shared" si="98"/>
        <v>0</v>
      </c>
      <c r="AB2122" s="178">
        <f t="shared" si="99"/>
        <v>0</v>
      </c>
      <c r="AH2122" s="177">
        <f t="shared" si="97"/>
        <v>0</v>
      </c>
    </row>
    <row r="2123" spans="23:34">
      <c r="W2123" s="177">
        <f t="shared" si="98"/>
        <v>0</v>
      </c>
      <c r="AB2123" s="178">
        <f t="shared" si="99"/>
        <v>0</v>
      </c>
      <c r="AH2123" s="177">
        <f t="shared" si="97"/>
        <v>0</v>
      </c>
    </row>
    <row r="2124" spans="23:34">
      <c r="W2124" s="177">
        <f t="shared" si="98"/>
        <v>0</v>
      </c>
      <c r="AB2124" s="178">
        <f t="shared" si="99"/>
        <v>0</v>
      </c>
      <c r="AH2124" s="177">
        <f t="shared" si="97"/>
        <v>0</v>
      </c>
    </row>
    <row r="2125" spans="23:34">
      <c r="W2125" s="177">
        <f t="shared" si="98"/>
        <v>0</v>
      </c>
      <c r="AB2125" s="178">
        <f t="shared" si="99"/>
        <v>0</v>
      </c>
      <c r="AH2125" s="177">
        <f t="shared" si="97"/>
        <v>0</v>
      </c>
    </row>
    <row r="2126" spans="23:34">
      <c r="W2126" s="177">
        <f t="shared" si="98"/>
        <v>0</v>
      </c>
      <c r="AB2126" s="178">
        <f t="shared" si="99"/>
        <v>0</v>
      </c>
      <c r="AH2126" s="177">
        <f t="shared" si="97"/>
        <v>0</v>
      </c>
    </row>
    <row r="2127" spans="23:34">
      <c r="W2127" s="177">
        <f t="shared" si="98"/>
        <v>0</v>
      </c>
      <c r="AB2127" s="178">
        <f t="shared" si="99"/>
        <v>0</v>
      </c>
      <c r="AH2127" s="177">
        <f t="shared" si="97"/>
        <v>0</v>
      </c>
    </row>
    <row r="2128" spans="23:34">
      <c r="W2128" s="177">
        <f t="shared" si="98"/>
        <v>0</v>
      </c>
      <c r="AB2128" s="178">
        <f t="shared" si="99"/>
        <v>0</v>
      </c>
      <c r="AH2128" s="177">
        <f t="shared" si="97"/>
        <v>0</v>
      </c>
    </row>
    <row r="2129" spans="23:34">
      <c r="W2129" s="177">
        <f t="shared" si="98"/>
        <v>0</v>
      </c>
      <c r="AB2129" s="178">
        <f t="shared" si="99"/>
        <v>0</v>
      </c>
      <c r="AH2129" s="177">
        <f t="shared" si="97"/>
        <v>0</v>
      </c>
    </row>
    <row r="2130" spans="23:34">
      <c r="W2130" s="177">
        <f t="shared" si="98"/>
        <v>0</v>
      </c>
      <c r="AB2130" s="178">
        <f t="shared" si="99"/>
        <v>0</v>
      </c>
      <c r="AH2130" s="177">
        <f t="shared" si="97"/>
        <v>0</v>
      </c>
    </row>
    <row r="2131" spans="23:34">
      <c r="W2131" s="177">
        <f t="shared" si="98"/>
        <v>0</v>
      </c>
      <c r="AB2131" s="178">
        <f t="shared" si="99"/>
        <v>0</v>
      </c>
      <c r="AH2131" s="177">
        <f t="shared" si="97"/>
        <v>0</v>
      </c>
    </row>
    <row r="2132" spans="23:34">
      <c r="W2132" s="177">
        <f t="shared" si="98"/>
        <v>0</v>
      </c>
      <c r="AB2132" s="178">
        <f t="shared" si="99"/>
        <v>0</v>
      </c>
      <c r="AH2132" s="177">
        <f t="shared" si="97"/>
        <v>0</v>
      </c>
    </row>
    <row r="2133" spans="23:34">
      <c r="W2133" s="177">
        <f t="shared" si="98"/>
        <v>0</v>
      </c>
      <c r="AB2133" s="178">
        <f t="shared" si="99"/>
        <v>0</v>
      </c>
      <c r="AH2133" s="177">
        <f t="shared" si="97"/>
        <v>0</v>
      </c>
    </row>
    <row r="2134" spans="23:34">
      <c r="W2134" s="177">
        <f t="shared" si="98"/>
        <v>0</v>
      </c>
      <c r="AB2134" s="178">
        <f t="shared" si="99"/>
        <v>0</v>
      </c>
      <c r="AH2134" s="177">
        <f t="shared" si="97"/>
        <v>0</v>
      </c>
    </row>
    <row r="2135" spans="23:34">
      <c r="W2135" s="177">
        <f t="shared" si="98"/>
        <v>0</v>
      </c>
      <c r="AB2135" s="178">
        <f t="shared" si="99"/>
        <v>0</v>
      </c>
      <c r="AH2135" s="177">
        <f t="shared" si="97"/>
        <v>0</v>
      </c>
    </row>
    <row r="2136" spans="23:34">
      <c r="W2136" s="177">
        <f t="shared" si="98"/>
        <v>0</v>
      </c>
      <c r="AB2136" s="178">
        <f t="shared" si="99"/>
        <v>0</v>
      </c>
      <c r="AH2136" s="177">
        <f t="shared" si="97"/>
        <v>0</v>
      </c>
    </row>
    <row r="2137" spans="23:34">
      <c r="W2137" s="177">
        <f t="shared" si="98"/>
        <v>0</v>
      </c>
      <c r="AB2137" s="178">
        <f t="shared" si="99"/>
        <v>0</v>
      </c>
      <c r="AH2137" s="177">
        <f t="shared" si="97"/>
        <v>0</v>
      </c>
    </row>
    <row r="2138" spans="23:34">
      <c r="W2138" s="177">
        <f t="shared" si="98"/>
        <v>0</v>
      </c>
      <c r="AB2138" s="178">
        <f t="shared" si="99"/>
        <v>0</v>
      </c>
      <c r="AH2138" s="177">
        <f t="shared" si="97"/>
        <v>0</v>
      </c>
    </row>
    <row r="2139" spans="23:34">
      <c r="W2139" s="177">
        <f t="shared" si="98"/>
        <v>0</v>
      </c>
      <c r="AB2139" s="178">
        <f t="shared" si="99"/>
        <v>0</v>
      </c>
      <c r="AH2139" s="177">
        <f t="shared" si="97"/>
        <v>0</v>
      </c>
    </row>
    <row r="2140" spans="23:34">
      <c r="W2140" s="177">
        <f t="shared" si="98"/>
        <v>0</v>
      </c>
      <c r="AB2140" s="178">
        <f t="shared" si="99"/>
        <v>0</v>
      </c>
      <c r="AH2140" s="177">
        <f t="shared" si="97"/>
        <v>0</v>
      </c>
    </row>
    <row r="2141" spans="23:34">
      <c r="W2141" s="177">
        <f t="shared" si="98"/>
        <v>0</v>
      </c>
      <c r="AB2141" s="178">
        <f t="shared" si="99"/>
        <v>0</v>
      </c>
      <c r="AH2141" s="177">
        <f t="shared" si="97"/>
        <v>0</v>
      </c>
    </row>
    <row r="2142" spans="23:34">
      <c r="W2142" s="177">
        <f t="shared" si="98"/>
        <v>0</v>
      </c>
      <c r="AB2142" s="178">
        <f t="shared" si="99"/>
        <v>0</v>
      </c>
      <c r="AH2142" s="177">
        <f t="shared" si="97"/>
        <v>0</v>
      </c>
    </row>
    <row r="2143" spans="23:34">
      <c r="W2143" s="177">
        <f t="shared" si="98"/>
        <v>0</v>
      </c>
      <c r="AB2143" s="178">
        <f t="shared" si="99"/>
        <v>0</v>
      </c>
      <c r="AH2143" s="177">
        <f t="shared" si="97"/>
        <v>0</v>
      </c>
    </row>
    <row r="2144" spans="23:34">
      <c r="W2144" s="177">
        <f t="shared" si="98"/>
        <v>0</v>
      </c>
      <c r="AB2144" s="178">
        <f t="shared" si="99"/>
        <v>0</v>
      </c>
      <c r="AH2144" s="177">
        <f t="shared" si="97"/>
        <v>0</v>
      </c>
    </row>
    <row r="2145" spans="23:34">
      <c r="W2145" s="177">
        <f t="shared" si="98"/>
        <v>0</v>
      </c>
      <c r="AB2145" s="178">
        <f t="shared" si="99"/>
        <v>0</v>
      </c>
      <c r="AH2145" s="177">
        <f t="shared" si="97"/>
        <v>0</v>
      </c>
    </row>
    <row r="2146" spans="23:34">
      <c r="W2146" s="177">
        <f t="shared" si="98"/>
        <v>0</v>
      </c>
      <c r="AB2146" s="178">
        <f t="shared" si="99"/>
        <v>0</v>
      </c>
      <c r="AH2146" s="177">
        <f t="shared" si="97"/>
        <v>0</v>
      </c>
    </row>
    <row r="2147" spans="23:34">
      <c r="W2147" s="177">
        <f t="shared" si="98"/>
        <v>0</v>
      </c>
      <c r="AB2147" s="178">
        <f t="shared" si="99"/>
        <v>0</v>
      </c>
      <c r="AH2147" s="177">
        <f t="shared" si="97"/>
        <v>0</v>
      </c>
    </row>
    <row r="2148" spans="23:34">
      <c r="W2148" s="177">
        <f t="shared" si="98"/>
        <v>0</v>
      </c>
      <c r="AB2148" s="178">
        <f t="shared" si="99"/>
        <v>0</v>
      </c>
      <c r="AH2148" s="177">
        <f t="shared" si="97"/>
        <v>0</v>
      </c>
    </row>
    <row r="2149" spans="23:34">
      <c r="W2149" s="177">
        <f t="shared" si="98"/>
        <v>0</v>
      </c>
      <c r="AB2149" s="178">
        <f t="shared" si="99"/>
        <v>0</v>
      </c>
      <c r="AH2149" s="177">
        <f t="shared" si="97"/>
        <v>0</v>
      </c>
    </row>
    <row r="2150" spans="23:34">
      <c r="W2150" s="177">
        <f t="shared" si="98"/>
        <v>0</v>
      </c>
      <c r="AB2150" s="178">
        <f t="shared" si="99"/>
        <v>0</v>
      </c>
      <c r="AH2150" s="177">
        <f t="shared" si="97"/>
        <v>0</v>
      </c>
    </row>
    <row r="2151" spans="23:34">
      <c r="W2151" s="177">
        <f t="shared" si="98"/>
        <v>0</v>
      </c>
      <c r="AB2151" s="178">
        <f t="shared" si="99"/>
        <v>0</v>
      </c>
      <c r="AH2151" s="177">
        <f t="shared" si="97"/>
        <v>0</v>
      </c>
    </row>
    <row r="2152" spans="23:34">
      <c r="W2152" s="177">
        <f t="shared" si="98"/>
        <v>0</v>
      </c>
      <c r="AB2152" s="178">
        <f t="shared" si="99"/>
        <v>0</v>
      </c>
      <c r="AH2152" s="177">
        <f t="shared" si="97"/>
        <v>0</v>
      </c>
    </row>
    <row r="2153" spans="23:34">
      <c r="W2153" s="177">
        <f t="shared" si="98"/>
        <v>0</v>
      </c>
      <c r="AB2153" s="178">
        <f t="shared" si="99"/>
        <v>0</v>
      </c>
      <c r="AH2153" s="177">
        <f t="shared" si="97"/>
        <v>0</v>
      </c>
    </row>
    <row r="2154" spans="23:34">
      <c r="W2154" s="177">
        <f t="shared" si="98"/>
        <v>0</v>
      </c>
      <c r="AB2154" s="178">
        <f t="shared" si="99"/>
        <v>0</v>
      </c>
      <c r="AH2154" s="177">
        <f t="shared" si="97"/>
        <v>0</v>
      </c>
    </row>
    <row r="2155" spans="23:34">
      <c r="W2155" s="177">
        <f t="shared" si="98"/>
        <v>0</v>
      </c>
      <c r="AB2155" s="178">
        <f t="shared" si="99"/>
        <v>0</v>
      </c>
      <c r="AH2155" s="177">
        <f t="shared" si="97"/>
        <v>0</v>
      </c>
    </row>
    <row r="2156" spans="23:34">
      <c r="W2156" s="177">
        <f t="shared" si="98"/>
        <v>0</v>
      </c>
      <c r="AB2156" s="178">
        <f t="shared" si="99"/>
        <v>0</v>
      </c>
      <c r="AH2156" s="177">
        <f t="shared" si="97"/>
        <v>0</v>
      </c>
    </row>
    <row r="2157" spans="23:34">
      <c r="W2157" s="177">
        <f t="shared" si="98"/>
        <v>0</v>
      </c>
      <c r="AB2157" s="178">
        <f t="shared" si="99"/>
        <v>0</v>
      </c>
      <c r="AH2157" s="177">
        <f t="shared" si="97"/>
        <v>0</v>
      </c>
    </row>
    <row r="2158" spans="23:34">
      <c r="W2158" s="177">
        <f t="shared" si="98"/>
        <v>0</v>
      </c>
      <c r="AB2158" s="178">
        <f t="shared" si="99"/>
        <v>0</v>
      </c>
      <c r="AH2158" s="177">
        <f t="shared" si="97"/>
        <v>0</v>
      </c>
    </row>
    <row r="2159" spans="23:34">
      <c r="W2159" s="177">
        <f t="shared" si="98"/>
        <v>0</v>
      </c>
      <c r="AB2159" s="178">
        <f t="shared" si="99"/>
        <v>0</v>
      </c>
      <c r="AH2159" s="177">
        <f t="shared" si="97"/>
        <v>0</v>
      </c>
    </row>
    <row r="2160" spans="23:34">
      <c r="W2160" s="177">
        <f t="shared" si="98"/>
        <v>0</v>
      </c>
      <c r="AB2160" s="178">
        <f t="shared" si="99"/>
        <v>0</v>
      </c>
      <c r="AH2160" s="177">
        <f t="shared" ref="AH2160:AH2223" si="100">SUM(AF2160:AG2160)</f>
        <v>0</v>
      </c>
    </row>
    <row r="2161" spans="23:34">
      <c r="W2161" s="177">
        <f t="shared" si="98"/>
        <v>0</v>
      </c>
      <c r="AB2161" s="178">
        <f t="shared" si="99"/>
        <v>0</v>
      </c>
      <c r="AH2161" s="177">
        <f t="shared" si="100"/>
        <v>0</v>
      </c>
    </row>
    <row r="2162" spans="23:34">
      <c r="W2162" s="177">
        <f t="shared" si="98"/>
        <v>0</v>
      </c>
      <c r="AB2162" s="178">
        <f t="shared" si="99"/>
        <v>0</v>
      </c>
      <c r="AH2162" s="177">
        <f t="shared" si="100"/>
        <v>0</v>
      </c>
    </row>
    <row r="2163" spans="23:34">
      <c r="W2163" s="177">
        <f t="shared" ref="W2163:W2226" si="101">SUM(Q2163:T2163)</f>
        <v>0</v>
      </c>
      <c r="AB2163" s="178">
        <f t="shared" si="99"/>
        <v>0</v>
      </c>
      <c r="AH2163" s="177">
        <f t="shared" si="100"/>
        <v>0</v>
      </c>
    </row>
    <row r="2164" spans="23:34">
      <c r="W2164" s="177">
        <f t="shared" si="101"/>
        <v>0</v>
      </c>
      <c r="AB2164" s="178">
        <f t="shared" si="99"/>
        <v>0</v>
      </c>
      <c r="AH2164" s="177">
        <f t="shared" si="100"/>
        <v>0</v>
      </c>
    </row>
    <row r="2165" spans="23:34">
      <c r="W2165" s="177">
        <f t="shared" si="101"/>
        <v>0</v>
      </c>
      <c r="AB2165" s="178">
        <f t="shared" si="99"/>
        <v>0</v>
      </c>
      <c r="AH2165" s="177">
        <f t="shared" si="100"/>
        <v>0</v>
      </c>
    </row>
    <row r="2166" spans="23:34">
      <c r="W2166" s="177">
        <f t="shared" si="101"/>
        <v>0</v>
      </c>
      <c r="AB2166" s="178">
        <f t="shared" si="99"/>
        <v>0</v>
      </c>
      <c r="AH2166" s="177">
        <f t="shared" si="100"/>
        <v>0</v>
      </c>
    </row>
    <row r="2167" spans="23:34">
      <c r="W2167" s="177">
        <f t="shared" si="101"/>
        <v>0</v>
      </c>
      <c r="AB2167" s="178">
        <f t="shared" si="99"/>
        <v>0</v>
      </c>
      <c r="AH2167" s="177">
        <f t="shared" si="100"/>
        <v>0</v>
      </c>
    </row>
    <row r="2168" spans="23:34">
      <c r="W2168" s="177">
        <f t="shared" si="101"/>
        <v>0</v>
      </c>
      <c r="AB2168" s="178">
        <f t="shared" si="99"/>
        <v>0</v>
      </c>
      <c r="AH2168" s="177">
        <f t="shared" si="100"/>
        <v>0</v>
      </c>
    </row>
    <row r="2169" spans="23:34">
      <c r="W2169" s="177">
        <f t="shared" si="101"/>
        <v>0</v>
      </c>
      <c r="AB2169" s="178">
        <f t="shared" si="99"/>
        <v>0</v>
      </c>
      <c r="AH2169" s="177">
        <f t="shared" si="100"/>
        <v>0</v>
      </c>
    </row>
    <row r="2170" spans="23:34">
      <c r="W2170" s="177">
        <f t="shared" si="101"/>
        <v>0</v>
      </c>
      <c r="AB2170" s="178">
        <f t="shared" si="99"/>
        <v>0</v>
      </c>
      <c r="AH2170" s="177">
        <f t="shared" si="100"/>
        <v>0</v>
      </c>
    </row>
    <row r="2171" spans="23:34">
      <c r="W2171" s="177">
        <f t="shared" si="101"/>
        <v>0</v>
      </c>
      <c r="AB2171" s="178">
        <f t="shared" ref="AB2171:AB2234" si="102">SUM(Z2171:AA2171)</f>
        <v>0</v>
      </c>
      <c r="AH2171" s="177">
        <f t="shared" si="100"/>
        <v>0</v>
      </c>
    </row>
    <row r="2172" spans="23:34">
      <c r="W2172" s="177">
        <f t="shared" si="101"/>
        <v>0</v>
      </c>
      <c r="AB2172" s="178">
        <f t="shared" si="102"/>
        <v>0</v>
      </c>
      <c r="AH2172" s="177">
        <f t="shared" si="100"/>
        <v>0</v>
      </c>
    </row>
    <row r="2173" spans="23:34">
      <c r="W2173" s="177">
        <f t="shared" si="101"/>
        <v>0</v>
      </c>
      <c r="AB2173" s="178">
        <f t="shared" si="102"/>
        <v>0</v>
      </c>
      <c r="AH2173" s="177">
        <f t="shared" si="100"/>
        <v>0</v>
      </c>
    </row>
    <row r="2174" spans="23:34">
      <c r="W2174" s="177">
        <f t="shared" si="101"/>
        <v>0</v>
      </c>
      <c r="AB2174" s="178">
        <f t="shared" si="102"/>
        <v>0</v>
      </c>
      <c r="AH2174" s="177">
        <f t="shared" si="100"/>
        <v>0</v>
      </c>
    </row>
    <row r="2175" spans="23:34">
      <c r="W2175" s="177">
        <f t="shared" si="101"/>
        <v>0</v>
      </c>
      <c r="AB2175" s="178">
        <f t="shared" si="102"/>
        <v>0</v>
      </c>
      <c r="AH2175" s="177">
        <f t="shared" si="100"/>
        <v>0</v>
      </c>
    </row>
    <row r="2176" spans="23:34">
      <c r="W2176" s="177">
        <f t="shared" si="101"/>
        <v>0</v>
      </c>
      <c r="AB2176" s="178">
        <f t="shared" si="102"/>
        <v>0</v>
      </c>
      <c r="AH2176" s="177">
        <f t="shared" si="100"/>
        <v>0</v>
      </c>
    </row>
    <row r="2177" spans="23:34">
      <c r="W2177" s="177">
        <f t="shared" si="101"/>
        <v>0</v>
      </c>
      <c r="AB2177" s="178">
        <f t="shared" si="102"/>
        <v>0</v>
      </c>
      <c r="AH2177" s="177">
        <f t="shared" si="100"/>
        <v>0</v>
      </c>
    </row>
    <row r="2178" spans="23:34">
      <c r="W2178" s="177">
        <f t="shared" si="101"/>
        <v>0</v>
      </c>
      <c r="AB2178" s="178">
        <f t="shared" si="102"/>
        <v>0</v>
      </c>
      <c r="AH2178" s="177">
        <f t="shared" si="100"/>
        <v>0</v>
      </c>
    </row>
    <row r="2179" spans="23:34">
      <c r="W2179" s="177">
        <f t="shared" si="101"/>
        <v>0</v>
      </c>
      <c r="AB2179" s="178">
        <f t="shared" si="102"/>
        <v>0</v>
      </c>
      <c r="AH2179" s="177">
        <f t="shared" si="100"/>
        <v>0</v>
      </c>
    </row>
    <row r="2180" spans="23:34">
      <c r="W2180" s="177">
        <f t="shared" si="101"/>
        <v>0</v>
      </c>
      <c r="AB2180" s="178">
        <f t="shared" si="102"/>
        <v>0</v>
      </c>
      <c r="AH2180" s="177">
        <f t="shared" si="100"/>
        <v>0</v>
      </c>
    </row>
    <row r="2181" spans="23:34">
      <c r="W2181" s="177">
        <f t="shared" si="101"/>
        <v>0</v>
      </c>
      <c r="AB2181" s="178">
        <f t="shared" si="102"/>
        <v>0</v>
      </c>
      <c r="AH2181" s="177">
        <f t="shared" si="100"/>
        <v>0</v>
      </c>
    </row>
    <row r="2182" spans="23:34">
      <c r="W2182" s="177">
        <f t="shared" si="101"/>
        <v>0</v>
      </c>
      <c r="AB2182" s="178">
        <f t="shared" si="102"/>
        <v>0</v>
      </c>
      <c r="AH2182" s="177">
        <f t="shared" si="100"/>
        <v>0</v>
      </c>
    </row>
    <row r="2183" spans="23:34">
      <c r="W2183" s="177">
        <f t="shared" si="101"/>
        <v>0</v>
      </c>
      <c r="AB2183" s="178">
        <f t="shared" si="102"/>
        <v>0</v>
      </c>
      <c r="AH2183" s="177">
        <f t="shared" si="100"/>
        <v>0</v>
      </c>
    </row>
    <row r="2184" spans="23:34">
      <c r="W2184" s="177">
        <f t="shared" si="101"/>
        <v>0</v>
      </c>
      <c r="AB2184" s="178">
        <f t="shared" si="102"/>
        <v>0</v>
      </c>
      <c r="AH2184" s="177">
        <f t="shared" si="100"/>
        <v>0</v>
      </c>
    </row>
    <row r="2185" spans="23:34">
      <c r="W2185" s="177">
        <f t="shared" si="101"/>
        <v>0</v>
      </c>
      <c r="AB2185" s="178">
        <f t="shared" si="102"/>
        <v>0</v>
      </c>
      <c r="AH2185" s="177">
        <f t="shared" si="100"/>
        <v>0</v>
      </c>
    </row>
    <row r="2186" spans="23:34">
      <c r="W2186" s="177">
        <f t="shared" si="101"/>
        <v>0</v>
      </c>
      <c r="AB2186" s="178">
        <f t="shared" si="102"/>
        <v>0</v>
      </c>
      <c r="AH2186" s="177">
        <f t="shared" si="100"/>
        <v>0</v>
      </c>
    </row>
    <row r="2187" spans="23:34">
      <c r="W2187" s="177">
        <f t="shared" si="101"/>
        <v>0</v>
      </c>
      <c r="AB2187" s="178">
        <f t="shared" si="102"/>
        <v>0</v>
      </c>
      <c r="AH2187" s="177">
        <f t="shared" si="100"/>
        <v>0</v>
      </c>
    </row>
    <row r="2188" spans="23:34">
      <c r="W2188" s="177">
        <f t="shared" si="101"/>
        <v>0</v>
      </c>
      <c r="AB2188" s="178">
        <f t="shared" si="102"/>
        <v>0</v>
      </c>
      <c r="AH2188" s="177">
        <f t="shared" si="100"/>
        <v>0</v>
      </c>
    </row>
    <row r="2189" spans="23:34">
      <c r="W2189" s="177">
        <f t="shared" si="101"/>
        <v>0</v>
      </c>
      <c r="AB2189" s="178">
        <f t="shared" si="102"/>
        <v>0</v>
      </c>
      <c r="AH2189" s="177">
        <f t="shared" si="100"/>
        <v>0</v>
      </c>
    </row>
    <row r="2190" spans="23:34">
      <c r="W2190" s="177">
        <f t="shared" si="101"/>
        <v>0</v>
      </c>
      <c r="AB2190" s="178">
        <f t="shared" si="102"/>
        <v>0</v>
      </c>
      <c r="AH2190" s="177">
        <f t="shared" si="100"/>
        <v>0</v>
      </c>
    </row>
    <row r="2191" spans="23:34">
      <c r="W2191" s="177">
        <f t="shared" si="101"/>
        <v>0</v>
      </c>
      <c r="AB2191" s="178">
        <f t="shared" si="102"/>
        <v>0</v>
      </c>
      <c r="AH2191" s="177">
        <f t="shared" si="100"/>
        <v>0</v>
      </c>
    </row>
    <row r="2192" spans="23:34">
      <c r="W2192" s="177">
        <f t="shared" si="101"/>
        <v>0</v>
      </c>
      <c r="AB2192" s="178">
        <f t="shared" si="102"/>
        <v>0</v>
      </c>
      <c r="AH2192" s="177">
        <f t="shared" si="100"/>
        <v>0</v>
      </c>
    </row>
    <row r="2193" spans="23:34">
      <c r="W2193" s="177">
        <f t="shared" si="101"/>
        <v>0</v>
      </c>
      <c r="AB2193" s="178">
        <f t="shared" si="102"/>
        <v>0</v>
      </c>
      <c r="AH2193" s="177">
        <f t="shared" si="100"/>
        <v>0</v>
      </c>
    </row>
    <row r="2194" spans="23:34">
      <c r="W2194" s="177">
        <f t="shared" si="101"/>
        <v>0</v>
      </c>
      <c r="AB2194" s="178">
        <f t="shared" si="102"/>
        <v>0</v>
      </c>
      <c r="AH2194" s="177">
        <f t="shared" si="100"/>
        <v>0</v>
      </c>
    </row>
    <row r="2195" spans="23:34">
      <c r="W2195" s="177">
        <f t="shared" si="101"/>
        <v>0</v>
      </c>
      <c r="AB2195" s="178">
        <f t="shared" si="102"/>
        <v>0</v>
      </c>
      <c r="AH2195" s="177">
        <f t="shared" si="100"/>
        <v>0</v>
      </c>
    </row>
    <row r="2196" spans="23:34">
      <c r="W2196" s="177">
        <f t="shared" si="101"/>
        <v>0</v>
      </c>
      <c r="AB2196" s="178">
        <f t="shared" si="102"/>
        <v>0</v>
      </c>
      <c r="AH2196" s="177">
        <f t="shared" si="100"/>
        <v>0</v>
      </c>
    </row>
    <row r="2197" spans="23:34">
      <c r="W2197" s="177">
        <f t="shared" si="101"/>
        <v>0</v>
      </c>
      <c r="AB2197" s="178">
        <f t="shared" si="102"/>
        <v>0</v>
      </c>
      <c r="AH2197" s="177">
        <f t="shared" si="100"/>
        <v>0</v>
      </c>
    </row>
    <row r="2198" spans="23:34">
      <c r="W2198" s="177">
        <f t="shared" si="101"/>
        <v>0</v>
      </c>
      <c r="AB2198" s="178">
        <f t="shared" si="102"/>
        <v>0</v>
      </c>
      <c r="AH2198" s="177">
        <f t="shared" si="100"/>
        <v>0</v>
      </c>
    </row>
    <row r="2199" spans="23:34">
      <c r="W2199" s="177">
        <f t="shared" si="101"/>
        <v>0</v>
      </c>
      <c r="AB2199" s="178">
        <f t="shared" si="102"/>
        <v>0</v>
      </c>
      <c r="AH2199" s="177">
        <f t="shared" si="100"/>
        <v>0</v>
      </c>
    </row>
    <row r="2200" spans="23:34">
      <c r="W2200" s="177">
        <f t="shared" si="101"/>
        <v>0</v>
      </c>
      <c r="AB2200" s="178">
        <f t="shared" si="102"/>
        <v>0</v>
      </c>
      <c r="AH2200" s="177">
        <f t="shared" si="100"/>
        <v>0</v>
      </c>
    </row>
    <row r="2201" spans="23:34">
      <c r="W2201" s="177">
        <f t="shared" si="101"/>
        <v>0</v>
      </c>
      <c r="AB2201" s="178">
        <f t="shared" si="102"/>
        <v>0</v>
      </c>
      <c r="AH2201" s="177">
        <f t="shared" si="100"/>
        <v>0</v>
      </c>
    </row>
    <row r="2202" spans="23:34">
      <c r="W2202" s="177">
        <f t="shared" si="101"/>
        <v>0</v>
      </c>
      <c r="AB2202" s="178">
        <f t="shared" si="102"/>
        <v>0</v>
      </c>
      <c r="AH2202" s="177">
        <f t="shared" si="100"/>
        <v>0</v>
      </c>
    </row>
    <row r="2203" spans="23:34">
      <c r="W2203" s="177">
        <f t="shared" si="101"/>
        <v>0</v>
      </c>
      <c r="AB2203" s="178">
        <f t="shared" si="102"/>
        <v>0</v>
      </c>
      <c r="AH2203" s="177">
        <f t="shared" si="100"/>
        <v>0</v>
      </c>
    </row>
    <row r="2204" spans="23:34">
      <c r="W2204" s="177">
        <f t="shared" si="101"/>
        <v>0</v>
      </c>
      <c r="AB2204" s="178">
        <f t="shared" si="102"/>
        <v>0</v>
      </c>
      <c r="AH2204" s="177">
        <f t="shared" si="100"/>
        <v>0</v>
      </c>
    </row>
    <row r="2205" spans="23:34">
      <c r="W2205" s="177">
        <f t="shared" si="101"/>
        <v>0</v>
      </c>
      <c r="AB2205" s="178">
        <f t="shared" si="102"/>
        <v>0</v>
      </c>
      <c r="AH2205" s="177">
        <f t="shared" si="100"/>
        <v>0</v>
      </c>
    </row>
    <row r="2206" spans="23:34">
      <c r="W2206" s="177">
        <f t="shared" si="101"/>
        <v>0</v>
      </c>
      <c r="AB2206" s="178">
        <f t="shared" si="102"/>
        <v>0</v>
      </c>
      <c r="AH2206" s="177">
        <f t="shared" si="100"/>
        <v>0</v>
      </c>
    </row>
    <row r="2207" spans="23:34">
      <c r="W2207" s="177">
        <f t="shared" si="101"/>
        <v>0</v>
      </c>
      <c r="AB2207" s="178">
        <f t="shared" si="102"/>
        <v>0</v>
      </c>
      <c r="AH2207" s="177">
        <f t="shared" si="100"/>
        <v>0</v>
      </c>
    </row>
    <row r="2208" spans="23:34">
      <c r="W2208" s="177">
        <f t="shared" si="101"/>
        <v>0</v>
      </c>
      <c r="AB2208" s="178">
        <f t="shared" si="102"/>
        <v>0</v>
      </c>
      <c r="AH2208" s="177">
        <f t="shared" si="100"/>
        <v>0</v>
      </c>
    </row>
    <row r="2209" spans="23:34">
      <c r="W2209" s="177">
        <f t="shared" si="101"/>
        <v>0</v>
      </c>
      <c r="AB2209" s="178">
        <f t="shared" si="102"/>
        <v>0</v>
      </c>
      <c r="AH2209" s="177">
        <f t="shared" si="100"/>
        <v>0</v>
      </c>
    </row>
    <row r="2210" spans="23:34">
      <c r="W2210" s="177">
        <f t="shared" si="101"/>
        <v>0</v>
      </c>
      <c r="AB2210" s="178">
        <f t="shared" si="102"/>
        <v>0</v>
      </c>
      <c r="AH2210" s="177">
        <f t="shared" si="100"/>
        <v>0</v>
      </c>
    </row>
    <row r="2211" spans="23:34">
      <c r="W2211" s="177">
        <f t="shared" si="101"/>
        <v>0</v>
      </c>
      <c r="AB2211" s="178">
        <f t="shared" si="102"/>
        <v>0</v>
      </c>
      <c r="AH2211" s="177">
        <f t="shared" si="100"/>
        <v>0</v>
      </c>
    </row>
    <row r="2212" spans="23:34">
      <c r="W2212" s="177">
        <f t="shared" si="101"/>
        <v>0</v>
      </c>
      <c r="AB2212" s="178">
        <f t="shared" si="102"/>
        <v>0</v>
      </c>
      <c r="AH2212" s="177">
        <f t="shared" si="100"/>
        <v>0</v>
      </c>
    </row>
    <row r="2213" spans="23:34">
      <c r="W2213" s="177">
        <f t="shared" si="101"/>
        <v>0</v>
      </c>
      <c r="AB2213" s="178">
        <f t="shared" si="102"/>
        <v>0</v>
      </c>
      <c r="AH2213" s="177">
        <f t="shared" si="100"/>
        <v>0</v>
      </c>
    </row>
    <row r="2214" spans="23:34">
      <c r="W2214" s="177">
        <f t="shared" si="101"/>
        <v>0</v>
      </c>
      <c r="AB2214" s="178">
        <f t="shared" si="102"/>
        <v>0</v>
      </c>
      <c r="AH2214" s="177">
        <f t="shared" si="100"/>
        <v>0</v>
      </c>
    </row>
    <row r="2215" spans="23:34">
      <c r="W2215" s="177">
        <f t="shared" si="101"/>
        <v>0</v>
      </c>
      <c r="AB2215" s="178">
        <f t="shared" si="102"/>
        <v>0</v>
      </c>
      <c r="AH2215" s="177">
        <f t="shared" si="100"/>
        <v>0</v>
      </c>
    </row>
    <row r="2216" spans="23:34">
      <c r="W2216" s="177">
        <f t="shared" si="101"/>
        <v>0</v>
      </c>
      <c r="AB2216" s="178">
        <f t="shared" si="102"/>
        <v>0</v>
      </c>
      <c r="AH2216" s="177">
        <f t="shared" si="100"/>
        <v>0</v>
      </c>
    </row>
    <row r="2217" spans="23:34">
      <c r="W2217" s="177">
        <f t="shared" si="101"/>
        <v>0</v>
      </c>
      <c r="AB2217" s="178">
        <f t="shared" si="102"/>
        <v>0</v>
      </c>
      <c r="AH2217" s="177">
        <f t="shared" si="100"/>
        <v>0</v>
      </c>
    </row>
    <row r="2218" spans="23:34">
      <c r="W2218" s="177">
        <f t="shared" si="101"/>
        <v>0</v>
      </c>
      <c r="AB2218" s="178">
        <f t="shared" si="102"/>
        <v>0</v>
      </c>
      <c r="AH2218" s="177">
        <f t="shared" si="100"/>
        <v>0</v>
      </c>
    </row>
    <row r="2219" spans="23:34">
      <c r="W2219" s="177">
        <f t="shared" si="101"/>
        <v>0</v>
      </c>
      <c r="AB2219" s="178">
        <f t="shared" si="102"/>
        <v>0</v>
      </c>
      <c r="AH2219" s="177">
        <f t="shared" si="100"/>
        <v>0</v>
      </c>
    </row>
    <row r="2220" spans="23:34">
      <c r="W2220" s="177">
        <f t="shared" si="101"/>
        <v>0</v>
      </c>
      <c r="AB2220" s="178">
        <f t="shared" si="102"/>
        <v>0</v>
      </c>
      <c r="AH2220" s="177">
        <f t="shared" si="100"/>
        <v>0</v>
      </c>
    </row>
    <row r="2221" spans="23:34">
      <c r="W2221" s="177">
        <f t="shared" si="101"/>
        <v>0</v>
      </c>
      <c r="AB2221" s="178">
        <f t="shared" si="102"/>
        <v>0</v>
      </c>
      <c r="AH2221" s="177">
        <f t="shared" si="100"/>
        <v>0</v>
      </c>
    </row>
    <row r="2222" spans="23:34">
      <c r="W2222" s="177">
        <f t="shared" si="101"/>
        <v>0</v>
      </c>
      <c r="AB2222" s="178">
        <f t="shared" si="102"/>
        <v>0</v>
      </c>
      <c r="AH2222" s="177">
        <f t="shared" si="100"/>
        <v>0</v>
      </c>
    </row>
    <row r="2223" spans="23:34">
      <c r="W2223" s="177">
        <f t="shared" si="101"/>
        <v>0</v>
      </c>
      <c r="AB2223" s="178">
        <f t="shared" si="102"/>
        <v>0</v>
      </c>
      <c r="AH2223" s="177">
        <f t="shared" si="100"/>
        <v>0</v>
      </c>
    </row>
    <row r="2224" spans="23:34">
      <c r="W2224" s="177">
        <f t="shared" si="101"/>
        <v>0</v>
      </c>
      <c r="AB2224" s="178">
        <f t="shared" si="102"/>
        <v>0</v>
      </c>
      <c r="AH2224" s="177">
        <f t="shared" ref="AH2224:AH2287" si="103">SUM(AF2224:AG2224)</f>
        <v>0</v>
      </c>
    </row>
    <row r="2225" spans="23:34">
      <c r="W2225" s="177">
        <f t="shared" si="101"/>
        <v>0</v>
      </c>
      <c r="AB2225" s="178">
        <f t="shared" si="102"/>
        <v>0</v>
      </c>
      <c r="AH2225" s="177">
        <f t="shared" si="103"/>
        <v>0</v>
      </c>
    </row>
    <row r="2226" spans="23:34">
      <c r="W2226" s="177">
        <f t="shared" si="101"/>
        <v>0</v>
      </c>
      <c r="AB2226" s="178">
        <f t="shared" si="102"/>
        <v>0</v>
      </c>
      <c r="AH2226" s="177">
        <f t="shared" si="103"/>
        <v>0</v>
      </c>
    </row>
    <row r="2227" spans="23:34">
      <c r="W2227" s="177">
        <f t="shared" ref="W2227:W2290" si="104">SUM(Q2227:T2227)</f>
        <v>0</v>
      </c>
      <c r="AB2227" s="178">
        <f t="shared" si="102"/>
        <v>0</v>
      </c>
      <c r="AH2227" s="177">
        <f t="shared" si="103"/>
        <v>0</v>
      </c>
    </row>
    <row r="2228" spans="23:34">
      <c r="W2228" s="177">
        <f t="shared" si="104"/>
        <v>0</v>
      </c>
      <c r="AB2228" s="178">
        <f t="shared" si="102"/>
        <v>0</v>
      </c>
      <c r="AH2228" s="177">
        <f t="shared" si="103"/>
        <v>0</v>
      </c>
    </row>
    <row r="2229" spans="23:34">
      <c r="W2229" s="177">
        <f t="shared" si="104"/>
        <v>0</v>
      </c>
      <c r="AB2229" s="178">
        <f t="shared" si="102"/>
        <v>0</v>
      </c>
      <c r="AH2229" s="177">
        <f t="shared" si="103"/>
        <v>0</v>
      </c>
    </row>
    <row r="2230" spans="23:34">
      <c r="W2230" s="177">
        <f t="shared" si="104"/>
        <v>0</v>
      </c>
      <c r="AB2230" s="178">
        <f t="shared" si="102"/>
        <v>0</v>
      </c>
      <c r="AH2230" s="177">
        <f t="shared" si="103"/>
        <v>0</v>
      </c>
    </row>
    <row r="2231" spans="23:34">
      <c r="W2231" s="177">
        <f t="shared" si="104"/>
        <v>0</v>
      </c>
      <c r="AB2231" s="178">
        <f t="shared" si="102"/>
        <v>0</v>
      </c>
      <c r="AH2231" s="177">
        <f t="shared" si="103"/>
        <v>0</v>
      </c>
    </row>
    <row r="2232" spans="23:34">
      <c r="W2232" s="177">
        <f t="shared" si="104"/>
        <v>0</v>
      </c>
      <c r="AB2232" s="178">
        <f t="shared" si="102"/>
        <v>0</v>
      </c>
      <c r="AH2232" s="177">
        <f t="shared" si="103"/>
        <v>0</v>
      </c>
    </row>
    <row r="2233" spans="23:34">
      <c r="W2233" s="177">
        <f t="shared" si="104"/>
        <v>0</v>
      </c>
      <c r="AB2233" s="178">
        <f t="shared" si="102"/>
        <v>0</v>
      </c>
      <c r="AH2233" s="177">
        <f t="shared" si="103"/>
        <v>0</v>
      </c>
    </row>
    <row r="2234" spans="23:34">
      <c r="W2234" s="177">
        <f t="shared" si="104"/>
        <v>0</v>
      </c>
      <c r="AB2234" s="178">
        <f t="shared" si="102"/>
        <v>0</v>
      </c>
      <c r="AH2234" s="177">
        <f t="shared" si="103"/>
        <v>0</v>
      </c>
    </row>
    <row r="2235" spans="23:34">
      <c r="W2235" s="177">
        <f t="shared" si="104"/>
        <v>0</v>
      </c>
      <c r="AB2235" s="178">
        <f t="shared" ref="AB2235:AB2298" si="105">SUM(Z2235:AA2235)</f>
        <v>0</v>
      </c>
      <c r="AH2235" s="177">
        <f t="shared" si="103"/>
        <v>0</v>
      </c>
    </row>
    <row r="2236" spans="23:34">
      <c r="W2236" s="177">
        <f t="shared" si="104"/>
        <v>0</v>
      </c>
      <c r="AB2236" s="178">
        <f t="shared" si="105"/>
        <v>0</v>
      </c>
      <c r="AH2236" s="177">
        <f t="shared" si="103"/>
        <v>0</v>
      </c>
    </row>
    <row r="2237" spans="23:34">
      <c r="W2237" s="177">
        <f t="shared" si="104"/>
        <v>0</v>
      </c>
      <c r="AB2237" s="178">
        <f t="shared" si="105"/>
        <v>0</v>
      </c>
      <c r="AH2237" s="177">
        <f t="shared" si="103"/>
        <v>0</v>
      </c>
    </row>
    <row r="2238" spans="23:34">
      <c r="W2238" s="177">
        <f t="shared" si="104"/>
        <v>0</v>
      </c>
      <c r="AB2238" s="178">
        <f t="shared" si="105"/>
        <v>0</v>
      </c>
      <c r="AH2238" s="177">
        <f t="shared" si="103"/>
        <v>0</v>
      </c>
    </row>
    <row r="2239" spans="23:34">
      <c r="W2239" s="177">
        <f t="shared" si="104"/>
        <v>0</v>
      </c>
      <c r="AB2239" s="178">
        <f t="shared" si="105"/>
        <v>0</v>
      </c>
      <c r="AH2239" s="177">
        <f t="shared" si="103"/>
        <v>0</v>
      </c>
    </row>
    <row r="2240" spans="23:34">
      <c r="W2240" s="177">
        <f t="shared" si="104"/>
        <v>0</v>
      </c>
      <c r="AB2240" s="178">
        <f t="shared" si="105"/>
        <v>0</v>
      </c>
      <c r="AH2240" s="177">
        <f t="shared" si="103"/>
        <v>0</v>
      </c>
    </row>
    <row r="2241" spans="23:34">
      <c r="W2241" s="177">
        <f t="shared" si="104"/>
        <v>0</v>
      </c>
      <c r="AB2241" s="178">
        <f t="shared" si="105"/>
        <v>0</v>
      </c>
      <c r="AH2241" s="177">
        <f t="shared" si="103"/>
        <v>0</v>
      </c>
    </row>
    <row r="2242" spans="23:34">
      <c r="W2242" s="177">
        <f t="shared" si="104"/>
        <v>0</v>
      </c>
      <c r="AB2242" s="178">
        <f t="shared" si="105"/>
        <v>0</v>
      </c>
      <c r="AH2242" s="177">
        <f t="shared" si="103"/>
        <v>0</v>
      </c>
    </row>
    <row r="2243" spans="23:34">
      <c r="W2243" s="177">
        <f t="shared" si="104"/>
        <v>0</v>
      </c>
      <c r="AB2243" s="178">
        <f t="shared" si="105"/>
        <v>0</v>
      </c>
      <c r="AH2243" s="177">
        <f t="shared" si="103"/>
        <v>0</v>
      </c>
    </row>
    <row r="2244" spans="23:34">
      <c r="W2244" s="177">
        <f t="shared" si="104"/>
        <v>0</v>
      </c>
      <c r="AB2244" s="178">
        <f t="shared" si="105"/>
        <v>0</v>
      </c>
      <c r="AH2244" s="177">
        <f t="shared" si="103"/>
        <v>0</v>
      </c>
    </row>
    <row r="2245" spans="23:34">
      <c r="W2245" s="177">
        <f t="shared" si="104"/>
        <v>0</v>
      </c>
      <c r="AB2245" s="178">
        <f t="shared" si="105"/>
        <v>0</v>
      </c>
      <c r="AH2245" s="177">
        <f t="shared" si="103"/>
        <v>0</v>
      </c>
    </row>
    <row r="2246" spans="23:34">
      <c r="W2246" s="177">
        <f t="shared" si="104"/>
        <v>0</v>
      </c>
      <c r="AB2246" s="178">
        <f t="shared" si="105"/>
        <v>0</v>
      </c>
      <c r="AH2246" s="177">
        <f t="shared" si="103"/>
        <v>0</v>
      </c>
    </row>
    <row r="2247" spans="23:34">
      <c r="W2247" s="177">
        <f t="shared" si="104"/>
        <v>0</v>
      </c>
      <c r="AB2247" s="178">
        <f t="shared" si="105"/>
        <v>0</v>
      </c>
      <c r="AH2247" s="177">
        <f t="shared" si="103"/>
        <v>0</v>
      </c>
    </row>
    <row r="2248" spans="23:34">
      <c r="W2248" s="177">
        <f t="shared" si="104"/>
        <v>0</v>
      </c>
      <c r="AB2248" s="178">
        <f t="shared" si="105"/>
        <v>0</v>
      </c>
      <c r="AH2248" s="177">
        <f t="shared" si="103"/>
        <v>0</v>
      </c>
    </row>
    <row r="2249" spans="23:34">
      <c r="W2249" s="177">
        <f t="shared" si="104"/>
        <v>0</v>
      </c>
      <c r="AB2249" s="178">
        <f t="shared" si="105"/>
        <v>0</v>
      </c>
      <c r="AH2249" s="177">
        <f t="shared" si="103"/>
        <v>0</v>
      </c>
    </row>
    <row r="2250" spans="23:34">
      <c r="W2250" s="177">
        <f t="shared" si="104"/>
        <v>0</v>
      </c>
      <c r="AB2250" s="178">
        <f t="shared" si="105"/>
        <v>0</v>
      </c>
      <c r="AH2250" s="177">
        <f t="shared" si="103"/>
        <v>0</v>
      </c>
    </row>
    <row r="2251" spans="23:34">
      <c r="W2251" s="177">
        <f t="shared" si="104"/>
        <v>0</v>
      </c>
      <c r="AB2251" s="178">
        <f t="shared" si="105"/>
        <v>0</v>
      </c>
      <c r="AH2251" s="177">
        <f t="shared" si="103"/>
        <v>0</v>
      </c>
    </row>
    <row r="2252" spans="23:34">
      <c r="W2252" s="177">
        <f t="shared" si="104"/>
        <v>0</v>
      </c>
      <c r="AB2252" s="178">
        <f t="shared" si="105"/>
        <v>0</v>
      </c>
      <c r="AH2252" s="177">
        <f t="shared" si="103"/>
        <v>0</v>
      </c>
    </row>
    <row r="2253" spans="23:34">
      <c r="W2253" s="177">
        <f t="shared" si="104"/>
        <v>0</v>
      </c>
      <c r="AB2253" s="178">
        <f t="shared" si="105"/>
        <v>0</v>
      </c>
      <c r="AH2253" s="177">
        <f t="shared" si="103"/>
        <v>0</v>
      </c>
    </row>
    <row r="2254" spans="23:34">
      <c r="W2254" s="177">
        <f t="shared" si="104"/>
        <v>0</v>
      </c>
      <c r="AB2254" s="178">
        <f t="shared" si="105"/>
        <v>0</v>
      </c>
      <c r="AH2254" s="177">
        <f t="shared" si="103"/>
        <v>0</v>
      </c>
    </row>
    <row r="2255" spans="23:34">
      <c r="W2255" s="177">
        <f t="shared" si="104"/>
        <v>0</v>
      </c>
      <c r="AB2255" s="178">
        <f t="shared" si="105"/>
        <v>0</v>
      </c>
      <c r="AH2255" s="177">
        <f t="shared" si="103"/>
        <v>0</v>
      </c>
    </row>
    <row r="2256" spans="23:34">
      <c r="W2256" s="177">
        <f t="shared" si="104"/>
        <v>0</v>
      </c>
      <c r="AB2256" s="178">
        <f t="shared" si="105"/>
        <v>0</v>
      </c>
      <c r="AH2256" s="177">
        <f t="shared" si="103"/>
        <v>0</v>
      </c>
    </row>
    <row r="2257" spans="23:34">
      <c r="W2257" s="177">
        <f t="shared" si="104"/>
        <v>0</v>
      </c>
      <c r="AB2257" s="178">
        <f t="shared" si="105"/>
        <v>0</v>
      </c>
      <c r="AH2257" s="177">
        <f t="shared" si="103"/>
        <v>0</v>
      </c>
    </row>
    <row r="2258" spans="23:34">
      <c r="W2258" s="177">
        <f t="shared" si="104"/>
        <v>0</v>
      </c>
      <c r="AB2258" s="178">
        <f t="shared" si="105"/>
        <v>0</v>
      </c>
      <c r="AH2258" s="177">
        <f t="shared" si="103"/>
        <v>0</v>
      </c>
    </row>
    <row r="2259" spans="23:34">
      <c r="W2259" s="177">
        <f t="shared" si="104"/>
        <v>0</v>
      </c>
      <c r="AB2259" s="178">
        <f t="shared" si="105"/>
        <v>0</v>
      </c>
      <c r="AH2259" s="177">
        <f t="shared" si="103"/>
        <v>0</v>
      </c>
    </row>
    <row r="2260" spans="23:34">
      <c r="W2260" s="177">
        <f t="shared" si="104"/>
        <v>0</v>
      </c>
      <c r="AB2260" s="178">
        <f t="shared" si="105"/>
        <v>0</v>
      </c>
      <c r="AH2260" s="177">
        <f t="shared" si="103"/>
        <v>0</v>
      </c>
    </row>
    <row r="2261" spans="23:34">
      <c r="W2261" s="177">
        <f t="shared" si="104"/>
        <v>0</v>
      </c>
      <c r="AB2261" s="178">
        <f t="shared" si="105"/>
        <v>0</v>
      </c>
      <c r="AH2261" s="177">
        <f t="shared" si="103"/>
        <v>0</v>
      </c>
    </row>
    <row r="2262" spans="23:34">
      <c r="W2262" s="177">
        <f t="shared" si="104"/>
        <v>0</v>
      </c>
      <c r="AB2262" s="178">
        <f t="shared" si="105"/>
        <v>0</v>
      </c>
      <c r="AH2262" s="177">
        <f t="shared" si="103"/>
        <v>0</v>
      </c>
    </row>
    <row r="2263" spans="23:34">
      <c r="W2263" s="177">
        <f t="shared" si="104"/>
        <v>0</v>
      </c>
      <c r="AB2263" s="178">
        <f t="shared" si="105"/>
        <v>0</v>
      </c>
      <c r="AH2263" s="177">
        <f t="shared" si="103"/>
        <v>0</v>
      </c>
    </row>
    <row r="2264" spans="23:34">
      <c r="W2264" s="177">
        <f t="shared" si="104"/>
        <v>0</v>
      </c>
      <c r="AB2264" s="178">
        <f t="shared" si="105"/>
        <v>0</v>
      </c>
      <c r="AH2264" s="177">
        <f t="shared" si="103"/>
        <v>0</v>
      </c>
    </row>
    <row r="2265" spans="23:34">
      <c r="W2265" s="177">
        <f t="shared" si="104"/>
        <v>0</v>
      </c>
      <c r="AB2265" s="178">
        <f t="shared" si="105"/>
        <v>0</v>
      </c>
      <c r="AH2265" s="177">
        <f t="shared" si="103"/>
        <v>0</v>
      </c>
    </row>
    <row r="2266" spans="23:34">
      <c r="W2266" s="177">
        <f t="shared" si="104"/>
        <v>0</v>
      </c>
      <c r="AB2266" s="178">
        <f t="shared" si="105"/>
        <v>0</v>
      </c>
      <c r="AH2266" s="177">
        <f t="shared" si="103"/>
        <v>0</v>
      </c>
    </row>
    <row r="2267" spans="23:34">
      <c r="W2267" s="177">
        <f t="shared" si="104"/>
        <v>0</v>
      </c>
      <c r="AB2267" s="178">
        <f t="shared" si="105"/>
        <v>0</v>
      </c>
      <c r="AH2267" s="177">
        <f t="shared" si="103"/>
        <v>0</v>
      </c>
    </row>
    <row r="2268" spans="23:34">
      <c r="W2268" s="177">
        <f t="shared" si="104"/>
        <v>0</v>
      </c>
      <c r="AB2268" s="178">
        <f t="shared" si="105"/>
        <v>0</v>
      </c>
      <c r="AH2268" s="177">
        <f t="shared" si="103"/>
        <v>0</v>
      </c>
    </row>
    <row r="2269" spans="23:34">
      <c r="W2269" s="177">
        <f t="shared" si="104"/>
        <v>0</v>
      </c>
      <c r="AB2269" s="178">
        <f t="shared" si="105"/>
        <v>0</v>
      </c>
      <c r="AH2269" s="177">
        <f t="shared" si="103"/>
        <v>0</v>
      </c>
    </row>
    <row r="2270" spans="23:34">
      <c r="W2270" s="177">
        <f t="shared" si="104"/>
        <v>0</v>
      </c>
      <c r="AB2270" s="178">
        <f t="shared" si="105"/>
        <v>0</v>
      </c>
      <c r="AH2270" s="177">
        <f t="shared" si="103"/>
        <v>0</v>
      </c>
    </row>
    <row r="2271" spans="23:34">
      <c r="W2271" s="177">
        <f t="shared" si="104"/>
        <v>0</v>
      </c>
      <c r="AB2271" s="178">
        <f t="shared" si="105"/>
        <v>0</v>
      </c>
      <c r="AH2271" s="177">
        <f t="shared" si="103"/>
        <v>0</v>
      </c>
    </row>
    <row r="2272" spans="23:34">
      <c r="W2272" s="177">
        <f t="shared" si="104"/>
        <v>0</v>
      </c>
      <c r="AB2272" s="178">
        <f t="shared" si="105"/>
        <v>0</v>
      </c>
      <c r="AH2272" s="177">
        <f t="shared" si="103"/>
        <v>0</v>
      </c>
    </row>
    <row r="2273" spans="23:34">
      <c r="W2273" s="177">
        <f t="shared" si="104"/>
        <v>0</v>
      </c>
      <c r="AB2273" s="178">
        <f t="shared" si="105"/>
        <v>0</v>
      </c>
      <c r="AH2273" s="177">
        <f t="shared" si="103"/>
        <v>0</v>
      </c>
    </row>
    <row r="2274" spans="23:34">
      <c r="W2274" s="177">
        <f t="shared" si="104"/>
        <v>0</v>
      </c>
      <c r="AB2274" s="178">
        <f t="shared" si="105"/>
        <v>0</v>
      </c>
      <c r="AH2274" s="177">
        <f t="shared" si="103"/>
        <v>0</v>
      </c>
    </row>
    <row r="2275" spans="23:34">
      <c r="W2275" s="177">
        <f t="shared" si="104"/>
        <v>0</v>
      </c>
      <c r="AB2275" s="178">
        <f t="shared" si="105"/>
        <v>0</v>
      </c>
      <c r="AH2275" s="177">
        <f t="shared" si="103"/>
        <v>0</v>
      </c>
    </row>
    <row r="2276" spans="23:34">
      <c r="W2276" s="177">
        <f t="shared" si="104"/>
        <v>0</v>
      </c>
      <c r="AB2276" s="178">
        <f t="shared" si="105"/>
        <v>0</v>
      </c>
      <c r="AH2276" s="177">
        <f t="shared" si="103"/>
        <v>0</v>
      </c>
    </row>
    <row r="2277" spans="23:34">
      <c r="W2277" s="177">
        <f t="shared" si="104"/>
        <v>0</v>
      </c>
      <c r="AB2277" s="178">
        <f t="shared" si="105"/>
        <v>0</v>
      </c>
      <c r="AH2277" s="177">
        <f t="shared" si="103"/>
        <v>0</v>
      </c>
    </row>
    <row r="2278" spans="23:34">
      <c r="W2278" s="177">
        <f t="shared" si="104"/>
        <v>0</v>
      </c>
      <c r="AB2278" s="178">
        <f t="shared" si="105"/>
        <v>0</v>
      </c>
      <c r="AH2278" s="177">
        <f t="shared" si="103"/>
        <v>0</v>
      </c>
    </row>
    <row r="2279" spans="23:34">
      <c r="W2279" s="177">
        <f t="shared" si="104"/>
        <v>0</v>
      </c>
      <c r="AB2279" s="178">
        <f t="shared" si="105"/>
        <v>0</v>
      </c>
      <c r="AH2279" s="177">
        <f t="shared" si="103"/>
        <v>0</v>
      </c>
    </row>
    <row r="2280" spans="23:34">
      <c r="W2280" s="177">
        <f t="shared" si="104"/>
        <v>0</v>
      </c>
      <c r="AB2280" s="178">
        <f t="shared" si="105"/>
        <v>0</v>
      </c>
      <c r="AH2280" s="177">
        <f t="shared" si="103"/>
        <v>0</v>
      </c>
    </row>
    <row r="2281" spans="23:34">
      <c r="W2281" s="177">
        <f t="shared" si="104"/>
        <v>0</v>
      </c>
      <c r="AB2281" s="178">
        <f t="shared" si="105"/>
        <v>0</v>
      </c>
      <c r="AH2281" s="177">
        <f t="shared" si="103"/>
        <v>0</v>
      </c>
    </row>
    <row r="2282" spans="23:34">
      <c r="W2282" s="177">
        <f t="shared" si="104"/>
        <v>0</v>
      </c>
      <c r="AB2282" s="178">
        <f t="shared" si="105"/>
        <v>0</v>
      </c>
      <c r="AH2282" s="177">
        <f t="shared" si="103"/>
        <v>0</v>
      </c>
    </row>
    <row r="2283" spans="23:34">
      <c r="W2283" s="177">
        <f t="shared" si="104"/>
        <v>0</v>
      </c>
      <c r="AB2283" s="178">
        <f t="shared" si="105"/>
        <v>0</v>
      </c>
      <c r="AH2283" s="177">
        <f t="shared" si="103"/>
        <v>0</v>
      </c>
    </row>
    <row r="2284" spans="23:34">
      <c r="W2284" s="177">
        <f t="shared" si="104"/>
        <v>0</v>
      </c>
      <c r="AB2284" s="178">
        <f t="shared" si="105"/>
        <v>0</v>
      </c>
      <c r="AH2284" s="177">
        <f t="shared" si="103"/>
        <v>0</v>
      </c>
    </row>
    <row r="2285" spans="23:34">
      <c r="W2285" s="177">
        <f t="shared" si="104"/>
        <v>0</v>
      </c>
      <c r="AB2285" s="178">
        <f t="shared" si="105"/>
        <v>0</v>
      </c>
      <c r="AH2285" s="177">
        <f t="shared" si="103"/>
        <v>0</v>
      </c>
    </row>
    <row r="2286" spans="23:34">
      <c r="W2286" s="177">
        <f t="shared" si="104"/>
        <v>0</v>
      </c>
      <c r="AB2286" s="178">
        <f t="shared" si="105"/>
        <v>0</v>
      </c>
      <c r="AH2286" s="177">
        <f t="shared" si="103"/>
        <v>0</v>
      </c>
    </row>
    <row r="2287" spans="23:34">
      <c r="W2287" s="177">
        <f t="shared" si="104"/>
        <v>0</v>
      </c>
      <c r="AB2287" s="178">
        <f t="shared" si="105"/>
        <v>0</v>
      </c>
      <c r="AH2287" s="177">
        <f t="shared" si="103"/>
        <v>0</v>
      </c>
    </row>
    <row r="2288" spans="23:34">
      <c r="W2288" s="177">
        <f t="shared" si="104"/>
        <v>0</v>
      </c>
      <c r="AB2288" s="178">
        <f t="shared" si="105"/>
        <v>0</v>
      </c>
      <c r="AH2288" s="177">
        <f t="shared" ref="AH2288:AH2351" si="106">SUM(AF2288:AG2288)</f>
        <v>0</v>
      </c>
    </row>
    <row r="2289" spans="23:34">
      <c r="W2289" s="177">
        <f t="shared" si="104"/>
        <v>0</v>
      </c>
      <c r="AB2289" s="178">
        <f t="shared" si="105"/>
        <v>0</v>
      </c>
      <c r="AH2289" s="177">
        <f t="shared" si="106"/>
        <v>0</v>
      </c>
    </row>
    <row r="2290" spans="23:34">
      <c r="W2290" s="177">
        <f t="shared" si="104"/>
        <v>0</v>
      </c>
      <c r="AB2290" s="178">
        <f t="shared" si="105"/>
        <v>0</v>
      </c>
      <c r="AH2290" s="177">
        <f t="shared" si="106"/>
        <v>0</v>
      </c>
    </row>
    <row r="2291" spans="23:34">
      <c r="W2291" s="177">
        <f t="shared" ref="W2291:W2354" si="107">SUM(Q2291:T2291)</f>
        <v>0</v>
      </c>
      <c r="AB2291" s="178">
        <f t="shared" si="105"/>
        <v>0</v>
      </c>
      <c r="AH2291" s="177">
        <f t="shared" si="106"/>
        <v>0</v>
      </c>
    </row>
    <row r="2292" spans="23:34">
      <c r="W2292" s="177">
        <f t="shared" si="107"/>
        <v>0</v>
      </c>
      <c r="AB2292" s="178">
        <f t="shared" si="105"/>
        <v>0</v>
      </c>
      <c r="AH2292" s="177">
        <f t="shared" si="106"/>
        <v>0</v>
      </c>
    </row>
    <row r="2293" spans="23:34">
      <c r="W2293" s="177">
        <f t="shared" si="107"/>
        <v>0</v>
      </c>
      <c r="AB2293" s="178">
        <f t="shared" si="105"/>
        <v>0</v>
      </c>
      <c r="AH2293" s="177">
        <f t="shared" si="106"/>
        <v>0</v>
      </c>
    </row>
    <row r="2294" spans="23:34">
      <c r="W2294" s="177">
        <f t="shared" si="107"/>
        <v>0</v>
      </c>
      <c r="AB2294" s="178">
        <f t="shared" si="105"/>
        <v>0</v>
      </c>
      <c r="AH2294" s="177">
        <f t="shared" si="106"/>
        <v>0</v>
      </c>
    </row>
    <row r="2295" spans="23:34">
      <c r="W2295" s="177">
        <f t="shared" si="107"/>
        <v>0</v>
      </c>
      <c r="AB2295" s="178">
        <f t="shared" si="105"/>
        <v>0</v>
      </c>
      <c r="AH2295" s="177">
        <f t="shared" si="106"/>
        <v>0</v>
      </c>
    </row>
    <row r="2296" spans="23:34">
      <c r="W2296" s="177">
        <f t="shared" si="107"/>
        <v>0</v>
      </c>
      <c r="AB2296" s="178">
        <f t="shared" si="105"/>
        <v>0</v>
      </c>
      <c r="AH2296" s="177">
        <f t="shared" si="106"/>
        <v>0</v>
      </c>
    </row>
    <row r="2297" spans="23:34">
      <c r="W2297" s="177">
        <f t="shared" si="107"/>
        <v>0</v>
      </c>
      <c r="AB2297" s="178">
        <f t="shared" si="105"/>
        <v>0</v>
      </c>
      <c r="AH2297" s="177">
        <f t="shared" si="106"/>
        <v>0</v>
      </c>
    </row>
    <row r="2298" spans="23:34">
      <c r="W2298" s="177">
        <f t="shared" si="107"/>
        <v>0</v>
      </c>
      <c r="AB2298" s="178">
        <f t="shared" si="105"/>
        <v>0</v>
      </c>
      <c r="AH2298" s="177">
        <f t="shared" si="106"/>
        <v>0</v>
      </c>
    </row>
    <row r="2299" spans="23:34">
      <c r="W2299" s="177">
        <f t="shared" si="107"/>
        <v>0</v>
      </c>
      <c r="AB2299" s="178">
        <f t="shared" ref="AB2299:AB2362" si="108">SUM(Z2299:AA2299)</f>
        <v>0</v>
      </c>
      <c r="AH2299" s="177">
        <f t="shared" si="106"/>
        <v>0</v>
      </c>
    </row>
    <row r="2300" spans="23:34">
      <c r="W2300" s="177">
        <f t="shared" si="107"/>
        <v>0</v>
      </c>
      <c r="AB2300" s="178">
        <f t="shared" si="108"/>
        <v>0</v>
      </c>
      <c r="AH2300" s="177">
        <f t="shared" si="106"/>
        <v>0</v>
      </c>
    </row>
    <row r="2301" spans="23:34">
      <c r="W2301" s="177">
        <f t="shared" si="107"/>
        <v>0</v>
      </c>
      <c r="AB2301" s="178">
        <f t="shared" si="108"/>
        <v>0</v>
      </c>
      <c r="AH2301" s="177">
        <f t="shared" si="106"/>
        <v>0</v>
      </c>
    </row>
    <row r="2302" spans="23:34">
      <c r="W2302" s="177">
        <f t="shared" si="107"/>
        <v>0</v>
      </c>
      <c r="AB2302" s="178">
        <f t="shared" si="108"/>
        <v>0</v>
      </c>
      <c r="AH2302" s="177">
        <f t="shared" si="106"/>
        <v>0</v>
      </c>
    </row>
    <row r="2303" spans="23:34">
      <c r="W2303" s="177">
        <f t="shared" si="107"/>
        <v>0</v>
      </c>
      <c r="AB2303" s="178">
        <f t="shared" si="108"/>
        <v>0</v>
      </c>
      <c r="AH2303" s="177">
        <f t="shared" si="106"/>
        <v>0</v>
      </c>
    </row>
    <row r="2304" spans="23:34">
      <c r="W2304" s="177">
        <f t="shared" si="107"/>
        <v>0</v>
      </c>
      <c r="AB2304" s="178">
        <f t="shared" si="108"/>
        <v>0</v>
      </c>
      <c r="AH2304" s="177">
        <f t="shared" si="106"/>
        <v>0</v>
      </c>
    </row>
    <row r="2305" spans="23:34">
      <c r="W2305" s="177">
        <f t="shared" si="107"/>
        <v>0</v>
      </c>
      <c r="AB2305" s="178">
        <f t="shared" si="108"/>
        <v>0</v>
      </c>
      <c r="AH2305" s="177">
        <f t="shared" si="106"/>
        <v>0</v>
      </c>
    </row>
    <row r="2306" spans="23:34">
      <c r="W2306" s="177">
        <f t="shared" si="107"/>
        <v>0</v>
      </c>
      <c r="AB2306" s="178">
        <f t="shared" si="108"/>
        <v>0</v>
      </c>
      <c r="AH2306" s="177">
        <f t="shared" si="106"/>
        <v>0</v>
      </c>
    </row>
    <row r="2307" spans="23:34">
      <c r="W2307" s="177">
        <f t="shared" si="107"/>
        <v>0</v>
      </c>
      <c r="AB2307" s="178">
        <f t="shared" si="108"/>
        <v>0</v>
      </c>
      <c r="AH2307" s="177">
        <f t="shared" si="106"/>
        <v>0</v>
      </c>
    </row>
    <row r="2308" spans="23:34">
      <c r="W2308" s="177">
        <f t="shared" si="107"/>
        <v>0</v>
      </c>
      <c r="AB2308" s="178">
        <f t="shared" si="108"/>
        <v>0</v>
      </c>
      <c r="AH2308" s="177">
        <f t="shared" si="106"/>
        <v>0</v>
      </c>
    </row>
    <row r="2309" spans="23:34">
      <c r="W2309" s="177">
        <f t="shared" si="107"/>
        <v>0</v>
      </c>
      <c r="AB2309" s="178">
        <f t="shared" si="108"/>
        <v>0</v>
      </c>
      <c r="AH2309" s="177">
        <f t="shared" si="106"/>
        <v>0</v>
      </c>
    </row>
    <row r="2310" spans="23:34">
      <c r="W2310" s="177">
        <f t="shared" si="107"/>
        <v>0</v>
      </c>
      <c r="AB2310" s="178">
        <f t="shared" si="108"/>
        <v>0</v>
      </c>
      <c r="AH2310" s="177">
        <f t="shared" si="106"/>
        <v>0</v>
      </c>
    </row>
    <row r="2311" spans="23:34">
      <c r="W2311" s="177">
        <f t="shared" si="107"/>
        <v>0</v>
      </c>
      <c r="AB2311" s="178">
        <f t="shared" si="108"/>
        <v>0</v>
      </c>
      <c r="AH2311" s="177">
        <f t="shared" si="106"/>
        <v>0</v>
      </c>
    </row>
    <row r="2312" spans="23:34">
      <c r="W2312" s="177">
        <f t="shared" si="107"/>
        <v>0</v>
      </c>
      <c r="AB2312" s="178">
        <f t="shared" si="108"/>
        <v>0</v>
      </c>
      <c r="AH2312" s="177">
        <f t="shared" si="106"/>
        <v>0</v>
      </c>
    </row>
    <row r="2313" spans="23:34">
      <c r="W2313" s="177">
        <f t="shared" si="107"/>
        <v>0</v>
      </c>
      <c r="AB2313" s="178">
        <f t="shared" si="108"/>
        <v>0</v>
      </c>
      <c r="AH2313" s="177">
        <f t="shared" si="106"/>
        <v>0</v>
      </c>
    </row>
    <row r="2314" spans="23:34">
      <c r="W2314" s="177">
        <f t="shared" si="107"/>
        <v>0</v>
      </c>
      <c r="AB2314" s="178">
        <f t="shared" si="108"/>
        <v>0</v>
      </c>
      <c r="AH2314" s="177">
        <f t="shared" si="106"/>
        <v>0</v>
      </c>
    </row>
    <row r="2315" spans="23:34">
      <c r="W2315" s="177">
        <f t="shared" si="107"/>
        <v>0</v>
      </c>
      <c r="AB2315" s="178">
        <f t="shared" si="108"/>
        <v>0</v>
      </c>
      <c r="AH2315" s="177">
        <f t="shared" si="106"/>
        <v>0</v>
      </c>
    </row>
    <row r="2316" spans="23:34">
      <c r="W2316" s="177">
        <f t="shared" si="107"/>
        <v>0</v>
      </c>
      <c r="AB2316" s="178">
        <f t="shared" si="108"/>
        <v>0</v>
      </c>
      <c r="AH2316" s="177">
        <f t="shared" si="106"/>
        <v>0</v>
      </c>
    </row>
    <row r="2317" spans="23:34">
      <c r="W2317" s="177">
        <f t="shared" si="107"/>
        <v>0</v>
      </c>
      <c r="AB2317" s="178">
        <f t="shared" si="108"/>
        <v>0</v>
      </c>
      <c r="AH2317" s="177">
        <f t="shared" si="106"/>
        <v>0</v>
      </c>
    </row>
    <row r="2318" spans="23:34">
      <c r="W2318" s="177">
        <f t="shared" si="107"/>
        <v>0</v>
      </c>
      <c r="AB2318" s="178">
        <f t="shared" si="108"/>
        <v>0</v>
      </c>
      <c r="AH2318" s="177">
        <f t="shared" si="106"/>
        <v>0</v>
      </c>
    </row>
    <row r="2319" spans="23:34">
      <c r="W2319" s="177">
        <f t="shared" si="107"/>
        <v>0</v>
      </c>
      <c r="AB2319" s="178">
        <f t="shared" si="108"/>
        <v>0</v>
      </c>
      <c r="AH2319" s="177">
        <f t="shared" si="106"/>
        <v>0</v>
      </c>
    </row>
    <row r="2320" spans="23:34">
      <c r="W2320" s="177">
        <f t="shared" si="107"/>
        <v>0</v>
      </c>
      <c r="AB2320" s="178">
        <f t="shared" si="108"/>
        <v>0</v>
      </c>
      <c r="AH2320" s="177">
        <f t="shared" si="106"/>
        <v>0</v>
      </c>
    </row>
    <row r="2321" spans="23:34">
      <c r="W2321" s="177">
        <f t="shared" si="107"/>
        <v>0</v>
      </c>
      <c r="AB2321" s="178">
        <f t="shared" si="108"/>
        <v>0</v>
      </c>
      <c r="AH2321" s="177">
        <f t="shared" si="106"/>
        <v>0</v>
      </c>
    </row>
    <row r="2322" spans="23:34">
      <c r="W2322" s="177">
        <f t="shared" si="107"/>
        <v>0</v>
      </c>
      <c r="AB2322" s="178">
        <f t="shared" si="108"/>
        <v>0</v>
      </c>
      <c r="AH2322" s="177">
        <f t="shared" si="106"/>
        <v>0</v>
      </c>
    </row>
    <row r="2323" spans="23:34">
      <c r="W2323" s="177">
        <f t="shared" si="107"/>
        <v>0</v>
      </c>
      <c r="AB2323" s="178">
        <f t="shared" si="108"/>
        <v>0</v>
      </c>
      <c r="AH2323" s="177">
        <f t="shared" si="106"/>
        <v>0</v>
      </c>
    </row>
    <row r="2324" spans="23:34">
      <c r="W2324" s="177">
        <f t="shared" si="107"/>
        <v>0</v>
      </c>
      <c r="AB2324" s="178">
        <f t="shared" si="108"/>
        <v>0</v>
      </c>
      <c r="AH2324" s="177">
        <f t="shared" si="106"/>
        <v>0</v>
      </c>
    </row>
    <row r="2325" spans="23:34">
      <c r="W2325" s="177">
        <f t="shared" si="107"/>
        <v>0</v>
      </c>
      <c r="AB2325" s="178">
        <f t="shared" si="108"/>
        <v>0</v>
      </c>
      <c r="AH2325" s="177">
        <f t="shared" si="106"/>
        <v>0</v>
      </c>
    </row>
    <row r="2326" spans="23:34">
      <c r="W2326" s="177">
        <f t="shared" si="107"/>
        <v>0</v>
      </c>
      <c r="AB2326" s="178">
        <f t="shared" si="108"/>
        <v>0</v>
      </c>
      <c r="AH2326" s="177">
        <f t="shared" si="106"/>
        <v>0</v>
      </c>
    </row>
    <row r="2327" spans="23:34">
      <c r="W2327" s="177">
        <f t="shared" si="107"/>
        <v>0</v>
      </c>
      <c r="AB2327" s="178">
        <f t="shared" si="108"/>
        <v>0</v>
      </c>
      <c r="AH2327" s="177">
        <f t="shared" si="106"/>
        <v>0</v>
      </c>
    </row>
    <row r="2328" spans="23:34">
      <c r="W2328" s="177">
        <f t="shared" si="107"/>
        <v>0</v>
      </c>
      <c r="AB2328" s="178">
        <f t="shared" si="108"/>
        <v>0</v>
      </c>
      <c r="AH2328" s="177">
        <f t="shared" si="106"/>
        <v>0</v>
      </c>
    </row>
    <row r="2329" spans="23:34">
      <c r="W2329" s="177">
        <f t="shared" si="107"/>
        <v>0</v>
      </c>
      <c r="AB2329" s="178">
        <f t="shared" si="108"/>
        <v>0</v>
      </c>
      <c r="AH2329" s="177">
        <f t="shared" si="106"/>
        <v>0</v>
      </c>
    </row>
    <row r="2330" spans="23:34">
      <c r="W2330" s="177">
        <f t="shared" si="107"/>
        <v>0</v>
      </c>
      <c r="AB2330" s="178">
        <f t="shared" si="108"/>
        <v>0</v>
      </c>
      <c r="AH2330" s="177">
        <f t="shared" si="106"/>
        <v>0</v>
      </c>
    </row>
    <row r="2331" spans="23:34">
      <c r="W2331" s="177">
        <f t="shared" si="107"/>
        <v>0</v>
      </c>
      <c r="AB2331" s="178">
        <f t="shared" si="108"/>
        <v>0</v>
      </c>
      <c r="AH2331" s="177">
        <f t="shared" si="106"/>
        <v>0</v>
      </c>
    </row>
    <row r="2332" spans="23:34">
      <c r="W2332" s="177">
        <f t="shared" si="107"/>
        <v>0</v>
      </c>
      <c r="AB2332" s="178">
        <f t="shared" si="108"/>
        <v>0</v>
      </c>
      <c r="AH2332" s="177">
        <f t="shared" si="106"/>
        <v>0</v>
      </c>
    </row>
    <row r="2333" spans="23:34">
      <c r="W2333" s="177">
        <f t="shared" si="107"/>
        <v>0</v>
      </c>
      <c r="AB2333" s="178">
        <f t="shared" si="108"/>
        <v>0</v>
      </c>
      <c r="AH2333" s="177">
        <f t="shared" si="106"/>
        <v>0</v>
      </c>
    </row>
    <row r="2334" spans="23:34">
      <c r="W2334" s="177">
        <f t="shared" si="107"/>
        <v>0</v>
      </c>
      <c r="AB2334" s="178">
        <f t="shared" si="108"/>
        <v>0</v>
      </c>
      <c r="AH2334" s="177">
        <f t="shared" si="106"/>
        <v>0</v>
      </c>
    </row>
    <row r="2335" spans="23:34">
      <c r="W2335" s="177">
        <f t="shared" si="107"/>
        <v>0</v>
      </c>
      <c r="AB2335" s="178">
        <f t="shared" si="108"/>
        <v>0</v>
      </c>
      <c r="AH2335" s="177">
        <f t="shared" si="106"/>
        <v>0</v>
      </c>
    </row>
    <row r="2336" spans="23:34">
      <c r="W2336" s="177">
        <f t="shared" si="107"/>
        <v>0</v>
      </c>
      <c r="AB2336" s="178">
        <f t="shared" si="108"/>
        <v>0</v>
      </c>
      <c r="AH2336" s="177">
        <f t="shared" si="106"/>
        <v>0</v>
      </c>
    </row>
    <row r="2337" spans="23:34">
      <c r="W2337" s="177">
        <f t="shared" si="107"/>
        <v>0</v>
      </c>
      <c r="AB2337" s="178">
        <f t="shared" si="108"/>
        <v>0</v>
      </c>
      <c r="AH2337" s="177">
        <f t="shared" si="106"/>
        <v>0</v>
      </c>
    </row>
    <row r="2338" spans="23:34">
      <c r="W2338" s="177">
        <f t="shared" si="107"/>
        <v>0</v>
      </c>
      <c r="AB2338" s="178">
        <f t="shared" si="108"/>
        <v>0</v>
      </c>
      <c r="AH2338" s="177">
        <f t="shared" si="106"/>
        <v>0</v>
      </c>
    </row>
    <row r="2339" spans="23:34">
      <c r="W2339" s="177">
        <f t="shared" si="107"/>
        <v>0</v>
      </c>
      <c r="AB2339" s="178">
        <f t="shared" si="108"/>
        <v>0</v>
      </c>
      <c r="AH2339" s="177">
        <f t="shared" si="106"/>
        <v>0</v>
      </c>
    </row>
    <row r="2340" spans="23:34">
      <c r="W2340" s="177">
        <f t="shared" si="107"/>
        <v>0</v>
      </c>
      <c r="AB2340" s="178">
        <f t="shared" si="108"/>
        <v>0</v>
      </c>
      <c r="AH2340" s="177">
        <f t="shared" si="106"/>
        <v>0</v>
      </c>
    </row>
    <row r="2341" spans="23:34">
      <c r="W2341" s="177">
        <f t="shared" si="107"/>
        <v>0</v>
      </c>
      <c r="AB2341" s="178">
        <f t="shared" si="108"/>
        <v>0</v>
      </c>
      <c r="AH2341" s="177">
        <f t="shared" si="106"/>
        <v>0</v>
      </c>
    </row>
    <row r="2342" spans="23:34">
      <c r="W2342" s="177">
        <f t="shared" si="107"/>
        <v>0</v>
      </c>
      <c r="AB2342" s="178">
        <f t="shared" si="108"/>
        <v>0</v>
      </c>
      <c r="AH2342" s="177">
        <f t="shared" si="106"/>
        <v>0</v>
      </c>
    </row>
    <row r="2343" spans="23:34">
      <c r="W2343" s="177">
        <f t="shared" si="107"/>
        <v>0</v>
      </c>
      <c r="AB2343" s="178">
        <f t="shared" si="108"/>
        <v>0</v>
      </c>
      <c r="AH2343" s="177">
        <f t="shared" si="106"/>
        <v>0</v>
      </c>
    </row>
    <row r="2344" spans="23:34">
      <c r="W2344" s="177">
        <f t="shared" si="107"/>
        <v>0</v>
      </c>
      <c r="AB2344" s="178">
        <f t="shared" si="108"/>
        <v>0</v>
      </c>
      <c r="AH2344" s="177">
        <f t="shared" si="106"/>
        <v>0</v>
      </c>
    </row>
    <row r="2345" spans="23:34">
      <c r="W2345" s="177">
        <f t="shared" si="107"/>
        <v>0</v>
      </c>
      <c r="AB2345" s="178">
        <f t="shared" si="108"/>
        <v>0</v>
      </c>
      <c r="AH2345" s="177">
        <f t="shared" si="106"/>
        <v>0</v>
      </c>
    </row>
    <row r="2346" spans="23:34">
      <c r="W2346" s="177">
        <f t="shared" si="107"/>
        <v>0</v>
      </c>
      <c r="AB2346" s="178">
        <f t="shared" si="108"/>
        <v>0</v>
      </c>
      <c r="AH2346" s="177">
        <f t="shared" si="106"/>
        <v>0</v>
      </c>
    </row>
    <row r="2347" spans="23:34">
      <c r="W2347" s="177">
        <f t="shared" si="107"/>
        <v>0</v>
      </c>
      <c r="AB2347" s="178">
        <f t="shared" si="108"/>
        <v>0</v>
      </c>
      <c r="AH2347" s="177">
        <f t="shared" si="106"/>
        <v>0</v>
      </c>
    </row>
    <row r="2348" spans="23:34">
      <c r="W2348" s="177">
        <f t="shared" si="107"/>
        <v>0</v>
      </c>
      <c r="AB2348" s="178">
        <f t="shared" si="108"/>
        <v>0</v>
      </c>
      <c r="AH2348" s="177">
        <f t="shared" si="106"/>
        <v>0</v>
      </c>
    </row>
    <row r="2349" spans="23:34">
      <c r="W2349" s="177">
        <f t="shared" si="107"/>
        <v>0</v>
      </c>
      <c r="AB2349" s="178">
        <f t="shared" si="108"/>
        <v>0</v>
      </c>
      <c r="AH2349" s="177">
        <f t="shared" si="106"/>
        <v>0</v>
      </c>
    </row>
    <row r="2350" spans="23:34">
      <c r="W2350" s="177">
        <f t="shared" si="107"/>
        <v>0</v>
      </c>
      <c r="AB2350" s="178">
        <f t="shared" si="108"/>
        <v>0</v>
      </c>
      <c r="AH2350" s="177">
        <f t="shared" si="106"/>
        <v>0</v>
      </c>
    </row>
    <row r="2351" spans="23:34">
      <c r="W2351" s="177">
        <f t="shared" si="107"/>
        <v>0</v>
      </c>
      <c r="AB2351" s="178">
        <f t="shared" si="108"/>
        <v>0</v>
      </c>
      <c r="AH2351" s="177">
        <f t="shared" si="106"/>
        <v>0</v>
      </c>
    </row>
    <row r="2352" spans="23:34">
      <c r="W2352" s="177">
        <f t="shared" si="107"/>
        <v>0</v>
      </c>
      <c r="AB2352" s="178">
        <f t="shared" si="108"/>
        <v>0</v>
      </c>
      <c r="AH2352" s="177">
        <f t="shared" ref="AH2352:AH2415" si="109">SUM(AF2352:AG2352)</f>
        <v>0</v>
      </c>
    </row>
    <row r="2353" spans="23:34">
      <c r="W2353" s="177">
        <f t="shared" si="107"/>
        <v>0</v>
      </c>
      <c r="AB2353" s="178">
        <f t="shared" si="108"/>
        <v>0</v>
      </c>
      <c r="AH2353" s="177">
        <f t="shared" si="109"/>
        <v>0</v>
      </c>
    </row>
    <row r="2354" spans="23:34">
      <c r="W2354" s="177">
        <f t="shared" si="107"/>
        <v>0</v>
      </c>
      <c r="AB2354" s="178">
        <f t="shared" si="108"/>
        <v>0</v>
      </c>
      <c r="AH2354" s="177">
        <f t="shared" si="109"/>
        <v>0</v>
      </c>
    </row>
    <row r="2355" spans="23:34">
      <c r="W2355" s="177">
        <f t="shared" ref="W2355:W2418" si="110">SUM(Q2355:T2355)</f>
        <v>0</v>
      </c>
      <c r="AB2355" s="178">
        <f t="shared" si="108"/>
        <v>0</v>
      </c>
      <c r="AH2355" s="177">
        <f t="shared" si="109"/>
        <v>0</v>
      </c>
    </row>
    <row r="2356" spans="23:34">
      <c r="W2356" s="177">
        <f t="shared" si="110"/>
        <v>0</v>
      </c>
      <c r="AB2356" s="178">
        <f t="shared" si="108"/>
        <v>0</v>
      </c>
      <c r="AH2356" s="177">
        <f t="shared" si="109"/>
        <v>0</v>
      </c>
    </row>
    <row r="2357" spans="23:34">
      <c r="W2357" s="177">
        <f t="shared" si="110"/>
        <v>0</v>
      </c>
      <c r="AB2357" s="178">
        <f t="shared" si="108"/>
        <v>0</v>
      </c>
      <c r="AH2357" s="177">
        <f t="shared" si="109"/>
        <v>0</v>
      </c>
    </row>
    <row r="2358" spans="23:34">
      <c r="W2358" s="177">
        <f t="shared" si="110"/>
        <v>0</v>
      </c>
      <c r="AB2358" s="178">
        <f t="shared" si="108"/>
        <v>0</v>
      </c>
      <c r="AH2358" s="177">
        <f t="shared" si="109"/>
        <v>0</v>
      </c>
    </row>
    <row r="2359" spans="23:34">
      <c r="W2359" s="177">
        <f t="shared" si="110"/>
        <v>0</v>
      </c>
      <c r="AB2359" s="178">
        <f t="shared" si="108"/>
        <v>0</v>
      </c>
      <c r="AH2359" s="177">
        <f t="shared" si="109"/>
        <v>0</v>
      </c>
    </row>
    <row r="2360" spans="23:34">
      <c r="W2360" s="177">
        <f t="shared" si="110"/>
        <v>0</v>
      </c>
      <c r="AB2360" s="178">
        <f t="shared" si="108"/>
        <v>0</v>
      </c>
      <c r="AH2360" s="177">
        <f t="shared" si="109"/>
        <v>0</v>
      </c>
    </row>
    <row r="2361" spans="23:34">
      <c r="W2361" s="177">
        <f t="shared" si="110"/>
        <v>0</v>
      </c>
      <c r="AB2361" s="178">
        <f t="shared" si="108"/>
        <v>0</v>
      </c>
      <c r="AH2361" s="177">
        <f t="shared" si="109"/>
        <v>0</v>
      </c>
    </row>
    <row r="2362" spans="23:34">
      <c r="W2362" s="177">
        <f t="shared" si="110"/>
        <v>0</v>
      </c>
      <c r="AB2362" s="178">
        <f t="shared" si="108"/>
        <v>0</v>
      </c>
      <c r="AH2362" s="177">
        <f t="shared" si="109"/>
        <v>0</v>
      </c>
    </row>
    <row r="2363" spans="23:34">
      <c r="W2363" s="177">
        <f t="shared" si="110"/>
        <v>0</v>
      </c>
      <c r="AB2363" s="178">
        <f t="shared" ref="AB2363:AB2426" si="111">SUM(Z2363:AA2363)</f>
        <v>0</v>
      </c>
      <c r="AH2363" s="177">
        <f t="shared" si="109"/>
        <v>0</v>
      </c>
    </row>
    <row r="2364" spans="23:34">
      <c r="W2364" s="177">
        <f t="shared" si="110"/>
        <v>0</v>
      </c>
      <c r="AB2364" s="178">
        <f t="shared" si="111"/>
        <v>0</v>
      </c>
      <c r="AH2364" s="177">
        <f t="shared" si="109"/>
        <v>0</v>
      </c>
    </row>
    <row r="2365" spans="23:34">
      <c r="W2365" s="177">
        <f t="shared" si="110"/>
        <v>0</v>
      </c>
      <c r="AB2365" s="178">
        <f t="shared" si="111"/>
        <v>0</v>
      </c>
      <c r="AH2365" s="177">
        <f t="shared" si="109"/>
        <v>0</v>
      </c>
    </row>
    <row r="2366" spans="23:34">
      <c r="W2366" s="177">
        <f t="shared" si="110"/>
        <v>0</v>
      </c>
      <c r="AB2366" s="178">
        <f t="shared" si="111"/>
        <v>0</v>
      </c>
      <c r="AH2366" s="177">
        <f t="shared" si="109"/>
        <v>0</v>
      </c>
    </row>
    <row r="2367" spans="23:34">
      <c r="W2367" s="177">
        <f t="shared" si="110"/>
        <v>0</v>
      </c>
      <c r="AB2367" s="178">
        <f t="shared" si="111"/>
        <v>0</v>
      </c>
      <c r="AH2367" s="177">
        <f t="shared" si="109"/>
        <v>0</v>
      </c>
    </row>
    <row r="2368" spans="23:34">
      <c r="W2368" s="177">
        <f t="shared" si="110"/>
        <v>0</v>
      </c>
      <c r="AB2368" s="178">
        <f t="shared" si="111"/>
        <v>0</v>
      </c>
      <c r="AH2368" s="177">
        <f t="shared" si="109"/>
        <v>0</v>
      </c>
    </row>
    <row r="2369" spans="23:34">
      <c r="W2369" s="177">
        <f t="shared" si="110"/>
        <v>0</v>
      </c>
      <c r="AB2369" s="178">
        <f t="shared" si="111"/>
        <v>0</v>
      </c>
      <c r="AH2369" s="177">
        <f t="shared" si="109"/>
        <v>0</v>
      </c>
    </row>
    <row r="2370" spans="23:34">
      <c r="W2370" s="177">
        <f t="shared" si="110"/>
        <v>0</v>
      </c>
      <c r="AB2370" s="178">
        <f t="shared" si="111"/>
        <v>0</v>
      </c>
      <c r="AH2370" s="177">
        <f t="shared" si="109"/>
        <v>0</v>
      </c>
    </row>
    <row r="2371" spans="23:34">
      <c r="W2371" s="177">
        <f t="shared" si="110"/>
        <v>0</v>
      </c>
      <c r="AB2371" s="178">
        <f t="shared" si="111"/>
        <v>0</v>
      </c>
      <c r="AH2371" s="177">
        <f t="shared" si="109"/>
        <v>0</v>
      </c>
    </row>
    <row r="2372" spans="23:34">
      <c r="W2372" s="177">
        <f t="shared" si="110"/>
        <v>0</v>
      </c>
      <c r="AB2372" s="178">
        <f t="shared" si="111"/>
        <v>0</v>
      </c>
      <c r="AH2372" s="177">
        <f t="shared" si="109"/>
        <v>0</v>
      </c>
    </row>
    <row r="2373" spans="23:34">
      <c r="W2373" s="177">
        <f t="shared" si="110"/>
        <v>0</v>
      </c>
      <c r="AB2373" s="178">
        <f t="shared" si="111"/>
        <v>0</v>
      </c>
      <c r="AH2373" s="177">
        <f t="shared" si="109"/>
        <v>0</v>
      </c>
    </row>
    <row r="2374" spans="23:34">
      <c r="W2374" s="177">
        <f t="shared" si="110"/>
        <v>0</v>
      </c>
      <c r="AB2374" s="178">
        <f t="shared" si="111"/>
        <v>0</v>
      </c>
      <c r="AH2374" s="177">
        <f t="shared" si="109"/>
        <v>0</v>
      </c>
    </row>
    <row r="2375" spans="23:34">
      <c r="W2375" s="177">
        <f t="shared" si="110"/>
        <v>0</v>
      </c>
      <c r="AB2375" s="178">
        <f t="shared" si="111"/>
        <v>0</v>
      </c>
      <c r="AH2375" s="177">
        <f t="shared" si="109"/>
        <v>0</v>
      </c>
    </row>
    <row r="2376" spans="23:34">
      <c r="W2376" s="177">
        <f t="shared" si="110"/>
        <v>0</v>
      </c>
      <c r="AB2376" s="178">
        <f t="shared" si="111"/>
        <v>0</v>
      </c>
      <c r="AH2376" s="177">
        <f t="shared" si="109"/>
        <v>0</v>
      </c>
    </row>
    <row r="2377" spans="23:34">
      <c r="W2377" s="177">
        <f t="shared" si="110"/>
        <v>0</v>
      </c>
      <c r="AB2377" s="178">
        <f t="shared" si="111"/>
        <v>0</v>
      </c>
      <c r="AH2377" s="177">
        <f t="shared" si="109"/>
        <v>0</v>
      </c>
    </row>
    <row r="2378" spans="23:34">
      <c r="W2378" s="177">
        <f t="shared" si="110"/>
        <v>0</v>
      </c>
      <c r="AB2378" s="178">
        <f t="shared" si="111"/>
        <v>0</v>
      </c>
      <c r="AH2378" s="177">
        <f t="shared" si="109"/>
        <v>0</v>
      </c>
    </row>
    <row r="2379" spans="23:34">
      <c r="W2379" s="177">
        <f t="shared" si="110"/>
        <v>0</v>
      </c>
      <c r="AB2379" s="178">
        <f t="shared" si="111"/>
        <v>0</v>
      </c>
      <c r="AH2379" s="177">
        <f t="shared" si="109"/>
        <v>0</v>
      </c>
    </row>
    <row r="2380" spans="23:34">
      <c r="W2380" s="177">
        <f t="shared" si="110"/>
        <v>0</v>
      </c>
      <c r="AB2380" s="178">
        <f t="shared" si="111"/>
        <v>0</v>
      </c>
      <c r="AH2380" s="177">
        <f t="shared" si="109"/>
        <v>0</v>
      </c>
    </row>
    <row r="2381" spans="23:34">
      <c r="W2381" s="177">
        <f t="shared" si="110"/>
        <v>0</v>
      </c>
      <c r="AB2381" s="178">
        <f t="shared" si="111"/>
        <v>0</v>
      </c>
      <c r="AH2381" s="177">
        <f t="shared" si="109"/>
        <v>0</v>
      </c>
    </row>
    <row r="2382" spans="23:34">
      <c r="W2382" s="177">
        <f t="shared" si="110"/>
        <v>0</v>
      </c>
      <c r="AB2382" s="178">
        <f t="shared" si="111"/>
        <v>0</v>
      </c>
      <c r="AH2382" s="177">
        <f t="shared" si="109"/>
        <v>0</v>
      </c>
    </row>
    <row r="2383" spans="23:34">
      <c r="W2383" s="177">
        <f t="shared" si="110"/>
        <v>0</v>
      </c>
      <c r="AB2383" s="178">
        <f t="shared" si="111"/>
        <v>0</v>
      </c>
      <c r="AH2383" s="177">
        <f t="shared" si="109"/>
        <v>0</v>
      </c>
    </row>
    <row r="2384" spans="23:34">
      <c r="W2384" s="177">
        <f t="shared" si="110"/>
        <v>0</v>
      </c>
      <c r="AB2384" s="178">
        <f t="shared" si="111"/>
        <v>0</v>
      </c>
      <c r="AH2384" s="177">
        <f t="shared" si="109"/>
        <v>0</v>
      </c>
    </row>
    <row r="2385" spans="23:34">
      <c r="W2385" s="177">
        <f t="shared" si="110"/>
        <v>0</v>
      </c>
      <c r="AB2385" s="178">
        <f t="shared" si="111"/>
        <v>0</v>
      </c>
      <c r="AH2385" s="177">
        <f t="shared" si="109"/>
        <v>0</v>
      </c>
    </row>
    <row r="2386" spans="23:34">
      <c r="W2386" s="177">
        <f t="shared" si="110"/>
        <v>0</v>
      </c>
      <c r="AB2386" s="178">
        <f t="shared" si="111"/>
        <v>0</v>
      </c>
      <c r="AH2386" s="177">
        <f t="shared" si="109"/>
        <v>0</v>
      </c>
    </row>
    <row r="2387" spans="23:34">
      <c r="W2387" s="177">
        <f t="shared" si="110"/>
        <v>0</v>
      </c>
      <c r="AB2387" s="178">
        <f t="shared" si="111"/>
        <v>0</v>
      </c>
      <c r="AH2387" s="177">
        <f t="shared" si="109"/>
        <v>0</v>
      </c>
    </row>
    <row r="2388" spans="23:34">
      <c r="W2388" s="177">
        <f t="shared" si="110"/>
        <v>0</v>
      </c>
      <c r="AB2388" s="178">
        <f t="shared" si="111"/>
        <v>0</v>
      </c>
      <c r="AH2388" s="177">
        <f t="shared" si="109"/>
        <v>0</v>
      </c>
    </row>
    <row r="2389" spans="23:34">
      <c r="W2389" s="177">
        <f t="shared" si="110"/>
        <v>0</v>
      </c>
      <c r="AB2389" s="178">
        <f t="shared" si="111"/>
        <v>0</v>
      </c>
      <c r="AH2389" s="177">
        <f t="shared" si="109"/>
        <v>0</v>
      </c>
    </row>
    <row r="2390" spans="23:34">
      <c r="W2390" s="177">
        <f t="shared" si="110"/>
        <v>0</v>
      </c>
      <c r="AB2390" s="178">
        <f t="shared" si="111"/>
        <v>0</v>
      </c>
      <c r="AH2390" s="177">
        <f t="shared" si="109"/>
        <v>0</v>
      </c>
    </row>
    <row r="2391" spans="23:34">
      <c r="W2391" s="177">
        <f t="shared" si="110"/>
        <v>0</v>
      </c>
      <c r="AB2391" s="178">
        <f t="shared" si="111"/>
        <v>0</v>
      </c>
      <c r="AH2391" s="177">
        <f t="shared" si="109"/>
        <v>0</v>
      </c>
    </row>
    <row r="2392" spans="23:34">
      <c r="W2392" s="177">
        <f t="shared" si="110"/>
        <v>0</v>
      </c>
      <c r="AB2392" s="178">
        <f t="shared" si="111"/>
        <v>0</v>
      </c>
      <c r="AH2392" s="177">
        <f t="shared" si="109"/>
        <v>0</v>
      </c>
    </row>
    <row r="2393" spans="23:34">
      <c r="W2393" s="177">
        <f t="shared" si="110"/>
        <v>0</v>
      </c>
      <c r="AB2393" s="178">
        <f t="shared" si="111"/>
        <v>0</v>
      </c>
      <c r="AH2393" s="177">
        <f t="shared" si="109"/>
        <v>0</v>
      </c>
    </row>
    <row r="2394" spans="23:34">
      <c r="W2394" s="177">
        <f t="shared" si="110"/>
        <v>0</v>
      </c>
      <c r="AB2394" s="178">
        <f t="shared" si="111"/>
        <v>0</v>
      </c>
      <c r="AH2394" s="177">
        <f t="shared" si="109"/>
        <v>0</v>
      </c>
    </row>
    <row r="2395" spans="23:34">
      <c r="W2395" s="177">
        <f t="shared" si="110"/>
        <v>0</v>
      </c>
      <c r="AB2395" s="178">
        <f t="shared" si="111"/>
        <v>0</v>
      </c>
      <c r="AH2395" s="177">
        <f t="shared" si="109"/>
        <v>0</v>
      </c>
    </row>
    <row r="2396" spans="23:34">
      <c r="W2396" s="177">
        <f t="shared" si="110"/>
        <v>0</v>
      </c>
      <c r="AB2396" s="178">
        <f t="shared" si="111"/>
        <v>0</v>
      </c>
      <c r="AH2396" s="177">
        <f t="shared" si="109"/>
        <v>0</v>
      </c>
    </row>
    <row r="2397" spans="23:34">
      <c r="W2397" s="177">
        <f t="shared" si="110"/>
        <v>0</v>
      </c>
      <c r="AB2397" s="178">
        <f t="shared" si="111"/>
        <v>0</v>
      </c>
      <c r="AH2397" s="177">
        <f t="shared" si="109"/>
        <v>0</v>
      </c>
    </row>
    <row r="2398" spans="23:34">
      <c r="W2398" s="177">
        <f t="shared" si="110"/>
        <v>0</v>
      </c>
      <c r="AB2398" s="178">
        <f t="shared" si="111"/>
        <v>0</v>
      </c>
      <c r="AH2398" s="177">
        <f t="shared" si="109"/>
        <v>0</v>
      </c>
    </row>
    <row r="2399" spans="23:34">
      <c r="W2399" s="177">
        <f t="shared" si="110"/>
        <v>0</v>
      </c>
      <c r="AB2399" s="178">
        <f t="shared" si="111"/>
        <v>0</v>
      </c>
      <c r="AH2399" s="177">
        <f t="shared" si="109"/>
        <v>0</v>
      </c>
    </row>
    <row r="2400" spans="23:34">
      <c r="W2400" s="177">
        <f t="shared" si="110"/>
        <v>0</v>
      </c>
      <c r="AB2400" s="178">
        <f t="shared" si="111"/>
        <v>0</v>
      </c>
      <c r="AH2400" s="177">
        <f t="shared" si="109"/>
        <v>0</v>
      </c>
    </row>
    <row r="2401" spans="23:34">
      <c r="W2401" s="177">
        <f t="shared" si="110"/>
        <v>0</v>
      </c>
      <c r="AB2401" s="178">
        <f t="shared" si="111"/>
        <v>0</v>
      </c>
      <c r="AH2401" s="177">
        <f t="shared" si="109"/>
        <v>0</v>
      </c>
    </row>
    <row r="2402" spans="23:34">
      <c r="W2402" s="177">
        <f t="shared" si="110"/>
        <v>0</v>
      </c>
      <c r="AB2402" s="178">
        <f t="shared" si="111"/>
        <v>0</v>
      </c>
      <c r="AH2402" s="177">
        <f t="shared" si="109"/>
        <v>0</v>
      </c>
    </row>
    <row r="2403" spans="23:34">
      <c r="W2403" s="177">
        <f t="shared" si="110"/>
        <v>0</v>
      </c>
      <c r="AB2403" s="178">
        <f t="shared" si="111"/>
        <v>0</v>
      </c>
      <c r="AH2403" s="177">
        <f t="shared" si="109"/>
        <v>0</v>
      </c>
    </row>
    <row r="2404" spans="23:34">
      <c r="W2404" s="177">
        <f t="shared" si="110"/>
        <v>0</v>
      </c>
      <c r="AB2404" s="178">
        <f t="shared" si="111"/>
        <v>0</v>
      </c>
      <c r="AH2404" s="177">
        <f t="shared" si="109"/>
        <v>0</v>
      </c>
    </row>
    <row r="2405" spans="23:34">
      <c r="W2405" s="177">
        <f t="shared" si="110"/>
        <v>0</v>
      </c>
      <c r="AB2405" s="178">
        <f t="shared" si="111"/>
        <v>0</v>
      </c>
      <c r="AH2405" s="177">
        <f t="shared" si="109"/>
        <v>0</v>
      </c>
    </row>
    <row r="2406" spans="23:34">
      <c r="W2406" s="177">
        <f t="shared" si="110"/>
        <v>0</v>
      </c>
      <c r="AB2406" s="178">
        <f t="shared" si="111"/>
        <v>0</v>
      </c>
      <c r="AH2406" s="177">
        <f t="shared" si="109"/>
        <v>0</v>
      </c>
    </row>
    <row r="2407" spans="23:34">
      <c r="W2407" s="177">
        <f t="shared" si="110"/>
        <v>0</v>
      </c>
      <c r="AB2407" s="178">
        <f t="shared" si="111"/>
        <v>0</v>
      </c>
      <c r="AH2407" s="177">
        <f t="shared" si="109"/>
        <v>0</v>
      </c>
    </row>
    <row r="2408" spans="23:34">
      <c r="W2408" s="177">
        <f t="shared" si="110"/>
        <v>0</v>
      </c>
      <c r="AB2408" s="178">
        <f t="shared" si="111"/>
        <v>0</v>
      </c>
      <c r="AH2408" s="177">
        <f t="shared" si="109"/>
        <v>0</v>
      </c>
    </row>
    <row r="2409" spans="23:34">
      <c r="W2409" s="177">
        <f t="shared" si="110"/>
        <v>0</v>
      </c>
      <c r="AB2409" s="178">
        <f t="shared" si="111"/>
        <v>0</v>
      </c>
      <c r="AH2409" s="177">
        <f t="shared" si="109"/>
        <v>0</v>
      </c>
    </row>
    <row r="2410" spans="23:34">
      <c r="W2410" s="177">
        <f t="shared" si="110"/>
        <v>0</v>
      </c>
      <c r="AB2410" s="178">
        <f t="shared" si="111"/>
        <v>0</v>
      </c>
      <c r="AH2410" s="177">
        <f t="shared" si="109"/>
        <v>0</v>
      </c>
    </row>
    <row r="2411" spans="23:34">
      <c r="W2411" s="177">
        <f t="shared" si="110"/>
        <v>0</v>
      </c>
      <c r="AB2411" s="178">
        <f t="shared" si="111"/>
        <v>0</v>
      </c>
      <c r="AH2411" s="177">
        <f t="shared" si="109"/>
        <v>0</v>
      </c>
    </row>
    <row r="2412" spans="23:34">
      <c r="W2412" s="177">
        <f t="shared" si="110"/>
        <v>0</v>
      </c>
      <c r="AB2412" s="178">
        <f t="shared" si="111"/>
        <v>0</v>
      </c>
      <c r="AH2412" s="177">
        <f t="shared" si="109"/>
        <v>0</v>
      </c>
    </row>
    <row r="2413" spans="23:34">
      <c r="W2413" s="177">
        <f t="shared" si="110"/>
        <v>0</v>
      </c>
      <c r="AB2413" s="178">
        <f t="shared" si="111"/>
        <v>0</v>
      </c>
      <c r="AH2413" s="177">
        <f t="shared" si="109"/>
        <v>0</v>
      </c>
    </row>
    <row r="2414" spans="23:34">
      <c r="W2414" s="177">
        <f t="shared" si="110"/>
        <v>0</v>
      </c>
      <c r="AB2414" s="178">
        <f t="shared" si="111"/>
        <v>0</v>
      </c>
      <c r="AH2414" s="177">
        <f t="shared" si="109"/>
        <v>0</v>
      </c>
    </row>
    <row r="2415" spans="23:34">
      <c r="W2415" s="177">
        <f t="shared" si="110"/>
        <v>0</v>
      </c>
      <c r="AB2415" s="178">
        <f t="shared" si="111"/>
        <v>0</v>
      </c>
      <c r="AH2415" s="177">
        <f t="shared" si="109"/>
        <v>0</v>
      </c>
    </row>
    <row r="2416" spans="23:34">
      <c r="W2416" s="177">
        <f t="shared" si="110"/>
        <v>0</v>
      </c>
      <c r="AB2416" s="178">
        <f t="shared" si="111"/>
        <v>0</v>
      </c>
      <c r="AH2416" s="177">
        <f t="shared" ref="AH2416:AH2479" si="112">SUM(AF2416:AG2416)</f>
        <v>0</v>
      </c>
    </row>
    <row r="2417" spans="23:34">
      <c r="W2417" s="177">
        <f t="shared" si="110"/>
        <v>0</v>
      </c>
      <c r="AB2417" s="178">
        <f t="shared" si="111"/>
        <v>0</v>
      </c>
      <c r="AH2417" s="177">
        <f t="shared" si="112"/>
        <v>0</v>
      </c>
    </row>
    <row r="2418" spans="23:34">
      <c r="W2418" s="177">
        <f t="shared" si="110"/>
        <v>0</v>
      </c>
      <c r="AB2418" s="178">
        <f t="shared" si="111"/>
        <v>0</v>
      </c>
      <c r="AH2418" s="177">
        <f t="shared" si="112"/>
        <v>0</v>
      </c>
    </row>
    <row r="2419" spans="23:34">
      <c r="W2419" s="177">
        <f t="shared" ref="W2419:W2482" si="113">SUM(Q2419:T2419)</f>
        <v>0</v>
      </c>
      <c r="AB2419" s="178">
        <f t="shared" si="111"/>
        <v>0</v>
      </c>
      <c r="AH2419" s="177">
        <f t="shared" si="112"/>
        <v>0</v>
      </c>
    </row>
    <row r="2420" spans="23:34">
      <c r="W2420" s="177">
        <f t="shared" si="113"/>
        <v>0</v>
      </c>
      <c r="AB2420" s="178">
        <f t="shared" si="111"/>
        <v>0</v>
      </c>
      <c r="AH2420" s="177">
        <f t="shared" si="112"/>
        <v>0</v>
      </c>
    </row>
    <row r="2421" spans="23:34">
      <c r="W2421" s="177">
        <f t="shared" si="113"/>
        <v>0</v>
      </c>
      <c r="AB2421" s="178">
        <f t="shared" si="111"/>
        <v>0</v>
      </c>
      <c r="AH2421" s="177">
        <f t="shared" si="112"/>
        <v>0</v>
      </c>
    </row>
    <row r="2422" spans="23:34">
      <c r="W2422" s="177">
        <f t="shared" si="113"/>
        <v>0</v>
      </c>
      <c r="AB2422" s="178">
        <f t="shared" si="111"/>
        <v>0</v>
      </c>
      <c r="AH2422" s="177">
        <f t="shared" si="112"/>
        <v>0</v>
      </c>
    </row>
    <row r="2423" spans="23:34">
      <c r="W2423" s="177">
        <f t="shared" si="113"/>
        <v>0</v>
      </c>
      <c r="AB2423" s="178">
        <f t="shared" si="111"/>
        <v>0</v>
      </c>
      <c r="AH2423" s="177">
        <f t="shared" si="112"/>
        <v>0</v>
      </c>
    </row>
    <row r="2424" spans="23:34">
      <c r="W2424" s="177">
        <f t="shared" si="113"/>
        <v>0</v>
      </c>
      <c r="AB2424" s="178">
        <f t="shared" si="111"/>
        <v>0</v>
      </c>
      <c r="AH2424" s="177">
        <f t="shared" si="112"/>
        <v>0</v>
      </c>
    </row>
    <row r="2425" spans="23:34">
      <c r="W2425" s="177">
        <f t="shared" si="113"/>
        <v>0</v>
      </c>
      <c r="AB2425" s="178">
        <f t="shared" si="111"/>
        <v>0</v>
      </c>
      <c r="AH2425" s="177">
        <f t="shared" si="112"/>
        <v>0</v>
      </c>
    </row>
    <row r="2426" spans="23:34">
      <c r="W2426" s="177">
        <f t="shared" si="113"/>
        <v>0</v>
      </c>
      <c r="AB2426" s="178">
        <f t="shared" si="111"/>
        <v>0</v>
      </c>
      <c r="AH2426" s="177">
        <f t="shared" si="112"/>
        <v>0</v>
      </c>
    </row>
    <row r="2427" spans="23:34">
      <c r="W2427" s="177">
        <f t="shared" si="113"/>
        <v>0</v>
      </c>
      <c r="AB2427" s="178">
        <f t="shared" ref="AB2427:AB2490" si="114">SUM(Z2427:AA2427)</f>
        <v>0</v>
      </c>
      <c r="AH2427" s="177">
        <f t="shared" si="112"/>
        <v>0</v>
      </c>
    </row>
    <row r="2428" spans="23:34">
      <c r="W2428" s="177">
        <f t="shared" si="113"/>
        <v>0</v>
      </c>
      <c r="AB2428" s="178">
        <f t="shared" si="114"/>
        <v>0</v>
      </c>
      <c r="AH2428" s="177">
        <f t="shared" si="112"/>
        <v>0</v>
      </c>
    </row>
    <row r="2429" spans="23:34">
      <c r="W2429" s="177">
        <f t="shared" si="113"/>
        <v>0</v>
      </c>
      <c r="AB2429" s="178">
        <f t="shared" si="114"/>
        <v>0</v>
      </c>
      <c r="AH2429" s="177">
        <f t="shared" si="112"/>
        <v>0</v>
      </c>
    </row>
    <row r="2430" spans="23:34">
      <c r="W2430" s="177">
        <f t="shared" si="113"/>
        <v>0</v>
      </c>
      <c r="AB2430" s="178">
        <f t="shared" si="114"/>
        <v>0</v>
      </c>
      <c r="AH2430" s="177">
        <f t="shared" si="112"/>
        <v>0</v>
      </c>
    </row>
    <row r="2431" spans="23:34">
      <c r="W2431" s="177">
        <f t="shared" si="113"/>
        <v>0</v>
      </c>
      <c r="AB2431" s="178">
        <f t="shared" si="114"/>
        <v>0</v>
      </c>
      <c r="AH2431" s="177">
        <f t="shared" si="112"/>
        <v>0</v>
      </c>
    </row>
    <row r="2432" spans="23:34">
      <c r="W2432" s="177">
        <f t="shared" si="113"/>
        <v>0</v>
      </c>
      <c r="AB2432" s="178">
        <f t="shared" si="114"/>
        <v>0</v>
      </c>
      <c r="AH2432" s="177">
        <f t="shared" si="112"/>
        <v>0</v>
      </c>
    </row>
    <row r="2433" spans="23:34">
      <c r="W2433" s="177">
        <f t="shared" si="113"/>
        <v>0</v>
      </c>
      <c r="AB2433" s="178">
        <f t="shared" si="114"/>
        <v>0</v>
      </c>
      <c r="AH2433" s="177">
        <f t="shared" si="112"/>
        <v>0</v>
      </c>
    </row>
    <row r="2434" spans="23:34">
      <c r="W2434" s="177">
        <f t="shared" si="113"/>
        <v>0</v>
      </c>
      <c r="AB2434" s="178">
        <f t="shared" si="114"/>
        <v>0</v>
      </c>
      <c r="AH2434" s="177">
        <f t="shared" si="112"/>
        <v>0</v>
      </c>
    </row>
    <row r="2435" spans="23:34">
      <c r="W2435" s="177">
        <f t="shared" si="113"/>
        <v>0</v>
      </c>
      <c r="AB2435" s="178">
        <f t="shared" si="114"/>
        <v>0</v>
      </c>
      <c r="AH2435" s="177">
        <f t="shared" si="112"/>
        <v>0</v>
      </c>
    </row>
    <row r="2436" spans="23:34">
      <c r="W2436" s="177">
        <f t="shared" si="113"/>
        <v>0</v>
      </c>
      <c r="AB2436" s="178">
        <f t="shared" si="114"/>
        <v>0</v>
      </c>
      <c r="AH2436" s="177">
        <f t="shared" si="112"/>
        <v>0</v>
      </c>
    </row>
    <row r="2437" spans="23:34">
      <c r="W2437" s="177">
        <f t="shared" si="113"/>
        <v>0</v>
      </c>
      <c r="AB2437" s="178">
        <f t="shared" si="114"/>
        <v>0</v>
      </c>
      <c r="AH2437" s="177">
        <f t="shared" si="112"/>
        <v>0</v>
      </c>
    </row>
    <row r="2438" spans="23:34">
      <c r="W2438" s="177">
        <f t="shared" si="113"/>
        <v>0</v>
      </c>
      <c r="AB2438" s="178">
        <f t="shared" si="114"/>
        <v>0</v>
      </c>
      <c r="AH2438" s="177">
        <f t="shared" si="112"/>
        <v>0</v>
      </c>
    </row>
    <row r="2439" spans="23:34">
      <c r="W2439" s="177">
        <f t="shared" si="113"/>
        <v>0</v>
      </c>
      <c r="AB2439" s="178">
        <f t="shared" si="114"/>
        <v>0</v>
      </c>
      <c r="AH2439" s="177">
        <f t="shared" si="112"/>
        <v>0</v>
      </c>
    </row>
    <row r="2440" spans="23:34">
      <c r="W2440" s="177">
        <f t="shared" si="113"/>
        <v>0</v>
      </c>
      <c r="AB2440" s="178">
        <f t="shared" si="114"/>
        <v>0</v>
      </c>
      <c r="AH2440" s="177">
        <f t="shared" si="112"/>
        <v>0</v>
      </c>
    </row>
    <row r="2441" spans="23:34">
      <c r="W2441" s="177">
        <f t="shared" si="113"/>
        <v>0</v>
      </c>
      <c r="AB2441" s="178">
        <f t="shared" si="114"/>
        <v>0</v>
      </c>
      <c r="AH2441" s="177">
        <f t="shared" si="112"/>
        <v>0</v>
      </c>
    </row>
    <row r="2442" spans="23:34">
      <c r="W2442" s="177">
        <f t="shared" si="113"/>
        <v>0</v>
      </c>
      <c r="AB2442" s="178">
        <f t="shared" si="114"/>
        <v>0</v>
      </c>
      <c r="AH2442" s="177">
        <f t="shared" si="112"/>
        <v>0</v>
      </c>
    </row>
    <row r="2443" spans="23:34">
      <c r="W2443" s="177">
        <f t="shared" si="113"/>
        <v>0</v>
      </c>
      <c r="AB2443" s="178">
        <f t="shared" si="114"/>
        <v>0</v>
      </c>
      <c r="AH2443" s="177">
        <f t="shared" si="112"/>
        <v>0</v>
      </c>
    </row>
    <row r="2444" spans="23:34">
      <c r="W2444" s="177">
        <f t="shared" si="113"/>
        <v>0</v>
      </c>
      <c r="AB2444" s="178">
        <f t="shared" si="114"/>
        <v>0</v>
      </c>
      <c r="AH2444" s="177">
        <f t="shared" si="112"/>
        <v>0</v>
      </c>
    </row>
    <row r="2445" spans="23:34">
      <c r="W2445" s="177">
        <f t="shared" si="113"/>
        <v>0</v>
      </c>
      <c r="AB2445" s="178">
        <f t="shared" si="114"/>
        <v>0</v>
      </c>
      <c r="AH2445" s="177">
        <f t="shared" si="112"/>
        <v>0</v>
      </c>
    </row>
    <row r="2446" spans="23:34">
      <c r="W2446" s="177">
        <f t="shared" si="113"/>
        <v>0</v>
      </c>
      <c r="AB2446" s="178">
        <f t="shared" si="114"/>
        <v>0</v>
      </c>
      <c r="AH2446" s="177">
        <f t="shared" si="112"/>
        <v>0</v>
      </c>
    </row>
    <row r="2447" spans="23:34">
      <c r="W2447" s="177">
        <f t="shared" si="113"/>
        <v>0</v>
      </c>
      <c r="AB2447" s="178">
        <f t="shared" si="114"/>
        <v>0</v>
      </c>
      <c r="AH2447" s="177">
        <f t="shared" si="112"/>
        <v>0</v>
      </c>
    </row>
    <row r="2448" spans="23:34">
      <c r="W2448" s="177">
        <f t="shared" si="113"/>
        <v>0</v>
      </c>
      <c r="AB2448" s="178">
        <f t="shared" si="114"/>
        <v>0</v>
      </c>
      <c r="AH2448" s="177">
        <f t="shared" si="112"/>
        <v>0</v>
      </c>
    </row>
    <row r="2449" spans="23:34">
      <c r="W2449" s="177">
        <f t="shared" si="113"/>
        <v>0</v>
      </c>
      <c r="AB2449" s="178">
        <f t="shared" si="114"/>
        <v>0</v>
      </c>
      <c r="AH2449" s="177">
        <f t="shared" si="112"/>
        <v>0</v>
      </c>
    </row>
    <row r="2450" spans="23:34">
      <c r="W2450" s="177">
        <f t="shared" si="113"/>
        <v>0</v>
      </c>
      <c r="AB2450" s="178">
        <f t="shared" si="114"/>
        <v>0</v>
      </c>
      <c r="AH2450" s="177">
        <f t="shared" si="112"/>
        <v>0</v>
      </c>
    </row>
    <row r="2451" spans="23:34">
      <c r="W2451" s="177">
        <f t="shared" si="113"/>
        <v>0</v>
      </c>
      <c r="AB2451" s="178">
        <f t="shared" si="114"/>
        <v>0</v>
      </c>
      <c r="AH2451" s="177">
        <f t="shared" si="112"/>
        <v>0</v>
      </c>
    </row>
    <row r="2452" spans="23:34">
      <c r="W2452" s="177">
        <f t="shared" si="113"/>
        <v>0</v>
      </c>
      <c r="AB2452" s="178">
        <f t="shared" si="114"/>
        <v>0</v>
      </c>
      <c r="AH2452" s="177">
        <f t="shared" si="112"/>
        <v>0</v>
      </c>
    </row>
    <row r="2453" spans="23:34">
      <c r="W2453" s="177">
        <f t="shared" si="113"/>
        <v>0</v>
      </c>
      <c r="AB2453" s="178">
        <f t="shared" si="114"/>
        <v>0</v>
      </c>
      <c r="AH2453" s="177">
        <f t="shared" si="112"/>
        <v>0</v>
      </c>
    </row>
    <row r="2454" spans="23:34">
      <c r="W2454" s="177">
        <f t="shared" si="113"/>
        <v>0</v>
      </c>
      <c r="AB2454" s="178">
        <f t="shared" si="114"/>
        <v>0</v>
      </c>
      <c r="AH2454" s="177">
        <f t="shared" si="112"/>
        <v>0</v>
      </c>
    </row>
    <row r="2455" spans="23:34">
      <c r="W2455" s="177">
        <f t="shared" si="113"/>
        <v>0</v>
      </c>
      <c r="AB2455" s="178">
        <f t="shared" si="114"/>
        <v>0</v>
      </c>
      <c r="AH2455" s="177">
        <f t="shared" si="112"/>
        <v>0</v>
      </c>
    </row>
    <row r="2456" spans="23:34">
      <c r="W2456" s="177">
        <f t="shared" si="113"/>
        <v>0</v>
      </c>
      <c r="AB2456" s="178">
        <f t="shared" si="114"/>
        <v>0</v>
      </c>
      <c r="AH2456" s="177">
        <f t="shared" si="112"/>
        <v>0</v>
      </c>
    </row>
    <row r="2457" spans="23:34">
      <c r="W2457" s="177">
        <f t="shared" si="113"/>
        <v>0</v>
      </c>
      <c r="AB2457" s="178">
        <f t="shared" si="114"/>
        <v>0</v>
      </c>
      <c r="AH2457" s="177">
        <f t="shared" si="112"/>
        <v>0</v>
      </c>
    </row>
    <row r="2458" spans="23:34">
      <c r="W2458" s="177">
        <f t="shared" si="113"/>
        <v>0</v>
      </c>
      <c r="AB2458" s="178">
        <f t="shared" si="114"/>
        <v>0</v>
      </c>
      <c r="AH2458" s="177">
        <f t="shared" si="112"/>
        <v>0</v>
      </c>
    </row>
    <row r="2459" spans="23:34">
      <c r="W2459" s="177">
        <f t="shared" si="113"/>
        <v>0</v>
      </c>
      <c r="AB2459" s="178">
        <f t="shared" si="114"/>
        <v>0</v>
      </c>
      <c r="AH2459" s="177">
        <f t="shared" si="112"/>
        <v>0</v>
      </c>
    </row>
    <row r="2460" spans="23:34">
      <c r="W2460" s="177">
        <f t="shared" si="113"/>
        <v>0</v>
      </c>
      <c r="AB2460" s="178">
        <f t="shared" si="114"/>
        <v>0</v>
      </c>
      <c r="AH2460" s="177">
        <f t="shared" si="112"/>
        <v>0</v>
      </c>
    </row>
    <row r="2461" spans="23:34">
      <c r="W2461" s="177">
        <f t="shared" si="113"/>
        <v>0</v>
      </c>
      <c r="AB2461" s="178">
        <f t="shared" si="114"/>
        <v>0</v>
      </c>
      <c r="AH2461" s="177">
        <f t="shared" si="112"/>
        <v>0</v>
      </c>
    </row>
    <row r="2462" spans="23:34">
      <c r="W2462" s="177">
        <f t="shared" si="113"/>
        <v>0</v>
      </c>
      <c r="AB2462" s="178">
        <f t="shared" si="114"/>
        <v>0</v>
      </c>
      <c r="AH2462" s="177">
        <f t="shared" si="112"/>
        <v>0</v>
      </c>
    </row>
    <row r="2463" spans="23:34">
      <c r="W2463" s="177">
        <f t="shared" si="113"/>
        <v>0</v>
      </c>
      <c r="AB2463" s="178">
        <f t="shared" si="114"/>
        <v>0</v>
      </c>
      <c r="AH2463" s="177">
        <f t="shared" si="112"/>
        <v>0</v>
      </c>
    </row>
    <row r="2464" spans="23:34">
      <c r="W2464" s="177">
        <f t="shared" si="113"/>
        <v>0</v>
      </c>
      <c r="AB2464" s="178">
        <f t="shared" si="114"/>
        <v>0</v>
      </c>
      <c r="AH2464" s="177">
        <f t="shared" si="112"/>
        <v>0</v>
      </c>
    </row>
    <row r="2465" spans="23:34">
      <c r="W2465" s="177">
        <f t="shared" si="113"/>
        <v>0</v>
      </c>
      <c r="AB2465" s="178">
        <f t="shared" si="114"/>
        <v>0</v>
      </c>
      <c r="AH2465" s="177">
        <f t="shared" si="112"/>
        <v>0</v>
      </c>
    </row>
    <row r="2466" spans="23:34">
      <c r="W2466" s="177">
        <f t="shared" si="113"/>
        <v>0</v>
      </c>
      <c r="AB2466" s="178">
        <f t="shared" si="114"/>
        <v>0</v>
      </c>
      <c r="AH2466" s="177">
        <f t="shared" si="112"/>
        <v>0</v>
      </c>
    </row>
    <row r="2467" spans="23:34">
      <c r="W2467" s="177">
        <f t="shared" si="113"/>
        <v>0</v>
      </c>
      <c r="AB2467" s="178">
        <f t="shared" si="114"/>
        <v>0</v>
      </c>
      <c r="AH2467" s="177">
        <f t="shared" si="112"/>
        <v>0</v>
      </c>
    </row>
    <row r="2468" spans="23:34">
      <c r="W2468" s="177">
        <f t="shared" si="113"/>
        <v>0</v>
      </c>
      <c r="AB2468" s="178">
        <f t="shared" si="114"/>
        <v>0</v>
      </c>
      <c r="AH2468" s="177">
        <f t="shared" si="112"/>
        <v>0</v>
      </c>
    </row>
    <row r="2469" spans="23:34">
      <c r="W2469" s="177">
        <f t="shared" si="113"/>
        <v>0</v>
      </c>
      <c r="AB2469" s="178">
        <f t="shared" si="114"/>
        <v>0</v>
      </c>
      <c r="AH2469" s="177">
        <f t="shared" si="112"/>
        <v>0</v>
      </c>
    </row>
    <row r="2470" spans="23:34">
      <c r="W2470" s="177">
        <f t="shared" si="113"/>
        <v>0</v>
      </c>
      <c r="AB2470" s="178">
        <f t="shared" si="114"/>
        <v>0</v>
      </c>
      <c r="AH2470" s="177">
        <f t="shared" si="112"/>
        <v>0</v>
      </c>
    </row>
    <row r="2471" spans="23:34">
      <c r="W2471" s="177">
        <f t="shared" si="113"/>
        <v>0</v>
      </c>
      <c r="AB2471" s="178">
        <f t="shared" si="114"/>
        <v>0</v>
      </c>
      <c r="AH2471" s="177">
        <f t="shared" si="112"/>
        <v>0</v>
      </c>
    </row>
    <row r="2472" spans="23:34">
      <c r="W2472" s="177">
        <f t="shared" si="113"/>
        <v>0</v>
      </c>
      <c r="AB2472" s="178">
        <f t="shared" si="114"/>
        <v>0</v>
      </c>
      <c r="AH2472" s="177">
        <f t="shared" si="112"/>
        <v>0</v>
      </c>
    </row>
    <row r="2473" spans="23:34">
      <c r="W2473" s="177">
        <f t="shared" si="113"/>
        <v>0</v>
      </c>
      <c r="AB2473" s="178">
        <f t="shared" si="114"/>
        <v>0</v>
      </c>
      <c r="AH2473" s="177">
        <f t="shared" si="112"/>
        <v>0</v>
      </c>
    </row>
    <row r="2474" spans="23:34">
      <c r="W2474" s="177">
        <f t="shared" si="113"/>
        <v>0</v>
      </c>
      <c r="AB2474" s="178">
        <f t="shared" si="114"/>
        <v>0</v>
      </c>
      <c r="AH2474" s="177">
        <f t="shared" si="112"/>
        <v>0</v>
      </c>
    </row>
    <row r="2475" spans="23:34">
      <c r="W2475" s="177">
        <f t="shared" si="113"/>
        <v>0</v>
      </c>
      <c r="AB2475" s="178">
        <f t="shared" si="114"/>
        <v>0</v>
      </c>
      <c r="AH2475" s="177">
        <f t="shared" si="112"/>
        <v>0</v>
      </c>
    </row>
    <row r="2476" spans="23:34">
      <c r="W2476" s="177">
        <f t="shared" si="113"/>
        <v>0</v>
      </c>
      <c r="AB2476" s="178">
        <f t="shared" si="114"/>
        <v>0</v>
      </c>
      <c r="AH2476" s="177">
        <f t="shared" si="112"/>
        <v>0</v>
      </c>
    </row>
    <row r="2477" spans="23:34">
      <c r="W2477" s="177">
        <f t="shared" si="113"/>
        <v>0</v>
      </c>
      <c r="AB2477" s="178">
        <f t="shared" si="114"/>
        <v>0</v>
      </c>
      <c r="AH2477" s="177">
        <f t="shared" si="112"/>
        <v>0</v>
      </c>
    </row>
    <row r="2478" spans="23:34">
      <c r="W2478" s="177">
        <f t="shared" si="113"/>
        <v>0</v>
      </c>
      <c r="AB2478" s="178">
        <f t="shared" si="114"/>
        <v>0</v>
      </c>
      <c r="AH2478" s="177">
        <f t="shared" si="112"/>
        <v>0</v>
      </c>
    </row>
    <row r="2479" spans="23:34">
      <c r="W2479" s="177">
        <f t="shared" si="113"/>
        <v>0</v>
      </c>
      <c r="AB2479" s="178">
        <f t="shared" si="114"/>
        <v>0</v>
      </c>
      <c r="AH2479" s="177">
        <f t="shared" si="112"/>
        <v>0</v>
      </c>
    </row>
    <row r="2480" spans="23:34">
      <c r="W2480" s="177">
        <f t="shared" si="113"/>
        <v>0</v>
      </c>
      <c r="AB2480" s="178">
        <f t="shared" si="114"/>
        <v>0</v>
      </c>
      <c r="AH2480" s="177">
        <f t="shared" ref="AH2480:AH2543" si="115">SUM(AF2480:AG2480)</f>
        <v>0</v>
      </c>
    </row>
    <row r="2481" spans="23:34">
      <c r="W2481" s="177">
        <f t="shared" si="113"/>
        <v>0</v>
      </c>
      <c r="AB2481" s="178">
        <f t="shared" si="114"/>
        <v>0</v>
      </c>
      <c r="AH2481" s="177">
        <f t="shared" si="115"/>
        <v>0</v>
      </c>
    </row>
    <row r="2482" spans="23:34">
      <c r="W2482" s="177">
        <f t="shared" si="113"/>
        <v>0</v>
      </c>
      <c r="AB2482" s="178">
        <f t="shared" si="114"/>
        <v>0</v>
      </c>
      <c r="AH2482" s="177">
        <f t="shared" si="115"/>
        <v>0</v>
      </c>
    </row>
    <row r="2483" spans="23:34">
      <c r="W2483" s="177">
        <f t="shared" ref="W2483:W2546" si="116">SUM(Q2483:T2483)</f>
        <v>0</v>
      </c>
      <c r="AB2483" s="178">
        <f t="shared" si="114"/>
        <v>0</v>
      </c>
      <c r="AH2483" s="177">
        <f t="shared" si="115"/>
        <v>0</v>
      </c>
    </row>
    <row r="2484" spans="23:34">
      <c r="W2484" s="177">
        <f t="shared" si="116"/>
        <v>0</v>
      </c>
      <c r="AB2484" s="178">
        <f t="shared" si="114"/>
        <v>0</v>
      </c>
      <c r="AH2484" s="177">
        <f t="shared" si="115"/>
        <v>0</v>
      </c>
    </row>
    <row r="2485" spans="23:34">
      <c r="W2485" s="177">
        <f t="shared" si="116"/>
        <v>0</v>
      </c>
      <c r="AB2485" s="178">
        <f t="shared" si="114"/>
        <v>0</v>
      </c>
      <c r="AH2485" s="177">
        <f t="shared" si="115"/>
        <v>0</v>
      </c>
    </row>
    <row r="2486" spans="23:34">
      <c r="W2486" s="177">
        <f t="shared" si="116"/>
        <v>0</v>
      </c>
      <c r="AB2486" s="178">
        <f t="shared" si="114"/>
        <v>0</v>
      </c>
      <c r="AH2486" s="177">
        <f t="shared" si="115"/>
        <v>0</v>
      </c>
    </row>
    <row r="2487" spans="23:34">
      <c r="W2487" s="177">
        <f t="shared" si="116"/>
        <v>0</v>
      </c>
      <c r="AB2487" s="178">
        <f t="shared" si="114"/>
        <v>0</v>
      </c>
      <c r="AH2487" s="177">
        <f t="shared" si="115"/>
        <v>0</v>
      </c>
    </row>
    <row r="2488" spans="23:34">
      <c r="W2488" s="177">
        <f t="shared" si="116"/>
        <v>0</v>
      </c>
      <c r="AB2488" s="178">
        <f t="shared" si="114"/>
        <v>0</v>
      </c>
      <c r="AH2488" s="177">
        <f t="shared" si="115"/>
        <v>0</v>
      </c>
    </row>
    <row r="2489" spans="23:34">
      <c r="W2489" s="177">
        <f t="shared" si="116"/>
        <v>0</v>
      </c>
      <c r="AB2489" s="178">
        <f t="shared" si="114"/>
        <v>0</v>
      </c>
      <c r="AH2489" s="177">
        <f t="shared" si="115"/>
        <v>0</v>
      </c>
    </row>
    <row r="2490" spans="23:34">
      <c r="W2490" s="177">
        <f t="shared" si="116"/>
        <v>0</v>
      </c>
      <c r="AB2490" s="178">
        <f t="shared" si="114"/>
        <v>0</v>
      </c>
      <c r="AH2490" s="177">
        <f t="shared" si="115"/>
        <v>0</v>
      </c>
    </row>
    <row r="2491" spans="23:34">
      <c r="W2491" s="177">
        <f t="shared" si="116"/>
        <v>0</v>
      </c>
      <c r="AB2491" s="178">
        <f t="shared" ref="AB2491:AB2554" si="117">SUM(Z2491:AA2491)</f>
        <v>0</v>
      </c>
      <c r="AH2491" s="177">
        <f t="shared" si="115"/>
        <v>0</v>
      </c>
    </row>
    <row r="2492" spans="23:34">
      <c r="W2492" s="177">
        <f t="shared" si="116"/>
        <v>0</v>
      </c>
      <c r="AB2492" s="178">
        <f t="shared" si="117"/>
        <v>0</v>
      </c>
      <c r="AH2492" s="177">
        <f t="shared" si="115"/>
        <v>0</v>
      </c>
    </row>
    <row r="2493" spans="23:34">
      <c r="W2493" s="177">
        <f t="shared" si="116"/>
        <v>0</v>
      </c>
      <c r="AB2493" s="178">
        <f t="shared" si="117"/>
        <v>0</v>
      </c>
      <c r="AH2493" s="177">
        <f t="shared" si="115"/>
        <v>0</v>
      </c>
    </row>
    <row r="2494" spans="23:34">
      <c r="W2494" s="177">
        <f t="shared" si="116"/>
        <v>0</v>
      </c>
      <c r="AB2494" s="178">
        <f t="shared" si="117"/>
        <v>0</v>
      </c>
      <c r="AH2494" s="177">
        <f t="shared" si="115"/>
        <v>0</v>
      </c>
    </row>
    <row r="2495" spans="23:34">
      <c r="W2495" s="177">
        <f t="shared" si="116"/>
        <v>0</v>
      </c>
      <c r="AB2495" s="178">
        <f t="shared" si="117"/>
        <v>0</v>
      </c>
      <c r="AH2495" s="177">
        <f t="shared" si="115"/>
        <v>0</v>
      </c>
    </row>
    <row r="2496" spans="23:34">
      <c r="W2496" s="177">
        <f t="shared" si="116"/>
        <v>0</v>
      </c>
      <c r="AB2496" s="178">
        <f t="shared" si="117"/>
        <v>0</v>
      </c>
      <c r="AH2496" s="177">
        <f t="shared" si="115"/>
        <v>0</v>
      </c>
    </row>
    <row r="2497" spans="23:34">
      <c r="W2497" s="177">
        <f t="shared" si="116"/>
        <v>0</v>
      </c>
      <c r="AB2497" s="178">
        <f t="shared" si="117"/>
        <v>0</v>
      </c>
      <c r="AH2497" s="177">
        <f t="shared" si="115"/>
        <v>0</v>
      </c>
    </row>
    <row r="2498" spans="23:34">
      <c r="W2498" s="177">
        <f t="shared" si="116"/>
        <v>0</v>
      </c>
      <c r="AB2498" s="178">
        <f t="shared" si="117"/>
        <v>0</v>
      </c>
      <c r="AH2498" s="177">
        <f t="shared" si="115"/>
        <v>0</v>
      </c>
    </row>
    <row r="2499" spans="23:34">
      <c r="W2499" s="177">
        <f t="shared" si="116"/>
        <v>0</v>
      </c>
      <c r="AB2499" s="178">
        <f t="shared" si="117"/>
        <v>0</v>
      </c>
      <c r="AH2499" s="177">
        <f t="shared" si="115"/>
        <v>0</v>
      </c>
    </row>
    <row r="2500" spans="23:34">
      <c r="W2500" s="177">
        <f t="shared" si="116"/>
        <v>0</v>
      </c>
      <c r="AB2500" s="178">
        <f t="shared" si="117"/>
        <v>0</v>
      </c>
      <c r="AH2500" s="177">
        <f t="shared" si="115"/>
        <v>0</v>
      </c>
    </row>
    <row r="2501" spans="23:34">
      <c r="W2501" s="177">
        <f t="shared" si="116"/>
        <v>0</v>
      </c>
      <c r="AB2501" s="178">
        <f t="shared" si="117"/>
        <v>0</v>
      </c>
      <c r="AH2501" s="177">
        <f t="shared" si="115"/>
        <v>0</v>
      </c>
    </row>
    <row r="2502" spans="23:34">
      <c r="W2502" s="177">
        <f t="shared" si="116"/>
        <v>0</v>
      </c>
      <c r="AB2502" s="178">
        <f t="shared" si="117"/>
        <v>0</v>
      </c>
      <c r="AH2502" s="177">
        <f t="shared" si="115"/>
        <v>0</v>
      </c>
    </row>
    <row r="2503" spans="23:34">
      <c r="W2503" s="177">
        <f t="shared" si="116"/>
        <v>0</v>
      </c>
      <c r="AB2503" s="178">
        <f t="shared" si="117"/>
        <v>0</v>
      </c>
      <c r="AH2503" s="177">
        <f t="shared" si="115"/>
        <v>0</v>
      </c>
    </row>
    <row r="2504" spans="23:34">
      <c r="W2504" s="177">
        <f t="shared" si="116"/>
        <v>0</v>
      </c>
      <c r="AB2504" s="178">
        <f t="shared" si="117"/>
        <v>0</v>
      </c>
      <c r="AH2504" s="177">
        <f t="shared" si="115"/>
        <v>0</v>
      </c>
    </row>
    <row r="2505" spans="23:34">
      <c r="W2505" s="177">
        <f t="shared" si="116"/>
        <v>0</v>
      </c>
      <c r="AB2505" s="178">
        <f t="shared" si="117"/>
        <v>0</v>
      </c>
      <c r="AH2505" s="177">
        <f t="shared" si="115"/>
        <v>0</v>
      </c>
    </row>
    <row r="2506" spans="23:34">
      <c r="W2506" s="177">
        <f t="shared" si="116"/>
        <v>0</v>
      </c>
      <c r="AB2506" s="178">
        <f t="shared" si="117"/>
        <v>0</v>
      </c>
      <c r="AH2506" s="177">
        <f t="shared" si="115"/>
        <v>0</v>
      </c>
    </row>
    <row r="2507" spans="23:34">
      <c r="W2507" s="177">
        <f t="shared" si="116"/>
        <v>0</v>
      </c>
      <c r="AB2507" s="178">
        <f t="shared" si="117"/>
        <v>0</v>
      </c>
      <c r="AH2507" s="177">
        <f t="shared" si="115"/>
        <v>0</v>
      </c>
    </row>
    <row r="2508" spans="23:34">
      <c r="W2508" s="177">
        <f t="shared" si="116"/>
        <v>0</v>
      </c>
      <c r="AB2508" s="178">
        <f t="shared" si="117"/>
        <v>0</v>
      </c>
      <c r="AH2508" s="177">
        <f t="shared" si="115"/>
        <v>0</v>
      </c>
    </row>
    <row r="2509" spans="23:34">
      <c r="W2509" s="177">
        <f t="shared" si="116"/>
        <v>0</v>
      </c>
      <c r="AB2509" s="178">
        <f t="shared" si="117"/>
        <v>0</v>
      </c>
      <c r="AH2509" s="177">
        <f t="shared" si="115"/>
        <v>0</v>
      </c>
    </row>
    <row r="2510" spans="23:34">
      <c r="W2510" s="177">
        <f t="shared" si="116"/>
        <v>0</v>
      </c>
      <c r="AB2510" s="178">
        <f t="shared" si="117"/>
        <v>0</v>
      </c>
      <c r="AH2510" s="177">
        <f t="shared" si="115"/>
        <v>0</v>
      </c>
    </row>
    <row r="2511" spans="23:34">
      <c r="W2511" s="177">
        <f t="shared" si="116"/>
        <v>0</v>
      </c>
      <c r="AB2511" s="178">
        <f t="shared" si="117"/>
        <v>0</v>
      </c>
      <c r="AH2511" s="177">
        <f t="shared" si="115"/>
        <v>0</v>
      </c>
    </row>
    <row r="2512" spans="23:34">
      <c r="W2512" s="177">
        <f t="shared" si="116"/>
        <v>0</v>
      </c>
      <c r="AB2512" s="178">
        <f t="shared" si="117"/>
        <v>0</v>
      </c>
      <c r="AH2512" s="177">
        <f t="shared" si="115"/>
        <v>0</v>
      </c>
    </row>
    <row r="2513" spans="23:34">
      <c r="W2513" s="177">
        <f t="shared" si="116"/>
        <v>0</v>
      </c>
      <c r="AB2513" s="178">
        <f t="shared" si="117"/>
        <v>0</v>
      </c>
      <c r="AH2513" s="177">
        <f t="shared" si="115"/>
        <v>0</v>
      </c>
    </row>
    <row r="2514" spans="23:34">
      <c r="W2514" s="177">
        <f t="shared" si="116"/>
        <v>0</v>
      </c>
      <c r="AB2514" s="178">
        <f t="shared" si="117"/>
        <v>0</v>
      </c>
      <c r="AH2514" s="177">
        <f t="shared" si="115"/>
        <v>0</v>
      </c>
    </row>
    <row r="2515" spans="23:34">
      <c r="W2515" s="177">
        <f t="shared" si="116"/>
        <v>0</v>
      </c>
      <c r="AB2515" s="178">
        <f t="shared" si="117"/>
        <v>0</v>
      </c>
      <c r="AH2515" s="177">
        <f t="shared" si="115"/>
        <v>0</v>
      </c>
    </row>
    <row r="2516" spans="23:34">
      <c r="W2516" s="177">
        <f t="shared" si="116"/>
        <v>0</v>
      </c>
      <c r="AB2516" s="178">
        <f t="shared" si="117"/>
        <v>0</v>
      </c>
      <c r="AH2516" s="177">
        <f t="shared" si="115"/>
        <v>0</v>
      </c>
    </row>
    <row r="2517" spans="23:34">
      <c r="W2517" s="177">
        <f t="shared" si="116"/>
        <v>0</v>
      </c>
      <c r="AB2517" s="178">
        <f t="shared" si="117"/>
        <v>0</v>
      </c>
      <c r="AH2517" s="177">
        <f t="shared" si="115"/>
        <v>0</v>
      </c>
    </row>
    <row r="2518" spans="23:34">
      <c r="W2518" s="177">
        <f t="shared" si="116"/>
        <v>0</v>
      </c>
      <c r="AB2518" s="178">
        <f t="shared" si="117"/>
        <v>0</v>
      </c>
      <c r="AH2518" s="177">
        <f t="shared" si="115"/>
        <v>0</v>
      </c>
    </row>
    <row r="2519" spans="23:34">
      <c r="W2519" s="177">
        <f t="shared" si="116"/>
        <v>0</v>
      </c>
      <c r="AB2519" s="178">
        <f t="shared" si="117"/>
        <v>0</v>
      </c>
      <c r="AH2519" s="177">
        <f t="shared" si="115"/>
        <v>0</v>
      </c>
    </row>
    <row r="2520" spans="23:34">
      <c r="W2520" s="177">
        <f t="shared" si="116"/>
        <v>0</v>
      </c>
      <c r="AB2520" s="178">
        <f t="shared" si="117"/>
        <v>0</v>
      </c>
      <c r="AH2520" s="177">
        <f t="shared" si="115"/>
        <v>0</v>
      </c>
    </row>
    <row r="2521" spans="23:34">
      <c r="W2521" s="177">
        <f t="shared" si="116"/>
        <v>0</v>
      </c>
      <c r="AB2521" s="178">
        <f t="shared" si="117"/>
        <v>0</v>
      </c>
      <c r="AH2521" s="177">
        <f t="shared" si="115"/>
        <v>0</v>
      </c>
    </row>
    <row r="2522" spans="23:34">
      <c r="W2522" s="177">
        <f t="shared" si="116"/>
        <v>0</v>
      </c>
      <c r="AB2522" s="178">
        <f t="shared" si="117"/>
        <v>0</v>
      </c>
      <c r="AH2522" s="177">
        <f t="shared" si="115"/>
        <v>0</v>
      </c>
    </row>
    <row r="2523" spans="23:34">
      <c r="W2523" s="177">
        <f t="shared" si="116"/>
        <v>0</v>
      </c>
      <c r="AB2523" s="178">
        <f t="shared" si="117"/>
        <v>0</v>
      </c>
      <c r="AH2523" s="177">
        <f t="shared" si="115"/>
        <v>0</v>
      </c>
    </row>
    <row r="2524" spans="23:34">
      <c r="W2524" s="177">
        <f t="shared" si="116"/>
        <v>0</v>
      </c>
      <c r="AB2524" s="178">
        <f t="shared" si="117"/>
        <v>0</v>
      </c>
      <c r="AH2524" s="177">
        <f t="shared" si="115"/>
        <v>0</v>
      </c>
    </row>
    <row r="2525" spans="23:34">
      <c r="W2525" s="177">
        <f t="shared" si="116"/>
        <v>0</v>
      </c>
      <c r="AB2525" s="178">
        <f t="shared" si="117"/>
        <v>0</v>
      </c>
      <c r="AH2525" s="177">
        <f t="shared" si="115"/>
        <v>0</v>
      </c>
    </row>
    <row r="2526" spans="23:34">
      <c r="W2526" s="177">
        <f t="shared" si="116"/>
        <v>0</v>
      </c>
      <c r="AB2526" s="178">
        <f t="shared" si="117"/>
        <v>0</v>
      </c>
      <c r="AH2526" s="177">
        <f t="shared" si="115"/>
        <v>0</v>
      </c>
    </row>
    <row r="2527" spans="23:34">
      <c r="W2527" s="177">
        <f t="shared" si="116"/>
        <v>0</v>
      </c>
      <c r="AB2527" s="178">
        <f t="shared" si="117"/>
        <v>0</v>
      </c>
      <c r="AH2527" s="177">
        <f t="shared" si="115"/>
        <v>0</v>
      </c>
    </row>
    <row r="2528" spans="23:34">
      <c r="W2528" s="177">
        <f t="shared" si="116"/>
        <v>0</v>
      </c>
      <c r="AB2528" s="178">
        <f t="shared" si="117"/>
        <v>0</v>
      </c>
      <c r="AH2528" s="177">
        <f t="shared" si="115"/>
        <v>0</v>
      </c>
    </row>
    <row r="2529" spans="23:34">
      <c r="W2529" s="177">
        <f t="shared" si="116"/>
        <v>0</v>
      </c>
      <c r="AB2529" s="178">
        <f t="shared" si="117"/>
        <v>0</v>
      </c>
      <c r="AH2529" s="177">
        <f t="shared" si="115"/>
        <v>0</v>
      </c>
    </row>
    <row r="2530" spans="23:34">
      <c r="W2530" s="177">
        <f t="shared" si="116"/>
        <v>0</v>
      </c>
      <c r="AB2530" s="178">
        <f t="shared" si="117"/>
        <v>0</v>
      </c>
      <c r="AH2530" s="177">
        <f t="shared" si="115"/>
        <v>0</v>
      </c>
    </row>
    <row r="2531" spans="23:34">
      <c r="W2531" s="177">
        <f t="shared" si="116"/>
        <v>0</v>
      </c>
      <c r="AB2531" s="178">
        <f t="shared" si="117"/>
        <v>0</v>
      </c>
      <c r="AH2531" s="177">
        <f t="shared" si="115"/>
        <v>0</v>
      </c>
    </row>
    <row r="2532" spans="23:34">
      <c r="W2532" s="177">
        <f t="shared" si="116"/>
        <v>0</v>
      </c>
      <c r="AB2532" s="178">
        <f t="shared" si="117"/>
        <v>0</v>
      </c>
      <c r="AH2532" s="177">
        <f t="shared" si="115"/>
        <v>0</v>
      </c>
    </row>
    <row r="2533" spans="23:34">
      <c r="W2533" s="177">
        <f t="shared" si="116"/>
        <v>0</v>
      </c>
      <c r="AB2533" s="178">
        <f t="shared" si="117"/>
        <v>0</v>
      </c>
      <c r="AH2533" s="177">
        <f t="shared" si="115"/>
        <v>0</v>
      </c>
    </row>
    <row r="2534" spans="23:34">
      <c r="W2534" s="177">
        <f t="shared" si="116"/>
        <v>0</v>
      </c>
      <c r="AB2534" s="178">
        <f t="shared" si="117"/>
        <v>0</v>
      </c>
      <c r="AH2534" s="177">
        <f t="shared" si="115"/>
        <v>0</v>
      </c>
    </row>
    <row r="2535" spans="23:34">
      <c r="W2535" s="177">
        <f t="shared" si="116"/>
        <v>0</v>
      </c>
      <c r="AB2535" s="178">
        <f t="shared" si="117"/>
        <v>0</v>
      </c>
      <c r="AH2535" s="177">
        <f t="shared" si="115"/>
        <v>0</v>
      </c>
    </row>
    <row r="2536" spans="23:34">
      <c r="W2536" s="177">
        <f t="shared" si="116"/>
        <v>0</v>
      </c>
      <c r="AB2536" s="178">
        <f t="shared" si="117"/>
        <v>0</v>
      </c>
      <c r="AH2536" s="177">
        <f t="shared" si="115"/>
        <v>0</v>
      </c>
    </row>
    <row r="2537" spans="23:34">
      <c r="W2537" s="177">
        <f t="shared" si="116"/>
        <v>0</v>
      </c>
      <c r="AB2537" s="178">
        <f t="shared" si="117"/>
        <v>0</v>
      </c>
      <c r="AH2537" s="177">
        <f t="shared" si="115"/>
        <v>0</v>
      </c>
    </row>
    <row r="2538" spans="23:34">
      <c r="W2538" s="177">
        <f t="shared" si="116"/>
        <v>0</v>
      </c>
      <c r="AB2538" s="178">
        <f t="shared" si="117"/>
        <v>0</v>
      </c>
      <c r="AH2538" s="177">
        <f t="shared" si="115"/>
        <v>0</v>
      </c>
    </row>
    <row r="2539" spans="23:34">
      <c r="W2539" s="177">
        <f t="shared" si="116"/>
        <v>0</v>
      </c>
      <c r="AB2539" s="178">
        <f t="shared" si="117"/>
        <v>0</v>
      </c>
      <c r="AH2539" s="177">
        <f t="shared" si="115"/>
        <v>0</v>
      </c>
    </row>
    <row r="2540" spans="23:34">
      <c r="W2540" s="177">
        <f t="shared" si="116"/>
        <v>0</v>
      </c>
      <c r="AB2540" s="178">
        <f t="shared" si="117"/>
        <v>0</v>
      </c>
      <c r="AH2540" s="177">
        <f t="shared" si="115"/>
        <v>0</v>
      </c>
    </row>
    <row r="2541" spans="23:34">
      <c r="W2541" s="177">
        <f t="shared" si="116"/>
        <v>0</v>
      </c>
      <c r="AB2541" s="178">
        <f t="shared" si="117"/>
        <v>0</v>
      </c>
      <c r="AH2541" s="177">
        <f t="shared" si="115"/>
        <v>0</v>
      </c>
    </row>
    <row r="2542" spans="23:34">
      <c r="W2542" s="177">
        <f t="shared" si="116"/>
        <v>0</v>
      </c>
      <c r="AB2542" s="178">
        <f t="shared" si="117"/>
        <v>0</v>
      </c>
      <c r="AH2542" s="177">
        <f t="shared" si="115"/>
        <v>0</v>
      </c>
    </row>
    <row r="2543" spans="23:34">
      <c r="W2543" s="177">
        <f t="shared" si="116"/>
        <v>0</v>
      </c>
      <c r="AB2543" s="178">
        <f t="shared" si="117"/>
        <v>0</v>
      </c>
      <c r="AH2543" s="177">
        <f t="shared" si="115"/>
        <v>0</v>
      </c>
    </row>
    <row r="2544" spans="23:34">
      <c r="W2544" s="177">
        <f t="shared" si="116"/>
        <v>0</v>
      </c>
      <c r="AB2544" s="178">
        <f t="shared" si="117"/>
        <v>0</v>
      </c>
      <c r="AH2544" s="177">
        <f t="shared" ref="AH2544:AH2607" si="118">SUM(AF2544:AG2544)</f>
        <v>0</v>
      </c>
    </row>
    <row r="2545" spans="23:34">
      <c r="W2545" s="177">
        <f t="shared" si="116"/>
        <v>0</v>
      </c>
      <c r="AB2545" s="178">
        <f t="shared" si="117"/>
        <v>0</v>
      </c>
      <c r="AH2545" s="177">
        <f t="shared" si="118"/>
        <v>0</v>
      </c>
    </row>
    <row r="2546" spans="23:34">
      <c r="W2546" s="177">
        <f t="shared" si="116"/>
        <v>0</v>
      </c>
      <c r="AB2546" s="178">
        <f t="shared" si="117"/>
        <v>0</v>
      </c>
      <c r="AH2546" s="177">
        <f t="shared" si="118"/>
        <v>0</v>
      </c>
    </row>
    <row r="2547" spans="23:34">
      <c r="W2547" s="177">
        <f t="shared" ref="W2547:W2610" si="119">SUM(Q2547:T2547)</f>
        <v>0</v>
      </c>
      <c r="AB2547" s="178">
        <f t="shared" si="117"/>
        <v>0</v>
      </c>
      <c r="AH2547" s="177">
        <f t="shared" si="118"/>
        <v>0</v>
      </c>
    </row>
    <row r="2548" spans="23:34">
      <c r="W2548" s="177">
        <f t="shared" si="119"/>
        <v>0</v>
      </c>
      <c r="AB2548" s="178">
        <f t="shared" si="117"/>
        <v>0</v>
      </c>
      <c r="AH2548" s="177">
        <f t="shared" si="118"/>
        <v>0</v>
      </c>
    </row>
    <row r="2549" spans="23:34">
      <c r="W2549" s="177">
        <f t="shared" si="119"/>
        <v>0</v>
      </c>
      <c r="AB2549" s="178">
        <f t="shared" si="117"/>
        <v>0</v>
      </c>
      <c r="AH2549" s="177">
        <f t="shared" si="118"/>
        <v>0</v>
      </c>
    </row>
    <row r="2550" spans="23:34">
      <c r="W2550" s="177">
        <f t="shared" si="119"/>
        <v>0</v>
      </c>
      <c r="AB2550" s="178">
        <f t="shared" si="117"/>
        <v>0</v>
      </c>
      <c r="AH2550" s="177">
        <f t="shared" si="118"/>
        <v>0</v>
      </c>
    </row>
    <row r="2551" spans="23:34">
      <c r="W2551" s="177">
        <f t="shared" si="119"/>
        <v>0</v>
      </c>
      <c r="AB2551" s="178">
        <f t="shared" si="117"/>
        <v>0</v>
      </c>
      <c r="AH2551" s="177">
        <f t="shared" si="118"/>
        <v>0</v>
      </c>
    </row>
    <row r="2552" spans="23:34">
      <c r="W2552" s="177">
        <f t="shared" si="119"/>
        <v>0</v>
      </c>
      <c r="AB2552" s="178">
        <f t="shared" si="117"/>
        <v>0</v>
      </c>
      <c r="AH2552" s="177">
        <f t="shared" si="118"/>
        <v>0</v>
      </c>
    </row>
    <row r="2553" spans="23:34">
      <c r="W2553" s="177">
        <f t="shared" si="119"/>
        <v>0</v>
      </c>
      <c r="AB2553" s="178">
        <f t="shared" si="117"/>
        <v>0</v>
      </c>
      <c r="AH2553" s="177">
        <f t="shared" si="118"/>
        <v>0</v>
      </c>
    </row>
    <row r="2554" spans="23:34">
      <c r="W2554" s="177">
        <f t="shared" si="119"/>
        <v>0</v>
      </c>
      <c r="AB2554" s="178">
        <f t="shared" si="117"/>
        <v>0</v>
      </c>
      <c r="AH2554" s="177">
        <f t="shared" si="118"/>
        <v>0</v>
      </c>
    </row>
    <row r="2555" spans="23:34">
      <c r="W2555" s="177">
        <f t="shared" si="119"/>
        <v>0</v>
      </c>
      <c r="AB2555" s="178">
        <f t="shared" ref="AB2555:AB2618" si="120">SUM(Z2555:AA2555)</f>
        <v>0</v>
      </c>
      <c r="AH2555" s="177">
        <f t="shared" si="118"/>
        <v>0</v>
      </c>
    </row>
    <row r="2556" spans="23:34">
      <c r="W2556" s="177">
        <f t="shared" si="119"/>
        <v>0</v>
      </c>
      <c r="AB2556" s="178">
        <f t="shared" si="120"/>
        <v>0</v>
      </c>
      <c r="AH2556" s="177">
        <f t="shared" si="118"/>
        <v>0</v>
      </c>
    </row>
    <row r="2557" spans="23:34">
      <c r="W2557" s="177">
        <f t="shared" si="119"/>
        <v>0</v>
      </c>
      <c r="AB2557" s="178">
        <f t="shared" si="120"/>
        <v>0</v>
      </c>
      <c r="AH2557" s="177">
        <f t="shared" si="118"/>
        <v>0</v>
      </c>
    </row>
    <row r="2558" spans="23:34">
      <c r="W2558" s="177">
        <f t="shared" si="119"/>
        <v>0</v>
      </c>
      <c r="AB2558" s="178">
        <f t="shared" si="120"/>
        <v>0</v>
      </c>
      <c r="AH2558" s="177">
        <f t="shared" si="118"/>
        <v>0</v>
      </c>
    </row>
    <row r="2559" spans="23:34">
      <c r="W2559" s="177">
        <f t="shared" si="119"/>
        <v>0</v>
      </c>
      <c r="AB2559" s="178">
        <f t="shared" si="120"/>
        <v>0</v>
      </c>
      <c r="AH2559" s="177">
        <f t="shared" si="118"/>
        <v>0</v>
      </c>
    </row>
    <row r="2560" spans="23:34">
      <c r="W2560" s="177">
        <f t="shared" si="119"/>
        <v>0</v>
      </c>
      <c r="AB2560" s="178">
        <f t="shared" si="120"/>
        <v>0</v>
      </c>
      <c r="AH2560" s="177">
        <f t="shared" si="118"/>
        <v>0</v>
      </c>
    </row>
    <row r="2561" spans="23:34">
      <c r="W2561" s="177">
        <f t="shared" si="119"/>
        <v>0</v>
      </c>
      <c r="AB2561" s="178">
        <f t="shared" si="120"/>
        <v>0</v>
      </c>
      <c r="AH2561" s="177">
        <f t="shared" si="118"/>
        <v>0</v>
      </c>
    </row>
    <row r="2562" spans="23:34">
      <c r="W2562" s="177">
        <f t="shared" si="119"/>
        <v>0</v>
      </c>
      <c r="AB2562" s="178">
        <f t="shared" si="120"/>
        <v>0</v>
      </c>
      <c r="AH2562" s="177">
        <f t="shared" si="118"/>
        <v>0</v>
      </c>
    </row>
    <row r="2563" spans="23:34">
      <c r="W2563" s="177">
        <f t="shared" si="119"/>
        <v>0</v>
      </c>
      <c r="AB2563" s="178">
        <f t="shared" si="120"/>
        <v>0</v>
      </c>
      <c r="AH2563" s="177">
        <f t="shared" si="118"/>
        <v>0</v>
      </c>
    </row>
    <row r="2564" spans="23:34">
      <c r="W2564" s="177">
        <f t="shared" si="119"/>
        <v>0</v>
      </c>
      <c r="AB2564" s="178">
        <f t="shared" si="120"/>
        <v>0</v>
      </c>
      <c r="AH2564" s="177">
        <f t="shared" si="118"/>
        <v>0</v>
      </c>
    </row>
    <row r="2565" spans="23:34">
      <c r="W2565" s="177">
        <f t="shared" si="119"/>
        <v>0</v>
      </c>
      <c r="AB2565" s="178">
        <f t="shared" si="120"/>
        <v>0</v>
      </c>
      <c r="AH2565" s="177">
        <f t="shared" si="118"/>
        <v>0</v>
      </c>
    </row>
    <row r="2566" spans="23:34">
      <c r="W2566" s="177">
        <f t="shared" si="119"/>
        <v>0</v>
      </c>
      <c r="AB2566" s="178">
        <f t="shared" si="120"/>
        <v>0</v>
      </c>
      <c r="AH2566" s="177">
        <f t="shared" si="118"/>
        <v>0</v>
      </c>
    </row>
    <row r="2567" spans="23:34">
      <c r="W2567" s="177">
        <f t="shared" si="119"/>
        <v>0</v>
      </c>
      <c r="AB2567" s="178">
        <f t="shared" si="120"/>
        <v>0</v>
      </c>
      <c r="AH2567" s="177">
        <f t="shared" si="118"/>
        <v>0</v>
      </c>
    </row>
    <row r="2568" spans="23:34">
      <c r="W2568" s="177">
        <f t="shared" si="119"/>
        <v>0</v>
      </c>
      <c r="AB2568" s="178">
        <f t="shared" si="120"/>
        <v>0</v>
      </c>
      <c r="AH2568" s="177">
        <f t="shared" si="118"/>
        <v>0</v>
      </c>
    </row>
    <row r="2569" spans="23:34">
      <c r="W2569" s="177">
        <f t="shared" si="119"/>
        <v>0</v>
      </c>
      <c r="AB2569" s="178">
        <f t="shared" si="120"/>
        <v>0</v>
      </c>
      <c r="AH2569" s="177">
        <f t="shared" si="118"/>
        <v>0</v>
      </c>
    </row>
    <row r="2570" spans="23:34">
      <c r="W2570" s="177">
        <f t="shared" si="119"/>
        <v>0</v>
      </c>
      <c r="AB2570" s="178">
        <f t="shared" si="120"/>
        <v>0</v>
      </c>
      <c r="AH2570" s="177">
        <f t="shared" si="118"/>
        <v>0</v>
      </c>
    </row>
    <row r="2571" spans="23:34">
      <c r="W2571" s="177">
        <f t="shared" si="119"/>
        <v>0</v>
      </c>
      <c r="AB2571" s="178">
        <f t="shared" si="120"/>
        <v>0</v>
      </c>
      <c r="AH2571" s="177">
        <f t="shared" si="118"/>
        <v>0</v>
      </c>
    </row>
    <row r="2572" spans="23:34">
      <c r="W2572" s="177">
        <f t="shared" si="119"/>
        <v>0</v>
      </c>
      <c r="AB2572" s="178">
        <f t="shared" si="120"/>
        <v>0</v>
      </c>
      <c r="AH2572" s="177">
        <f t="shared" si="118"/>
        <v>0</v>
      </c>
    </row>
    <row r="2573" spans="23:34">
      <c r="W2573" s="177">
        <f t="shared" si="119"/>
        <v>0</v>
      </c>
      <c r="AB2573" s="178">
        <f t="shared" si="120"/>
        <v>0</v>
      </c>
      <c r="AH2573" s="177">
        <f t="shared" si="118"/>
        <v>0</v>
      </c>
    </row>
    <row r="2574" spans="23:34">
      <c r="W2574" s="177">
        <f t="shared" si="119"/>
        <v>0</v>
      </c>
      <c r="AB2574" s="178">
        <f t="shared" si="120"/>
        <v>0</v>
      </c>
      <c r="AH2574" s="177">
        <f t="shared" si="118"/>
        <v>0</v>
      </c>
    </row>
    <row r="2575" spans="23:34">
      <c r="W2575" s="177">
        <f t="shared" si="119"/>
        <v>0</v>
      </c>
      <c r="AB2575" s="178">
        <f t="shared" si="120"/>
        <v>0</v>
      </c>
      <c r="AH2575" s="177">
        <f t="shared" si="118"/>
        <v>0</v>
      </c>
    </row>
    <row r="2576" spans="23:34">
      <c r="W2576" s="177">
        <f t="shared" si="119"/>
        <v>0</v>
      </c>
      <c r="AB2576" s="178">
        <f t="shared" si="120"/>
        <v>0</v>
      </c>
      <c r="AH2576" s="177">
        <f t="shared" si="118"/>
        <v>0</v>
      </c>
    </row>
    <row r="2577" spans="23:34">
      <c r="W2577" s="177">
        <f t="shared" si="119"/>
        <v>0</v>
      </c>
      <c r="AB2577" s="178">
        <f t="shared" si="120"/>
        <v>0</v>
      </c>
      <c r="AH2577" s="177">
        <f t="shared" si="118"/>
        <v>0</v>
      </c>
    </row>
    <row r="2578" spans="23:34">
      <c r="W2578" s="177">
        <f t="shared" si="119"/>
        <v>0</v>
      </c>
      <c r="AB2578" s="178">
        <f t="shared" si="120"/>
        <v>0</v>
      </c>
      <c r="AH2578" s="177">
        <f t="shared" si="118"/>
        <v>0</v>
      </c>
    </row>
    <row r="2579" spans="23:34">
      <c r="W2579" s="177">
        <f t="shared" si="119"/>
        <v>0</v>
      </c>
      <c r="AB2579" s="178">
        <f t="shared" si="120"/>
        <v>0</v>
      </c>
      <c r="AH2579" s="177">
        <f t="shared" si="118"/>
        <v>0</v>
      </c>
    </row>
    <row r="2580" spans="23:34">
      <c r="W2580" s="177">
        <f t="shared" si="119"/>
        <v>0</v>
      </c>
      <c r="AB2580" s="178">
        <f t="shared" si="120"/>
        <v>0</v>
      </c>
      <c r="AH2580" s="177">
        <f t="shared" si="118"/>
        <v>0</v>
      </c>
    </row>
    <row r="2581" spans="23:34">
      <c r="W2581" s="177">
        <f t="shared" si="119"/>
        <v>0</v>
      </c>
      <c r="AB2581" s="178">
        <f t="shared" si="120"/>
        <v>0</v>
      </c>
      <c r="AH2581" s="177">
        <f t="shared" si="118"/>
        <v>0</v>
      </c>
    </row>
    <row r="2582" spans="23:34">
      <c r="W2582" s="177">
        <f t="shared" si="119"/>
        <v>0</v>
      </c>
      <c r="AB2582" s="178">
        <f t="shared" si="120"/>
        <v>0</v>
      </c>
      <c r="AH2582" s="177">
        <f t="shared" si="118"/>
        <v>0</v>
      </c>
    </row>
    <row r="2583" spans="23:34">
      <c r="W2583" s="177">
        <f t="shared" si="119"/>
        <v>0</v>
      </c>
      <c r="AB2583" s="178">
        <f t="shared" si="120"/>
        <v>0</v>
      </c>
      <c r="AH2583" s="177">
        <f t="shared" si="118"/>
        <v>0</v>
      </c>
    </row>
    <row r="2584" spans="23:34">
      <c r="W2584" s="177">
        <f t="shared" si="119"/>
        <v>0</v>
      </c>
      <c r="AB2584" s="178">
        <f t="shared" si="120"/>
        <v>0</v>
      </c>
      <c r="AH2584" s="177">
        <f t="shared" si="118"/>
        <v>0</v>
      </c>
    </row>
    <row r="2585" spans="23:34">
      <c r="W2585" s="177">
        <f t="shared" si="119"/>
        <v>0</v>
      </c>
      <c r="AB2585" s="178">
        <f t="shared" si="120"/>
        <v>0</v>
      </c>
      <c r="AH2585" s="177">
        <f t="shared" si="118"/>
        <v>0</v>
      </c>
    </row>
    <row r="2586" spans="23:34">
      <c r="W2586" s="177">
        <f t="shared" si="119"/>
        <v>0</v>
      </c>
      <c r="AB2586" s="178">
        <f t="shared" si="120"/>
        <v>0</v>
      </c>
      <c r="AH2586" s="177">
        <f t="shared" si="118"/>
        <v>0</v>
      </c>
    </row>
    <row r="2587" spans="23:34">
      <c r="W2587" s="177">
        <f t="shared" si="119"/>
        <v>0</v>
      </c>
      <c r="AB2587" s="178">
        <f t="shared" si="120"/>
        <v>0</v>
      </c>
      <c r="AH2587" s="177">
        <f t="shared" si="118"/>
        <v>0</v>
      </c>
    </row>
    <row r="2588" spans="23:34">
      <c r="W2588" s="177">
        <f t="shared" si="119"/>
        <v>0</v>
      </c>
      <c r="AB2588" s="178">
        <f t="shared" si="120"/>
        <v>0</v>
      </c>
      <c r="AH2588" s="177">
        <f t="shared" si="118"/>
        <v>0</v>
      </c>
    </row>
    <row r="2589" spans="23:34">
      <c r="W2589" s="177">
        <f t="shared" si="119"/>
        <v>0</v>
      </c>
      <c r="AB2589" s="178">
        <f t="shared" si="120"/>
        <v>0</v>
      </c>
      <c r="AH2589" s="177">
        <f t="shared" si="118"/>
        <v>0</v>
      </c>
    </row>
    <row r="2590" spans="23:34">
      <c r="W2590" s="177">
        <f t="shared" si="119"/>
        <v>0</v>
      </c>
      <c r="AB2590" s="178">
        <f t="shared" si="120"/>
        <v>0</v>
      </c>
      <c r="AH2590" s="177">
        <f t="shared" si="118"/>
        <v>0</v>
      </c>
    </row>
    <row r="2591" spans="23:34">
      <c r="W2591" s="177">
        <f t="shared" si="119"/>
        <v>0</v>
      </c>
      <c r="AB2591" s="178">
        <f t="shared" si="120"/>
        <v>0</v>
      </c>
      <c r="AH2591" s="177">
        <f t="shared" si="118"/>
        <v>0</v>
      </c>
    </row>
    <row r="2592" spans="23:34">
      <c r="W2592" s="177">
        <f t="shared" si="119"/>
        <v>0</v>
      </c>
      <c r="AB2592" s="178">
        <f t="shared" si="120"/>
        <v>0</v>
      </c>
      <c r="AH2592" s="177">
        <f t="shared" si="118"/>
        <v>0</v>
      </c>
    </row>
    <row r="2593" spans="23:34">
      <c r="W2593" s="177">
        <f t="shared" si="119"/>
        <v>0</v>
      </c>
      <c r="AB2593" s="178">
        <f t="shared" si="120"/>
        <v>0</v>
      </c>
      <c r="AH2593" s="177">
        <f t="shared" si="118"/>
        <v>0</v>
      </c>
    </row>
    <row r="2594" spans="23:34">
      <c r="W2594" s="177">
        <f t="shared" si="119"/>
        <v>0</v>
      </c>
      <c r="AB2594" s="178">
        <f t="shared" si="120"/>
        <v>0</v>
      </c>
      <c r="AH2594" s="177">
        <f t="shared" si="118"/>
        <v>0</v>
      </c>
    </row>
    <row r="2595" spans="23:34">
      <c r="W2595" s="177">
        <f t="shared" si="119"/>
        <v>0</v>
      </c>
      <c r="AB2595" s="178">
        <f t="shared" si="120"/>
        <v>0</v>
      </c>
      <c r="AH2595" s="177">
        <f t="shared" si="118"/>
        <v>0</v>
      </c>
    </row>
    <row r="2596" spans="23:34">
      <c r="W2596" s="177">
        <f t="shared" si="119"/>
        <v>0</v>
      </c>
      <c r="AB2596" s="178">
        <f t="shared" si="120"/>
        <v>0</v>
      </c>
      <c r="AH2596" s="177">
        <f t="shared" si="118"/>
        <v>0</v>
      </c>
    </row>
    <row r="2597" spans="23:34">
      <c r="W2597" s="177">
        <f t="shared" si="119"/>
        <v>0</v>
      </c>
      <c r="AB2597" s="178">
        <f t="shared" si="120"/>
        <v>0</v>
      </c>
      <c r="AH2597" s="177">
        <f t="shared" si="118"/>
        <v>0</v>
      </c>
    </row>
    <row r="2598" spans="23:34">
      <c r="W2598" s="177">
        <f t="shared" si="119"/>
        <v>0</v>
      </c>
      <c r="AB2598" s="178">
        <f t="shared" si="120"/>
        <v>0</v>
      </c>
      <c r="AH2598" s="177">
        <f t="shared" si="118"/>
        <v>0</v>
      </c>
    </row>
    <row r="2599" spans="23:34">
      <c r="W2599" s="177">
        <f t="shared" si="119"/>
        <v>0</v>
      </c>
      <c r="AB2599" s="178">
        <f t="shared" si="120"/>
        <v>0</v>
      </c>
      <c r="AH2599" s="177">
        <f t="shared" si="118"/>
        <v>0</v>
      </c>
    </row>
    <row r="2600" spans="23:34">
      <c r="W2600" s="177">
        <f t="shared" si="119"/>
        <v>0</v>
      </c>
      <c r="AB2600" s="178">
        <f t="shared" si="120"/>
        <v>0</v>
      </c>
      <c r="AH2600" s="177">
        <f t="shared" si="118"/>
        <v>0</v>
      </c>
    </row>
    <row r="2601" spans="23:34">
      <c r="W2601" s="177">
        <f t="shared" si="119"/>
        <v>0</v>
      </c>
      <c r="AB2601" s="178">
        <f t="shared" si="120"/>
        <v>0</v>
      </c>
      <c r="AH2601" s="177">
        <f t="shared" si="118"/>
        <v>0</v>
      </c>
    </row>
    <row r="2602" spans="23:34">
      <c r="W2602" s="177">
        <f t="shared" si="119"/>
        <v>0</v>
      </c>
      <c r="AB2602" s="178">
        <f t="shared" si="120"/>
        <v>0</v>
      </c>
      <c r="AH2602" s="177">
        <f t="shared" si="118"/>
        <v>0</v>
      </c>
    </row>
    <row r="2603" spans="23:34">
      <c r="W2603" s="177">
        <f t="shared" si="119"/>
        <v>0</v>
      </c>
      <c r="AB2603" s="178">
        <f t="shared" si="120"/>
        <v>0</v>
      </c>
      <c r="AH2603" s="177">
        <f t="shared" si="118"/>
        <v>0</v>
      </c>
    </row>
    <row r="2604" spans="23:34">
      <c r="W2604" s="177">
        <f t="shared" si="119"/>
        <v>0</v>
      </c>
      <c r="AB2604" s="178">
        <f t="shared" si="120"/>
        <v>0</v>
      </c>
      <c r="AH2604" s="177">
        <f t="shared" si="118"/>
        <v>0</v>
      </c>
    </row>
    <row r="2605" spans="23:34">
      <c r="W2605" s="177">
        <f t="shared" si="119"/>
        <v>0</v>
      </c>
      <c r="AB2605" s="178">
        <f t="shared" si="120"/>
        <v>0</v>
      </c>
      <c r="AH2605" s="177">
        <f t="shared" si="118"/>
        <v>0</v>
      </c>
    </row>
    <row r="2606" spans="23:34">
      <c r="W2606" s="177">
        <f t="shared" si="119"/>
        <v>0</v>
      </c>
      <c r="AB2606" s="178">
        <f t="shared" si="120"/>
        <v>0</v>
      </c>
      <c r="AH2606" s="177">
        <f t="shared" si="118"/>
        <v>0</v>
      </c>
    </row>
    <row r="2607" spans="23:34">
      <c r="W2607" s="177">
        <f t="shared" si="119"/>
        <v>0</v>
      </c>
      <c r="AB2607" s="178">
        <f t="shared" si="120"/>
        <v>0</v>
      </c>
      <c r="AH2607" s="177">
        <f t="shared" si="118"/>
        <v>0</v>
      </c>
    </row>
    <row r="2608" spans="23:34">
      <c r="W2608" s="177">
        <f t="shared" si="119"/>
        <v>0</v>
      </c>
      <c r="AB2608" s="178">
        <f t="shared" si="120"/>
        <v>0</v>
      </c>
      <c r="AH2608" s="177">
        <f t="shared" ref="AH2608:AH2671" si="121">SUM(AF2608:AG2608)</f>
        <v>0</v>
      </c>
    </row>
    <row r="2609" spans="23:34">
      <c r="W2609" s="177">
        <f t="shared" si="119"/>
        <v>0</v>
      </c>
      <c r="AB2609" s="178">
        <f t="shared" si="120"/>
        <v>0</v>
      </c>
      <c r="AH2609" s="177">
        <f t="shared" si="121"/>
        <v>0</v>
      </c>
    </row>
    <row r="2610" spans="23:34">
      <c r="W2610" s="177">
        <f t="shared" si="119"/>
        <v>0</v>
      </c>
      <c r="AB2610" s="178">
        <f t="shared" si="120"/>
        <v>0</v>
      </c>
      <c r="AH2610" s="177">
        <f t="shared" si="121"/>
        <v>0</v>
      </c>
    </row>
    <row r="2611" spans="23:34">
      <c r="W2611" s="177">
        <f t="shared" ref="W2611:W2674" si="122">SUM(Q2611:T2611)</f>
        <v>0</v>
      </c>
      <c r="AB2611" s="178">
        <f t="shared" si="120"/>
        <v>0</v>
      </c>
      <c r="AH2611" s="177">
        <f t="shared" si="121"/>
        <v>0</v>
      </c>
    </row>
    <row r="2612" spans="23:34">
      <c r="W2612" s="177">
        <f t="shared" si="122"/>
        <v>0</v>
      </c>
      <c r="AB2612" s="178">
        <f t="shared" si="120"/>
        <v>0</v>
      </c>
      <c r="AH2612" s="177">
        <f t="shared" si="121"/>
        <v>0</v>
      </c>
    </row>
    <row r="2613" spans="23:34">
      <c r="W2613" s="177">
        <f t="shared" si="122"/>
        <v>0</v>
      </c>
      <c r="AB2613" s="178">
        <f t="shared" si="120"/>
        <v>0</v>
      </c>
      <c r="AH2613" s="177">
        <f t="shared" si="121"/>
        <v>0</v>
      </c>
    </row>
    <row r="2614" spans="23:34">
      <c r="W2614" s="177">
        <f t="shared" si="122"/>
        <v>0</v>
      </c>
      <c r="AB2614" s="178">
        <f t="shared" si="120"/>
        <v>0</v>
      </c>
      <c r="AH2614" s="177">
        <f t="shared" si="121"/>
        <v>0</v>
      </c>
    </row>
    <row r="2615" spans="23:34">
      <c r="W2615" s="177">
        <f t="shared" si="122"/>
        <v>0</v>
      </c>
      <c r="AB2615" s="178">
        <f t="shared" si="120"/>
        <v>0</v>
      </c>
      <c r="AH2615" s="177">
        <f t="shared" si="121"/>
        <v>0</v>
      </c>
    </row>
    <row r="2616" spans="23:34">
      <c r="W2616" s="177">
        <f t="shared" si="122"/>
        <v>0</v>
      </c>
      <c r="AB2616" s="178">
        <f t="shared" si="120"/>
        <v>0</v>
      </c>
      <c r="AH2616" s="177">
        <f t="shared" si="121"/>
        <v>0</v>
      </c>
    </row>
    <row r="2617" spans="23:34">
      <c r="W2617" s="177">
        <f t="shared" si="122"/>
        <v>0</v>
      </c>
      <c r="AB2617" s="178">
        <f t="shared" si="120"/>
        <v>0</v>
      </c>
      <c r="AH2617" s="177">
        <f t="shared" si="121"/>
        <v>0</v>
      </c>
    </row>
    <row r="2618" spans="23:34">
      <c r="W2618" s="177">
        <f t="shared" si="122"/>
        <v>0</v>
      </c>
      <c r="AB2618" s="178">
        <f t="shared" si="120"/>
        <v>0</v>
      </c>
      <c r="AH2618" s="177">
        <f t="shared" si="121"/>
        <v>0</v>
      </c>
    </row>
    <row r="2619" spans="23:34">
      <c r="W2619" s="177">
        <f t="shared" si="122"/>
        <v>0</v>
      </c>
      <c r="AB2619" s="178">
        <f t="shared" ref="AB2619:AB2682" si="123">SUM(Z2619:AA2619)</f>
        <v>0</v>
      </c>
      <c r="AH2619" s="177">
        <f t="shared" si="121"/>
        <v>0</v>
      </c>
    </row>
    <row r="2620" spans="23:34">
      <c r="W2620" s="177">
        <f t="shared" si="122"/>
        <v>0</v>
      </c>
      <c r="AB2620" s="178">
        <f t="shared" si="123"/>
        <v>0</v>
      </c>
      <c r="AH2620" s="177">
        <f t="shared" si="121"/>
        <v>0</v>
      </c>
    </row>
    <row r="2621" spans="23:34">
      <c r="W2621" s="177">
        <f t="shared" si="122"/>
        <v>0</v>
      </c>
      <c r="AB2621" s="178">
        <f t="shared" si="123"/>
        <v>0</v>
      </c>
      <c r="AH2621" s="177">
        <f t="shared" si="121"/>
        <v>0</v>
      </c>
    </row>
    <row r="2622" spans="23:34">
      <c r="W2622" s="177">
        <f t="shared" si="122"/>
        <v>0</v>
      </c>
      <c r="AB2622" s="178">
        <f t="shared" si="123"/>
        <v>0</v>
      </c>
      <c r="AH2622" s="177">
        <f t="shared" si="121"/>
        <v>0</v>
      </c>
    </row>
    <row r="2623" spans="23:34">
      <c r="W2623" s="177">
        <f t="shared" si="122"/>
        <v>0</v>
      </c>
      <c r="AB2623" s="178">
        <f t="shared" si="123"/>
        <v>0</v>
      </c>
      <c r="AH2623" s="177">
        <f t="shared" si="121"/>
        <v>0</v>
      </c>
    </row>
    <row r="2624" spans="23:34">
      <c r="W2624" s="177">
        <f t="shared" si="122"/>
        <v>0</v>
      </c>
      <c r="AB2624" s="178">
        <f t="shared" si="123"/>
        <v>0</v>
      </c>
      <c r="AH2624" s="177">
        <f t="shared" si="121"/>
        <v>0</v>
      </c>
    </row>
    <row r="2625" spans="23:34">
      <c r="W2625" s="177">
        <f t="shared" si="122"/>
        <v>0</v>
      </c>
      <c r="AB2625" s="178">
        <f t="shared" si="123"/>
        <v>0</v>
      </c>
      <c r="AH2625" s="177">
        <f t="shared" si="121"/>
        <v>0</v>
      </c>
    </row>
    <row r="2626" spans="23:34">
      <c r="W2626" s="177">
        <f t="shared" si="122"/>
        <v>0</v>
      </c>
      <c r="AB2626" s="178">
        <f t="shared" si="123"/>
        <v>0</v>
      </c>
      <c r="AH2626" s="177">
        <f t="shared" si="121"/>
        <v>0</v>
      </c>
    </row>
    <row r="2627" spans="23:34">
      <c r="W2627" s="177">
        <f t="shared" si="122"/>
        <v>0</v>
      </c>
      <c r="AB2627" s="178">
        <f t="shared" si="123"/>
        <v>0</v>
      </c>
      <c r="AH2627" s="177">
        <f t="shared" si="121"/>
        <v>0</v>
      </c>
    </row>
    <row r="2628" spans="23:34">
      <c r="W2628" s="177">
        <f t="shared" si="122"/>
        <v>0</v>
      </c>
      <c r="AB2628" s="178">
        <f t="shared" si="123"/>
        <v>0</v>
      </c>
      <c r="AH2628" s="177">
        <f t="shared" si="121"/>
        <v>0</v>
      </c>
    </row>
    <row r="2629" spans="23:34">
      <c r="W2629" s="177">
        <f t="shared" si="122"/>
        <v>0</v>
      </c>
      <c r="AB2629" s="178">
        <f t="shared" si="123"/>
        <v>0</v>
      </c>
      <c r="AH2629" s="177">
        <f t="shared" si="121"/>
        <v>0</v>
      </c>
    </row>
    <row r="2630" spans="23:34">
      <c r="W2630" s="177">
        <f t="shared" si="122"/>
        <v>0</v>
      </c>
      <c r="AB2630" s="178">
        <f t="shared" si="123"/>
        <v>0</v>
      </c>
      <c r="AH2630" s="177">
        <f t="shared" si="121"/>
        <v>0</v>
      </c>
    </row>
    <row r="2631" spans="23:34">
      <c r="W2631" s="177">
        <f t="shared" si="122"/>
        <v>0</v>
      </c>
      <c r="AB2631" s="178">
        <f t="shared" si="123"/>
        <v>0</v>
      </c>
      <c r="AH2631" s="177">
        <f t="shared" si="121"/>
        <v>0</v>
      </c>
    </row>
    <row r="2632" spans="23:34">
      <c r="W2632" s="177">
        <f t="shared" si="122"/>
        <v>0</v>
      </c>
      <c r="AB2632" s="178">
        <f t="shared" si="123"/>
        <v>0</v>
      </c>
      <c r="AH2632" s="177">
        <f t="shared" si="121"/>
        <v>0</v>
      </c>
    </row>
    <row r="2633" spans="23:34">
      <c r="W2633" s="177">
        <f t="shared" si="122"/>
        <v>0</v>
      </c>
      <c r="AB2633" s="178">
        <f t="shared" si="123"/>
        <v>0</v>
      </c>
      <c r="AH2633" s="177">
        <f t="shared" si="121"/>
        <v>0</v>
      </c>
    </row>
    <row r="2634" spans="23:34">
      <c r="W2634" s="177">
        <f t="shared" si="122"/>
        <v>0</v>
      </c>
      <c r="AB2634" s="178">
        <f t="shared" si="123"/>
        <v>0</v>
      </c>
      <c r="AH2634" s="177">
        <f t="shared" si="121"/>
        <v>0</v>
      </c>
    </row>
    <row r="2635" spans="23:34">
      <c r="W2635" s="177">
        <f t="shared" si="122"/>
        <v>0</v>
      </c>
      <c r="AB2635" s="178">
        <f t="shared" si="123"/>
        <v>0</v>
      </c>
      <c r="AH2635" s="177">
        <f t="shared" si="121"/>
        <v>0</v>
      </c>
    </row>
    <row r="2636" spans="23:34">
      <c r="W2636" s="177">
        <f t="shared" si="122"/>
        <v>0</v>
      </c>
      <c r="AB2636" s="178">
        <f t="shared" si="123"/>
        <v>0</v>
      </c>
      <c r="AH2636" s="177">
        <f t="shared" si="121"/>
        <v>0</v>
      </c>
    </row>
    <row r="2637" spans="23:34">
      <c r="W2637" s="177">
        <f t="shared" si="122"/>
        <v>0</v>
      </c>
      <c r="AB2637" s="178">
        <f t="shared" si="123"/>
        <v>0</v>
      </c>
      <c r="AH2637" s="177">
        <f t="shared" si="121"/>
        <v>0</v>
      </c>
    </row>
    <row r="2638" spans="23:34">
      <c r="W2638" s="177">
        <f t="shared" si="122"/>
        <v>0</v>
      </c>
      <c r="AB2638" s="178">
        <f t="shared" si="123"/>
        <v>0</v>
      </c>
      <c r="AH2638" s="177">
        <f t="shared" si="121"/>
        <v>0</v>
      </c>
    </row>
    <row r="2639" spans="23:34">
      <c r="W2639" s="177">
        <f t="shared" si="122"/>
        <v>0</v>
      </c>
      <c r="AB2639" s="178">
        <f t="shared" si="123"/>
        <v>0</v>
      </c>
      <c r="AH2639" s="177">
        <f t="shared" si="121"/>
        <v>0</v>
      </c>
    </row>
    <row r="2640" spans="23:34">
      <c r="W2640" s="177">
        <f t="shared" si="122"/>
        <v>0</v>
      </c>
      <c r="AB2640" s="178">
        <f t="shared" si="123"/>
        <v>0</v>
      </c>
      <c r="AH2640" s="177">
        <f t="shared" si="121"/>
        <v>0</v>
      </c>
    </row>
    <row r="2641" spans="23:34">
      <c r="W2641" s="177">
        <f t="shared" si="122"/>
        <v>0</v>
      </c>
      <c r="AB2641" s="178">
        <f t="shared" si="123"/>
        <v>0</v>
      </c>
      <c r="AH2641" s="177">
        <f t="shared" si="121"/>
        <v>0</v>
      </c>
    </row>
    <row r="2642" spans="23:34">
      <c r="W2642" s="177">
        <f t="shared" si="122"/>
        <v>0</v>
      </c>
      <c r="AB2642" s="178">
        <f t="shared" si="123"/>
        <v>0</v>
      </c>
      <c r="AH2642" s="177">
        <f t="shared" si="121"/>
        <v>0</v>
      </c>
    </row>
    <row r="2643" spans="23:34">
      <c r="W2643" s="177">
        <f t="shared" si="122"/>
        <v>0</v>
      </c>
      <c r="AB2643" s="178">
        <f t="shared" si="123"/>
        <v>0</v>
      </c>
      <c r="AH2643" s="177">
        <f t="shared" si="121"/>
        <v>0</v>
      </c>
    </row>
    <row r="2644" spans="23:34">
      <c r="W2644" s="177">
        <f t="shared" si="122"/>
        <v>0</v>
      </c>
      <c r="AB2644" s="178">
        <f t="shared" si="123"/>
        <v>0</v>
      </c>
      <c r="AH2644" s="177">
        <f t="shared" si="121"/>
        <v>0</v>
      </c>
    </row>
    <row r="2645" spans="23:34">
      <c r="W2645" s="177">
        <f t="shared" si="122"/>
        <v>0</v>
      </c>
      <c r="AB2645" s="178">
        <f t="shared" si="123"/>
        <v>0</v>
      </c>
      <c r="AH2645" s="177">
        <f t="shared" si="121"/>
        <v>0</v>
      </c>
    </row>
    <row r="2646" spans="23:34">
      <c r="W2646" s="177">
        <f t="shared" si="122"/>
        <v>0</v>
      </c>
      <c r="AB2646" s="178">
        <f t="shared" si="123"/>
        <v>0</v>
      </c>
      <c r="AH2646" s="177">
        <f t="shared" si="121"/>
        <v>0</v>
      </c>
    </row>
    <row r="2647" spans="23:34">
      <c r="W2647" s="177">
        <f t="shared" si="122"/>
        <v>0</v>
      </c>
      <c r="AB2647" s="178">
        <f t="shared" si="123"/>
        <v>0</v>
      </c>
      <c r="AH2647" s="177">
        <f t="shared" si="121"/>
        <v>0</v>
      </c>
    </row>
    <row r="2648" spans="23:34">
      <c r="W2648" s="177">
        <f t="shared" si="122"/>
        <v>0</v>
      </c>
      <c r="AB2648" s="178">
        <f t="shared" si="123"/>
        <v>0</v>
      </c>
      <c r="AH2648" s="177">
        <f t="shared" si="121"/>
        <v>0</v>
      </c>
    </row>
    <row r="2649" spans="23:34">
      <c r="W2649" s="177">
        <f t="shared" si="122"/>
        <v>0</v>
      </c>
      <c r="AB2649" s="178">
        <f t="shared" si="123"/>
        <v>0</v>
      </c>
      <c r="AH2649" s="177">
        <f t="shared" si="121"/>
        <v>0</v>
      </c>
    </row>
    <row r="2650" spans="23:34">
      <c r="W2650" s="177">
        <f t="shared" si="122"/>
        <v>0</v>
      </c>
      <c r="AB2650" s="178">
        <f t="shared" si="123"/>
        <v>0</v>
      </c>
      <c r="AH2650" s="177">
        <f t="shared" si="121"/>
        <v>0</v>
      </c>
    </row>
    <row r="2651" spans="23:34">
      <c r="W2651" s="177">
        <f t="shared" si="122"/>
        <v>0</v>
      </c>
      <c r="AB2651" s="178">
        <f t="shared" si="123"/>
        <v>0</v>
      </c>
      <c r="AH2651" s="177">
        <f t="shared" si="121"/>
        <v>0</v>
      </c>
    </row>
    <row r="2652" spans="23:34">
      <c r="W2652" s="177">
        <f t="shared" si="122"/>
        <v>0</v>
      </c>
      <c r="AB2652" s="178">
        <f t="shared" si="123"/>
        <v>0</v>
      </c>
      <c r="AH2652" s="177">
        <f t="shared" si="121"/>
        <v>0</v>
      </c>
    </row>
    <row r="2653" spans="23:34">
      <c r="W2653" s="177">
        <f t="shared" si="122"/>
        <v>0</v>
      </c>
      <c r="AB2653" s="178">
        <f t="shared" si="123"/>
        <v>0</v>
      </c>
      <c r="AH2653" s="177">
        <f t="shared" si="121"/>
        <v>0</v>
      </c>
    </row>
    <row r="2654" spans="23:34">
      <c r="W2654" s="177">
        <f t="shared" si="122"/>
        <v>0</v>
      </c>
      <c r="AB2654" s="178">
        <f t="shared" si="123"/>
        <v>0</v>
      </c>
      <c r="AH2654" s="177">
        <f t="shared" si="121"/>
        <v>0</v>
      </c>
    </row>
    <row r="2655" spans="23:34">
      <c r="W2655" s="177">
        <f t="shared" si="122"/>
        <v>0</v>
      </c>
      <c r="AB2655" s="178">
        <f t="shared" si="123"/>
        <v>0</v>
      </c>
      <c r="AH2655" s="177">
        <f t="shared" si="121"/>
        <v>0</v>
      </c>
    </row>
    <row r="2656" spans="23:34">
      <c r="W2656" s="177">
        <f t="shared" si="122"/>
        <v>0</v>
      </c>
      <c r="AB2656" s="178">
        <f t="shared" si="123"/>
        <v>0</v>
      </c>
      <c r="AH2656" s="177">
        <f t="shared" si="121"/>
        <v>0</v>
      </c>
    </row>
    <row r="2657" spans="23:34">
      <c r="W2657" s="177">
        <f t="shared" si="122"/>
        <v>0</v>
      </c>
      <c r="AB2657" s="178">
        <f t="shared" si="123"/>
        <v>0</v>
      </c>
      <c r="AH2657" s="177">
        <f t="shared" si="121"/>
        <v>0</v>
      </c>
    </row>
    <row r="2658" spans="23:34">
      <c r="W2658" s="177">
        <f t="shared" si="122"/>
        <v>0</v>
      </c>
      <c r="AB2658" s="178">
        <f t="shared" si="123"/>
        <v>0</v>
      </c>
      <c r="AH2658" s="177">
        <f t="shared" si="121"/>
        <v>0</v>
      </c>
    </row>
    <row r="2659" spans="23:34">
      <c r="W2659" s="177">
        <f t="shared" si="122"/>
        <v>0</v>
      </c>
      <c r="AB2659" s="178">
        <f t="shared" si="123"/>
        <v>0</v>
      </c>
      <c r="AH2659" s="177">
        <f t="shared" si="121"/>
        <v>0</v>
      </c>
    </row>
    <row r="2660" spans="23:34">
      <c r="W2660" s="177">
        <f t="shared" si="122"/>
        <v>0</v>
      </c>
      <c r="AB2660" s="178">
        <f t="shared" si="123"/>
        <v>0</v>
      </c>
      <c r="AH2660" s="177">
        <f t="shared" si="121"/>
        <v>0</v>
      </c>
    </row>
    <row r="2661" spans="23:34">
      <c r="W2661" s="177">
        <f t="shared" si="122"/>
        <v>0</v>
      </c>
      <c r="AB2661" s="178">
        <f t="shared" si="123"/>
        <v>0</v>
      </c>
      <c r="AH2661" s="177">
        <f t="shared" si="121"/>
        <v>0</v>
      </c>
    </row>
    <row r="2662" spans="23:34">
      <c r="W2662" s="177">
        <f t="shared" si="122"/>
        <v>0</v>
      </c>
      <c r="AB2662" s="178">
        <f t="shared" si="123"/>
        <v>0</v>
      </c>
      <c r="AH2662" s="177">
        <f t="shared" si="121"/>
        <v>0</v>
      </c>
    </row>
    <row r="2663" spans="23:34">
      <c r="W2663" s="177">
        <f t="shared" si="122"/>
        <v>0</v>
      </c>
      <c r="AB2663" s="178">
        <f t="shared" si="123"/>
        <v>0</v>
      </c>
      <c r="AH2663" s="177">
        <f t="shared" si="121"/>
        <v>0</v>
      </c>
    </row>
    <row r="2664" spans="23:34">
      <c r="W2664" s="177">
        <f t="shared" si="122"/>
        <v>0</v>
      </c>
      <c r="AB2664" s="178">
        <f t="shared" si="123"/>
        <v>0</v>
      </c>
      <c r="AH2664" s="177">
        <f t="shared" si="121"/>
        <v>0</v>
      </c>
    </row>
    <row r="2665" spans="23:34">
      <c r="W2665" s="177">
        <f t="shared" si="122"/>
        <v>0</v>
      </c>
      <c r="AB2665" s="178">
        <f t="shared" si="123"/>
        <v>0</v>
      </c>
      <c r="AH2665" s="177">
        <f t="shared" si="121"/>
        <v>0</v>
      </c>
    </row>
    <row r="2666" spans="23:34">
      <c r="W2666" s="177">
        <f t="shared" si="122"/>
        <v>0</v>
      </c>
      <c r="AB2666" s="178">
        <f t="shared" si="123"/>
        <v>0</v>
      </c>
      <c r="AH2666" s="177">
        <f t="shared" si="121"/>
        <v>0</v>
      </c>
    </row>
    <row r="2667" spans="23:34">
      <c r="W2667" s="177">
        <f t="shared" si="122"/>
        <v>0</v>
      </c>
      <c r="AB2667" s="178">
        <f t="shared" si="123"/>
        <v>0</v>
      </c>
      <c r="AH2667" s="177">
        <f t="shared" si="121"/>
        <v>0</v>
      </c>
    </row>
    <row r="2668" spans="23:34">
      <c r="W2668" s="177">
        <f t="shared" si="122"/>
        <v>0</v>
      </c>
      <c r="AB2668" s="178">
        <f t="shared" si="123"/>
        <v>0</v>
      </c>
      <c r="AH2668" s="177">
        <f t="shared" si="121"/>
        <v>0</v>
      </c>
    </row>
    <row r="2669" spans="23:34">
      <c r="W2669" s="177">
        <f t="shared" si="122"/>
        <v>0</v>
      </c>
      <c r="AB2669" s="178">
        <f t="shared" si="123"/>
        <v>0</v>
      </c>
      <c r="AH2669" s="177">
        <f t="shared" si="121"/>
        <v>0</v>
      </c>
    </row>
    <row r="2670" spans="23:34">
      <c r="W2670" s="177">
        <f t="shared" si="122"/>
        <v>0</v>
      </c>
      <c r="AB2670" s="178">
        <f t="shared" si="123"/>
        <v>0</v>
      </c>
      <c r="AH2670" s="177">
        <f t="shared" si="121"/>
        <v>0</v>
      </c>
    </row>
    <row r="2671" spans="23:34">
      <c r="W2671" s="177">
        <f t="shared" si="122"/>
        <v>0</v>
      </c>
      <c r="AB2671" s="178">
        <f t="shared" si="123"/>
        <v>0</v>
      </c>
      <c r="AH2671" s="177">
        <f t="shared" si="121"/>
        <v>0</v>
      </c>
    </row>
    <row r="2672" spans="23:34">
      <c r="W2672" s="177">
        <f t="shared" si="122"/>
        <v>0</v>
      </c>
      <c r="AB2672" s="178">
        <f t="shared" si="123"/>
        <v>0</v>
      </c>
      <c r="AH2672" s="177">
        <f t="shared" ref="AH2672:AH2735" si="124">SUM(AF2672:AG2672)</f>
        <v>0</v>
      </c>
    </row>
    <row r="2673" spans="23:34">
      <c r="W2673" s="177">
        <f t="shared" si="122"/>
        <v>0</v>
      </c>
      <c r="AB2673" s="178">
        <f t="shared" si="123"/>
        <v>0</v>
      </c>
      <c r="AH2673" s="177">
        <f t="shared" si="124"/>
        <v>0</v>
      </c>
    </row>
    <row r="2674" spans="23:34">
      <c r="W2674" s="177">
        <f t="shared" si="122"/>
        <v>0</v>
      </c>
      <c r="AB2674" s="178">
        <f t="shared" si="123"/>
        <v>0</v>
      </c>
      <c r="AH2674" s="177">
        <f t="shared" si="124"/>
        <v>0</v>
      </c>
    </row>
    <row r="2675" spans="23:34">
      <c r="W2675" s="177">
        <f t="shared" ref="W2675:W2738" si="125">SUM(Q2675:T2675)</f>
        <v>0</v>
      </c>
      <c r="AB2675" s="178">
        <f t="shared" si="123"/>
        <v>0</v>
      </c>
      <c r="AH2675" s="177">
        <f t="shared" si="124"/>
        <v>0</v>
      </c>
    </row>
    <row r="2676" spans="23:34">
      <c r="W2676" s="177">
        <f t="shared" si="125"/>
        <v>0</v>
      </c>
      <c r="AB2676" s="178">
        <f t="shared" si="123"/>
        <v>0</v>
      </c>
      <c r="AH2676" s="177">
        <f t="shared" si="124"/>
        <v>0</v>
      </c>
    </row>
    <row r="2677" spans="23:34">
      <c r="W2677" s="177">
        <f t="shared" si="125"/>
        <v>0</v>
      </c>
      <c r="AB2677" s="178">
        <f t="shared" si="123"/>
        <v>0</v>
      </c>
      <c r="AH2677" s="177">
        <f t="shared" si="124"/>
        <v>0</v>
      </c>
    </row>
    <row r="2678" spans="23:34">
      <c r="W2678" s="177">
        <f t="shared" si="125"/>
        <v>0</v>
      </c>
      <c r="AB2678" s="178">
        <f t="shared" si="123"/>
        <v>0</v>
      </c>
      <c r="AH2678" s="177">
        <f t="shared" si="124"/>
        <v>0</v>
      </c>
    </row>
    <row r="2679" spans="23:34">
      <c r="W2679" s="177">
        <f t="shared" si="125"/>
        <v>0</v>
      </c>
      <c r="AB2679" s="178">
        <f t="shared" si="123"/>
        <v>0</v>
      </c>
      <c r="AH2679" s="177">
        <f t="shared" si="124"/>
        <v>0</v>
      </c>
    </row>
    <row r="2680" spans="23:34">
      <c r="W2680" s="177">
        <f t="shared" si="125"/>
        <v>0</v>
      </c>
      <c r="AB2680" s="178">
        <f t="shared" si="123"/>
        <v>0</v>
      </c>
      <c r="AH2680" s="177">
        <f t="shared" si="124"/>
        <v>0</v>
      </c>
    </row>
    <row r="2681" spans="23:34">
      <c r="W2681" s="177">
        <f t="shared" si="125"/>
        <v>0</v>
      </c>
      <c r="AB2681" s="178">
        <f t="shared" si="123"/>
        <v>0</v>
      </c>
      <c r="AH2681" s="177">
        <f t="shared" si="124"/>
        <v>0</v>
      </c>
    </row>
    <row r="2682" spans="23:34">
      <c r="W2682" s="177">
        <f t="shared" si="125"/>
        <v>0</v>
      </c>
      <c r="AB2682" s="178">
        <f t="shared" si="123"/>
        <v>0</v>
      </c>
      <c r="AH2682" s="177">
        <f t="shared" si="124"/>
        <v>0</v>
      </c>
    </row>
    <row r="2683" spans="23:34">
      <c r="W2683" s="177">
        <f t="shared" si="125"/>
        <v>0</v>
      </c>
      <c r="AB2683" s="178">
        <f t="shared" ref="AB2683:AB2746" si="126">SUM(Z2683:AA2683)</f>
        <v>0</v>
      </c>
      <c r="AH2683" s="177">
        <f t="shared" si="124"/>
        <v>0</v>
      </c>
    </row>
    <row r="2684" spans="23:34">
      <c r="W2684" s="177">
        <f t="shared" si="125"/>
        <v>0</v>
      </c>
      <c r="AB2684" s="178">
        <f t="shared" si="126"/>
        <v>0</v>
      </c>
      <c r="AH2684" s="177">
        <f t="shared" si="124"/>
        <v>0</v>
      </c>
    </row>
    <row r="2685" spans="23:34">
      <c r="W2685" s="177">
        <f t="shared" si="125"/>
        <v>0</v>
      </c>
      <c r="AB2685" s="178">
        <f t="shared" si="126"/>
        <v>0</v>
      </c>
      <c r="AH2685" s="177">
        <f t="shared" si="124"/>
        <v>0</v>
      </c>
    </row>
    <row r="2686" spans="23:34">
      <c r="W2686" s="177">
        <f t="shared" si="125"/>
        <v>0</v>
      </c>
      <c r="AB2686" s="178">
        <f t="shared" si="126"/>
        <v>0</v>
      </c>
      <c r="AH2686" s="177">
        <f t="shared" si="124"/>
        <v>0</v>
      </c>
    </row>
    <row r="2687" spans="23:34">
      <c r="W2687" s="177">
        <f t="shared" si="125"/>
        <v>0</v>
      </c>
      <c r="AB2687" s="178">
        <f t="shared" si="126"/>
        <v>0</v>
      </c>
      <c r="AH2687" s="177">
        <f t="shared" si="124"/>
        <v>0</v>
      </c>
    </row>
    <row r="2688" spans="23:34">
      <c r="W2688" s="177">
        <f t="shared" si="125"/>
        <v>0</v>
      </c>
      <c r="AB2688" s="178">
        <f t="shared" si="126"/>
        <v>0</v>
      </c>
      <c r="AH2688" s="177">
        <f t="shared" si="124"/>
        <v>0</v>
      </c>
    </row>
    <row r="2689" spans="23:34">
      <c r="W2689" s="177">
        <f t="shared" si="125"/>
        <v>0</v>
      </c>
      <c r="AB2689" s="178">
        <f t="shared" si="126"/>
        <v>0</v>
      </c>
      <c r="AH2689" s="177">
        <f t="shared" si="124"/>
        <v>0</v>
      </c>
    </row>
    <row r="2690" spans="23:34">
      <c r="W2690" s="177">
        <f t="shared" si="125"/>
        <v>0</v>
      </c>
      <c r="AB2690" s="178">
        <f t="shared" si="126"/>
        <v>0</v>
      </c>
      <c r="AH2690" s="177">
        <f t="shared" si="124"/>
        <v>0</v>
      </c>
    </row>
    <row r="2691" spans="23:34">
      <c r="W2691" s="177">
        <f t="shared" si="125"/>
        <v>0</v>
      </c>
      <c r="AB2691" s="178">
        <f t="shared" si="126"/>
        <v>0</v>
      </c>
      <c r="AH2691" s="177">
        <f t="shared" si="124"/>
        <v>0</v>
      </c>
    </row>
    <row r="2692" spans="23:34">
      <c r="W2692" s="177">
        <f t="shared" si="125"/>
        <v>0</v>
      </c>
      <c r="AB2692" s="178">
        <f t="shared" si="126"/>
        <v>0</v>
      </c>
      <c r="AH2692" s="177">
        <f t="shared" si="124"/>
        <v>0</v>
      </c>
    </row>
    <row r="2693" spans="23:34">
      <c r="W2693" s="177">
        <f t="shared" si="125"/>
        <v>0</v>
      </c>
      <c r="AB2693" s="178">
        <f t="shared" si="126"/>
        <v>0</v>
      </c>
      <c r="AH2693" s="177">
        <f t="shared" si="124"/>
        <v>0</v>
      </c>
    </row>
    <row r="2694" spans="23:34">
      <c r="W2694" s="177">
        <f t="shared" si="125"/>
        <v>0</v>
      </c>
      <c r="AB2694" s="178">
        <f t="shared" si="126"/>
        <v>0</v>
      </c>
      <c r="AH2694" s="177">
        <f t="shared" si="124"/>
        <v>0</v>
      </c>
    </row>
    <row r="2695" spans="23:34">
      <c r="W2695" s="177">
        <f t="shared" si="125"/>
        <v>0</v>
      </c>
      <c r="AB2695" s="178">
        <f t="shared" si="126"/>
        <v>0</v>
      </c>
      <c r="AH2695" s="177">
        <f t="shared" si="124"/>
        <v>0</v>
      </c>
    </row>
    <row r="2696" spans="23:34">
      <c r="W2696" s="177">
        <f t="shared" si="125"/>
        <v>0</v>
      </c>
      <c r="AB2696" s="178">
        <f t="shared" si="126"/>
        <v>0</v>
      </c>
      <c r="AH2696" s="177">
        <f t="shared" si="124"/>
        <v>0</v>
      </c>
    </row>
    <row r="2697" spans="23:34">
      <c r="W2697" s="177">
        <f t="shared" si="125"/>
        <v>0</v>
      </c>
      <c r="AB2697" s="178">
        <f t="shared" si="126"/>
        <v>0</v>
      </c>
      <c r="AH2697" s="177">
        <f t="shared" si="124"/>
        <v>0</v>
      </c>
    </row>
    <row r="2698" spans="23:34">
      <c r="W2698" s="177">
        <f t="shared" si="125"/>
        <v>0</v>
      </c>
      <c r="AB2698" s="178">
        <f t="shared" si="126"/>
        <v>0</v>
      </c>
      <c r="AH2698" s="177">
        <f t="shared" si="124"/>
        <v>0</v>
      </c>
    </row>
    <row r="2699" spans="23:34">
      <c r="W2699" s="177">
        <f t="shared" si="125"/>
        <v>0</v>
      </c>
      <c r="AB2699" s="178">
        <f t="shared" si="126"/>
        <v>0</v>
      </c>
      <c r="AH2699" s="177">
        <f t="shared" si="124"/>
        <v>0</v>
      </c>
    </row>
    <row r="2700" spans="23:34">
      <c r="W2700" s="177">
        <f t="shared" si="125"/>
        <v>0</v>
      </c>
      <c r="AB2700" s="178">
        <f t="shared" si="126"/>
        <v>0</v>
      </c>
      <c r="AH2700" s="177">
        <f t="shared" si="124"/>
        <v>0</v>
      </c>
    </row>
    <row r="2701" spans="23:34">
      <c r="W2701" s="177">
        <f t="shared" si="125"/>
        <v>0</v>
      </c>
      <c r="AB2701" s="178">
        <f t="shared" si="126"/>
        <v>0</v>
      </c>
      <c r="AH2701" s="177">
        <f t="shared" si="124"/>
        <v>0</v>
      </c>
    </row>
    <row r="2702" spans="23:34">
      <c r="W2702" s="177">
        <f t="shared" si="125"/>
        <v>0</v>
      </c>
      <c r="AB2702" s="178">
        <f t="shared" si="126"/>
        <v>0</v>
      </c>
      <c r="AH2702" s="177">
        <f t="shared" si="124"/>
        <v>0</v>
      </c>
    </row>
    <row r="2703" spans="23:34">
      <c r="W2703" s="177">
        <f t="shared" si="125"/>
        <v>0</v>
      </c>
      <c r="AB2703" s="178">
        <f t="shared" si="126"/>
        <v>0</v>
      </c>
      <c r="AH2703" s="177">
        <f t="shared" si="124"/>
        <v>0</v>
      </c>
    </row>
    <row r="2704" spans="23:34">
      <c r="W2704" s="177">
        <f t="shared" si="125"/>
        <v>0</v>
      </c>
      <c r="AB2704" s="178">
        <f t="shared" si="126"/>
        <v>0</v>
      </c>
      <c r="AH2704" s="177">
        <f t="shared" si="124"/>
        <v>0</v>
      </c>
    </row>
    <row r="2705" spans="23:34">
      <c r="W2705" s="177">
        <f t="shared" si="125"/>
        <v>0</v>
      </c>
      <c r="AB2705" s="178">
        <f t="shared" si="126"/>
        <v>0</v>
      </c>
      <c r="AH2705" s="177">
        <f t="shared" si="124"/>
        <v>0</v>
      </c>
    </row>
    <row r="2706" spans="23:34">
      <c r="W2706" s="177">
        <f t="shared" si="125"/>
        <v>0</v>
      </c>
      <c r="AB2706" s="178">
        <f t="shared" si="126"/>
        <v>0</v>
      </c>
      <c r="AH2706" s="177">
        <f t="shared" si="124"/>
        <v>0</v>
      </c>
    </row>
    <row r="2707" spans="23:34">
      <c r="W2707" s="177">
        <f t="shared" si="125"/>
        <v>0</v>
      </c>
      <c r="AB2707" s="178">
        <f t="shared" si="126"/>
        <v>0</v>
      </c>
      <c r="AH2707" s="177">
        <f t="shared" si="124"/>
        <v>0</v>
      </c>
    </row>
    <row r="2708" spans="23:34">
      <c r="W2708" s="177">
        <f t="shared" si="125"/>
        <v>0</v>
      </c>
      <c r="AB2708" s="178">
        <f t="shared" si="126"/>
        <v>0</v>
      </c>
      <c r="AH2708" s="177">
        <f t="shared" si="124"/>
        <v>0</v>
      </c>
    </row>
    <row r="2709" spans="23:34">
      <c r="W2709" s="177">
        <f t="shared" si="125"/>
        <v>0</v>
      </c>
      <c r="AB2709" s="178">
        <f t="shared" si="126"/>
        <v>0</v>
      </c>
      <c r="AH2709" s="177">
        <f t="shared" si="124"/>
        <v>0</v>
      </c>
    </row>
    <row r="2710" spans="23:34">
      <c r="W2710" s="177">
        <f t="shared" si="125"/>
        <v>0</v>
      </c>
      <c r="AB2710" s="178">
        <f t="shared" si="126"/>
        <v>0</v>
      </c>
      <c r="AH2710" s="177">
        <f t="shared" si="124"/>
        <v>0</v>
      </c>
    </row>
    <row r="2711" spans="23:34">
      <c r="W2711" s="177">
        <f t="shared" si="125"/>
        <v>0</v>
      </c>
      <c r="AB2711" s="178">
        <f t="shared" si="126"/>
        <v>0</v>
      </c>
      <c r="AH2711" s="177">
        <f t="shared" si="124"/>
        <v>0</v>
      </c>
    </row>
    <row r="2712" spans="23:34">
      <c r="W2712" s="177">
        <f t="shared" si="125"/>
        <v>0</v>
      </c>
      <c r="AB2712" s="178">
        <f t="shared" si="126"/>
        <v>0</v>
      </c>
      <c r="AH2712" s="177">
        <f t="shared" si="124"/>
        <v>0</v>
      </c>
    </row>
    <row r="2713" spans="23:34">
      <c r="W2713" s="177">
        <f t="shared" si="125"/>
        <v>0</v>
      </c>
      <c r="AB2713" s="178">
        <f t="shared" si="126"/>
        <v>0</v>
      </c>
      <c r="AH2713" s="177">
        <f t="shared" si="124"/>
        <v>0</v>
      </c>
    </row>
    <row r="2714" spans="23:34">
      <c r="W2714" s="177">
        <f t="shared" si="125"/>
        <v>0</v>
      </c>
      <c r="AB2714" s="178">
        <f t="shared" si="126"/>
        <v>0</v>
      </c>
      <c r="AH2714" s="177">
        <f t="shared" si="124"/>
        <v>0</v>
      </c>
    </row>
    <row r="2715" spans="23:34">
      <c r="W2715" s="177">
        <f t="shared" si="125"/>
        <v>0</v>
      </c>
      <c r="AB2715" s="178">
        <f t="shared" si="126"/>
        <v>0</v>
      </c>
      <c r="AH2715" s="177">
        <f t="shared" si="124"/>
        <v>0</v>
      </c>
    </row>
    <row r="2716" spans="23:34">
      <c r="W2716" s="177">
        <f t="shared" si="125"/>
        <v>0</v>
      </c>
      <c r="AB2716" s="178">
        <f t="shared" si="126"/>
        <v>0</v>
      </c>
      <c r="AH2716" s="177">
        <f t="shared" si="124"/>
        <v>0</v>
      </c>
    </row>
    <row r="2717" spans="23:34">
      <c r="W2717" s="177">
        <f t="shared" si="125"/>
        <v>0</v>
      </c>
      <c r="AB2717" s="178">
        <f t="shared" si="126"/>
        <v>0</v>
      </c>
      <c r="AH2717" s="177">
        <f t="shared" si="124"/>
        <v>0</v>
      </c>
    </row>
    <row r="2718" spans="23:34">
      <c r="W2718" s="177">
        <f t="shared" si="125"/>
        <v>0</v>
      </c>
      <c r="AB2718" s="178">
        <f t="shared" si="126"/>
        <v>0</v>
      </c>
      <c r="AH2718" s="177">
        <f t="shared" si="124"/>
        <v>0</v>
      </c>
    </row>
    <row r="2719" spans="23:34">
      <c r="W2719" s="177">
        <f t="shared" si="125"/>
        <v>0</v>
      </c>
      <c r="AB2719" s="178">
        <f t="shared" si="126"/>
        <v>0</v>
      </c>
      <c r="AH2719" s="177">
        <f t="shared" si="124"/>
        <v>0</v>
      </c>
    </row>
    <row r="2720" spans="23:34">
      <c r="W2720" s="177">
        <f t="shared" si="125"/>
        <v>0</v>
      </c>
      <c r="AB2720" s="178">
        <f t="shared" si="126"/>
        <v>0</v>
      </c>
      <c r="AH2720" s="177">
        <f t="shared" si="124"/>
        <v>0</v>
      </c>
    </row>
    <row r="2721" spans="23:34">
      <c r="W2721" s="177">
        <f t="shared" si="125"/>
        <v>0</v>
      </c>
      <c r="AB2721" s="178">
        <f t="shared" si="126"/>
        <v>0</v>
      </c>
      <c r="AH2721" s="177">
        <f t="shared" si="124"/>
        <v>0</v>
      </c>
    </row>
    <row r="2722" spans="23:34">
      <c r="W2722" s="177">
        <f t="shared" si="125"/>
        <v>0</v>
      </c>
      <c r="AB2722" s="178">
        <f t="shared" si="126"/>
        <v>0</v>
      </c>
      <c r="AH2722" s="177">
        <f t="shared" si="124"/>
        <v>0</v>
      </c>
    </row>
    <row r="2723" spans="23:34">
      <c r="W2723" s="177">
        <f t="shared" si="125"/>
        <v>0</v>
      </c>
      <c r="AB2723" s="178">
        <f t="shared" si="126"/>
        <v>0</v>
      </c>
      <c r="AH2723" s="177">
        <f t="shared" si="124"/>
        <v>0</v>
      </c>
    </row>
    <row r="2724" spans="23:34">
      <c r="W2724" s="177">
        <f t="shared" si="125"/>
        <v>0</v>
      </c>
      <c r="AB2724" s="178">
        <f t="shared" si="126"/>
        <v>0</v>
      </c>
      <c r="AH2724" s="177">
        <f t="shared" si="124"/>
        <v>0</v>
      </c>
    </row>
    <row r="2725" spans="23:34">
      <c r="W2725" s="177">
        <f t="shared" si="125"/>
        <v>0</v>
      </c>
      <c r="AB2725" s="178">
        <f t="shared" si="126"/>
        <v>0</v>
      </c>
      <c r="AH2725" s="177">
        <f t="shared" si="124"/>
        <v>0</v>
      </c>
    </row>
    <row r="2726" spans="23:34">
      <c r="W2726" s="177">
        <f t="shared" si="125"/>
        <v>0</v>
      </c>
      <c r="AB2726" s="178">
        <f t="shared" si="126"/>
        <v>0</v>
      </c>
      <c r="AH2726" s="177">
        <f t="shared" si="124"/>
        <v>0</v>
      </c>
    </row>
    <row r="2727" spans="23:34">
      <c r="W2727" s="177">
        <f t="shared" si="125"/>
        <v>0</v>
      </c>
      <c r="AB2727" s="178">
        <f t="shared" si="126"/>
        <v>0</v>
      </c>
      <c r="AH2727" s="177">
        <f t="shared" si="124"/>
        <v>0</v>
      </c>
    </row>
    <row r="2728" spans="23:34">
      <c r="W2728" s="177">
        <f t="shared" si="125"/>
        <v>0</v>
      </c>
      <c r="AB2728" s="178">
        <f t="shared" si="126"/>
        <v>0</v>
      </c>
      <c r="AH2728" s="177">
        <f t="shared" si="124"/>
        <v>0</v>
      </c>
    </row>
    <row r="2729" spans="23:34">
      <c r="W2729" s="177">
        <f t="shared" si="125"/>
        <v>0</v>
      </c>
      <c r="AB2729" s="178">
        <f t="shared" si="126"/>
        <v>0</v>
      </c>
      <c r="AH2729" s="177">
        <f t="shared" si="124"/>
        <v>0</v>
      </c>
    </row>
    <row r="2730" spans="23:34">
      <c r="W2730" s="177">
        <f t="shared" si="125"/>
        <v>0</v>
      </c>
      <c r="AB2730" s="178">
        <f t="shared" si="126"/>
        <v>0</v>
      </c>
      <c r="AH2730" s="177">
        <f t="shared" si="124"/>
        <v>0</v>
      </c>
    </row>
    <row r="2731" spans="23:34">
      <c r="W2731" s="177">
        <f t="shared" si="125"/>
        <v>0</v>
      </c>
      <c r="AB2731" s="178">
        <f t="shared" si="126"/>
        <v>0</v>
      </c>
      <c r="AH2731" s="177">
        <f t="shared" si="124"/>
        <v>0</v>
      </c>
    </row>
    <row r="2732" spans="23:34">
      <c r="W2732" s="177">
        <f t="shared" si="125"/>
        <v>0</v>
      </c>
      <c r="AB2732" s="178">
        <f t="shared" si="126"/>
        <v>0</v>
      </c>
      <c r="AH2732" s="177">
        <f t="shared" si="124"/>
        <v>0</v>
      </c>
    </row>
    <row r="2733" spans="23:34">
      <c r="W2733" s="177">
        <f t="shared" si="125"/>
        <v>0</v>
      </c>
      <c r="AB2733" s="178">
        <f t="shared" si="126"/>
        <v>0</v>
      </c>
      <c r="AH2733" s="177">
        <f t="shared" si="124"/>
        <v>0</v>
      </c>
    </row>
    <row r="2734" spans="23:34">
      <c r="W2734" s="177">
        <f t="shared" si="125"/>
        <v>0</v>
      </c>
      <c r="AB2734" s="178">
        <f t="shared" si="126"/>
        <v>0</v>
      </c>
      <c r="AH2734" s="177">
        <f t="shared" si="124"/>
        <v>0</v>
      </c>
    </row>
    <row r="2735" spans="23:34">
      <c r="W2735" s="177">
        <f t="shared" si="125"/>
        <v>0</v>
      </c>
      <c r="AB2735" s="178">
        <f t="shared" si="126"/>
        <v>0</v>
      </c>
      <c r="AH2735" s="177">
        <f t="shared" si="124"/>
        <v>0</v>
      </c>
    </row>
    <row r="2736" spans="23:34">
      <c r="W2736" s="177">
        <f t="shared" si="125"/>
        <v>0</v>
      </c>
      <c r="AB2736" s="178">
        <f t="shared" si="126"/>
        <v>0</v>
      </c>
      <c r="AH2736" s="177">
        <f t="shared" ref="AH2736:AH2799" si="127">SUM(AF2736:AG2736)</f>
        <v>0</v>
      </c>
    </row>
    <row r="2737" spans="23:34">
      <c r="W2737" s="177">
        <f t="shared" si="125"/>
        <v>0</v>
      </c>
      <c r="AB2737" s="178">
        <f t="shared" si="126"/>
        <v>0</v>
      </c>
      <c r="AH2737" s="177">
        <f t="shared" si="127"/>
        <v>0</v>
      </c>
    </row>
    <row r="2738" spans="23:34">
      <c r="W2738" s="177">
        <f t="shared" si="125"/>
        <v>0</v>
      </c>
      <c r="AB2738" s="178">
        <f t="shared" si="126"/>
        <v>0</v>
      </c>
      <c r="AH2738" s="177">
        <f t="shared" si="127"/>
        <v>0</v>
      </c>
    </row>
    <row r="2739" spans="23:34">
      <c r="W2739" s="177">
        <f t="shared" ref="W2739:W2802" si="128">SUM(Q2739:T2739)</f>
        <v>0</v>
      </c>
      <c r="AB2739" s="178">
        <f t="shared" si="126"/>
        <v>0</v>
      </c>
      <c r="AH2739" s="177">
        <f t="shared" si="127"/>
        <v>0</v>
      </c>
    </row>
    <row r="2740" spans="23:34">
      <c r="W2740" s="177">
        <f t="shared" si="128"/>
        <v>0</v>
      </c>
      <c r="AB2740" s="178">
        <f t="shared" si="126"/>
        <v>0</v>
      </c>
      <c r="AH2740" s="177">
        <f t="shared" si="127"/>
        <v>0</v>
      </c>
    </row>
    <row r="2741" spans="23:34">
      <c r="W2741" s="177">
        <f t="shared" si="128"/>
        <v>0</v>
      </c>
      <c r="AB2741" s="178">
        <f t="shared" si="126"/>
        <v>0</v>
      </c>
      <c r="AH2741" s="177">
        <f t="shared" si="127"/>
        <v>0</v>
      </c>
    </row>
    <row r="2742" spans="23:34">
      <c r="W2742" s="177">
        <f t="shared" si="128"/>
        <v>0</v>
      </c>
      <c r="AB2742" s="178">
        <f t="shared" si="126"/>
        <v>0</v>
      </c>
      <c r="AH2742" s="177">
        <f t="shared" si="127"/>
        <v>0</v>
      </c>
    </row>
    <row r="2743" spans="23:34">
      <c r="W2743" s="177">
        <f t="shared" si="128"/>
        <v>0</v>
      </c>
      <c r="AB2743" s="178">
        <f t="shared" si="126"/>
        <v>0</v>
      </c>
      <c r="AH2743" s="177">
        <f t="shared" si="127"/>
        <v>0</v>
      </c>
    </row>
    <row r="2744" spans="23:34">
      <c r="W2744" s="177">
        <f t="shared" si="128"/>
        <v>0</v>
      </c>
      <c r="AB2744" s="178">
        <f t="shared" si="126"/>
        <v>0</v>
      </c>
      <c r="AH2744" s="177">
        <f t="shared" si="127"/>
        <v>0</v>
      </c>
    </row>
    <row r="2745" spans="23:34">
      <c r="W2745" s="177">
        <f t="shared" si="128"/>
        <v>0</v>
      </c>
      <c r="AB2745" s="178">
        <f t="shared" si="126"/>
        <v>0</v>
      </c>
      <c r="AH2745" s="177">
        <f t="shared" si="127"/>
        <v>0</v>
      </c>
    </row>
    <row r="2746" spans="23:34">
      <c r="W2746" s="177">
        <f t="shared" si="128"/>
        <v>0</v>
      </c>
      <c r="AB2746" s="178">
        <f t="shared" si="126"/>
        <v>0</v>
      </c>
      <c r="AH2746" s="177">
        <f t="shared" si="127"/>
        <v>0</v>
      </c>
    </row>
    <row r="2747" spans="23:34">
      <c r="W2747" s="177">
        <f t="shared" si="128"/>
        <v>0</v>
      </c>
      <c r="AB2747" s="178">
        <f t="shared" ref="AB2747:AB2810" si="129">SUM(Z2747:AA2747)</f>
        <v>0</v>
      </c>
      <c r="AH2747" s="177">
        <f t="shared" si="127"/>
        <v>0</v>
      </c>
    </row>
    <row r="2748" spans="23:34">
      <c r="W2748" s="177">
        <f t="shared" si="128"/>
        <v>0</v>
      </c>
      <c r="AB2748" s="178">
        <f t="shared" si="129"/>
        <v>0</v>
      </c>
      <c r="AH2748" s="177">
        <f t="shared" si="127"/>
        <v>0</v>
      </c>
    </row>
    <row r="2749" spans="23:34">
      <c r="W2749" s="177">
        <f t="shared" si="128"/>
        <v>0</v>
      </c>
      <c r="AB2749" s="178">
        <f t="shared" si="129"/>
        <v>0</v>
      </c>
      <c r="AH2749" s="177">
        <f t="shared" si="127"/>
        <v>0</v>
      </c>
    </row>
    <row r="2750" spans="23:34">
      <c r="W2750" s="177">
        <f t="shared" si="128"/>
        <v>0</v>
      </c>
      <c r="AB2750" s="178">
        <f t="shared" si="129"/>
        <v>0</v>
      </c>
      <c r="AH2750" s="177">
        <f t="shared" si="127"/>
        <v>0</v>
      </c>
    </row>
    <row r="2751" spans="23:34">
      <c r="W2751" s="177">
        <f t="shared" si="128"/>
        <v>0</v>
      </c>
      <c r="AB2751" s="178">
        <f t="shared" si="129"/>
        <v>0</v>
      </c>
      <c r="AH2751" s="177">
        <f t="shared" si="127"/>
        <v>0</v>
      </c>
    </row>
    <row r="2752" spans="23:34">
      <c r="W2752" s="177">
        <f t="shared" si="128"/>
        <v>0</v>
      </c>
      <c r="AB2752" s="178">
        <f t="shared" si="129"/>
        <v>0</v>
      </c>
      <c r="AH2752" s="177">
        <f t="shared" si="127"/>
        <v>0</v>
      </c>
    </row>
    <row r="2753" spans="23:34">
      <c r="W2753" s="177">
        <f t="shared" si="128"/>
        <v>0</v>
      </c>
      <c r="AB2753" s="178">
        <f t="shared" si="129"/>
        <v>0</v>
      </c>
      <c r="AH2753" s="177">
        <f t="shared" si="127"/>
        <v>0</v>
      </c>
    </row>
    <row r="2754" spans="23:34">
      <c r="W2754" s="177">
        <f t="shared" si="128"/>
        <v>0</v>
      </c>
      <c r="AB2754" s="178">
        <f t="shared" si="129"/>
        <v>0</v>
      </c>
      <c r="AH2754" s="177">
        <f t="shared" si="127"/>
        <v>0</v>
      </c>
    </row>
    <row r="2755" spans="23:34">
      <c r="W2755" s="177">
        <f t="shared" si="128"/>
        <v>0</v>
      </c>
      <c r="AB2755" s="178">
        <f t="shared" si="129"/>
        <v>0</v>
      </c>
      <c r="AH2755" s="177">
        <f t="shared" si="127"/>
        <v>0</v>
      </c>
    </row>
    <row r="2756" spans="23:34">
      <c r="W2756" s="177">
        <f t="shared" si="128"/>
        <v>0</v>
      </c>
      <c r="AB2756" s="178">
        <f t="shared" si="129"/>
        <v>0</v>
      </c>
      <c r="AH2756" s="177">
        <f t="shared" si="127"/>
        <v>0</v>
      </c>
    </row>
    <row r="2757" spans="23:34">
      <c r="W2757" s="177">
        <f t="shared" si="128"/>
        <v>0</v>
      </c>
      <c r="AB2757" s="178">
        <f t="shared" si="129"/>
        <v>0</v>
      </c>
      <c r="AH2757" s="177">
        <f t="shared" si="127"/>
        <v>0</v>
      </c>
    </row>
    <row r="2758" spans="23:34">
      <c r="W2758" s="177">
        <f t="shared" si="128"/>
        <v>0</v>
      </c>
      <c r="AB2758" s="178">
        <f t="shared" si="129"/>
        <v>0</v>
      </c>
      <c r="AH2758" s="177">
        <f t="shared" si="127"/>
        <v>0</v>
      </c>
    </row>
    <row r="2759" spans="23:34">
      <c r="W2759" s="177">
        <f t="shared" si="128"/>
        <v>0</v>
      </c>
      <c r="AB2759" s="178">
        <f t="shared" si="129"/>
        <v>0</v>
      </c>
      <c r="AH2759" s="177">
        <f t="shared" si="127"/>
        <v>0</v>
      </c>
    </row>
    <row r="2760" spans="23:34">
      <c r="W2760" s="177">
        <f t="shared" si="128"/>
        <v>0</v>
      </c>
      <c r="AB2760" s="178">
        <f t="shared" si="129"/>
        <v>0</v>
      </c>
      <c r="AH2760" s="177">
        <f t="shared" si="127"/>
        <v>0</v>
      </c>
    </row>
    <row r="2761" spans="23:34">
      <c r="W2761" s="177">
        <f t="shared" si="128"/>
        <v>0</v>
      </c>
      <c r="AB2761" s="178">
        <f t="shared" si="129"/>
        <v>0</v>
      </c>
      <c r="AH2761" s="177">
        <f t="shared" si="127"/>
        <v>0</v>
      </c>
    </row>
    <row r="2762" spans="23:34">
      <c r="W2762" s="177">
        <f t="shared" si="128"/>
        <v>0</v>
      </c>
      <c r="AB2762" s="178">
        <f t="shared" si="129"/>
        <v>0</v>
      </c>
      <c r="AH2762" s="177">
        <f t="shared" si="127"/>
        <v>0</v>
      </c>
    </row>
    <row r="2763" spans="23:34">
      <c r="W2763" s="177">
        <f t="shared" si="128"/>
        <v>0</v>
      </c>
      <c r="AB2763" s="178">
        <f t="shared" si="129"/>
        <v>0</v>
      </c>
      <c r="AH2763" s="177">
        <f t="shared" si="127"/>
        <v>0</v>
      </c>
    </row>
    <row r="2764" spans="23:34">
      <c r="W2764" s="177">
        <f t="shared" si="128"/>
        <v>0</v>
      </c>
      <c r="AB2764" s="178">
        <f t="shared" si="129"/>
        <v>0</v>
      </c>
      <c r="AH2764" s="177">
        <f t="shared" si="127"/>
        <v>0</v>
      </c>
    </row>
    <row r="2765" spans="23:34">
      <c r="W2765" s="177">
        <f t="shared" si="128"/>
        <v>0</v>
      </c>
      <c r="AB2765" s="178">
        <f t="shared" si="129"/>
        <v>0</v>
      </c>
      <c r="AH2765" s="177">
        <f t="shared" si="127"/>
        <v>0</v>
      </c>
    </row>
    <row r="2766" spans="23:34">
      <c r="W2766" s="177">
        <f t="shared" si="128"/>
        <v>0</v>
      </c>
      <c r="AB2766" s="178">
        <f t="shared" si="129"/>
        <v>0</v>
      </c>
      <c r="AH2766" s="177">
        <f t="shared" si="127"/>
        <v>0</v>
      </c>
    </row>
    <row r="2767" spans="23:34">
      <c r="W2767" s="177">
        <f t="shared" si="128"/>
        <v>0</v>
      </c>
      <c r="AB2767" s="178">
        <f t="shared" si="129"/>
        <v>0</v>
      </c>
      <c r="AH2767" s="177">
        <f t="shared" si="127"/>
        <v>0</v>
      </c>
    </row>
    <row r="2768" spans="23:34">
      <c r="W2768" s="177">
        <f t="shared" si="128"/>
        <v>0</v>
      </c>
      <c r="AB2768" s="178">
        <f t="shared" si="129"/>
        <v>0</v>
      </c>
      <c r="AH2768" s="177">
        <f t="shared" si="127"/>
        <v>0</v>
      </c>
    </row>
    <row r="2769" spans="23:34">
      <c r="W2769" s="177">
        <f t="shared" si="128"/>
        <v>0</v>
      </c>
      <c r="AB2769" s="178">
        <f t="shared" si="129"/>
        <v>0</v>
      </c>
      <c r="AH2769" s="177">
        <f t="shared" si="127"/>
        <v>0</v>
      </c>
    </row>
    <row r="2770" spans="23:34">
      <c r="W2770" s="177">
        <f t="shared" si="128"/>
        <v>0</v>
      </c>
      <c r="AB2770" s="178">
        <f t="shared" si="129"/>
        <v>0</v>
      </c>
      <c r="AH2770" s="177">
        <f t="shared" si="127"/>
        <v>0</v>
      </c>
    </row>
    <row r="2771" spans="23:34">
      <c r="W2771" s="177">
        <f t="shared" si="128"/>
        <v>0</v>
      </c>
      <c r="AB2771" s="178">
        <f t="shared" si="129"/>
        <v>0</v>
      </c>
      <c r="AH2771" s="177">
        <f t="shared" si="127"/>
        <v>0</v>
      </c>
    </row>
    <row r="2772" spans="23:34">
      <c r="W2772" s="177">
        <f t="shared" si="128"/>
        <v>0</v>
      </c>
      <c r="AB2772" s="178">
        <f t="shared" si="129"/>
        <v>0</v>
      </c>
      <c r="AH2772" s="177">
        <f t="shared" si="127"/>
        <v>0</v>
      </c>
    </row>
    <row r="2773" spans="23:34">
      <c r="W2773" s="177">
        <f t="shared" si="128"/>
        <v>0</v>
      </c>
      <c r="AB2773" s="178">
        <f t="shared" si="129"/>
        <v>0</v>
      </c>
      <c r="AH2773" s="177">
        <f t="shared" si="127"/>
        <v>0</v>
      </c>
    </row>
    <row r="2774" spans="23:34">
      <c r="W2774" s="177">
        <f t="shared" si="128"/>
        <v>0</v>
      </c>
      <c r="AB2774" s="178">
        <f t="shared" si="129"/>
        <v>0</v>
      </c>
      <c r="AH2774" s="177">
        <f t="shared" si="127"/>
        <v>0</v>
      </c>
    </row>
    <row r="2775" spans="23:34">
      <c r="W2775" s="177">
        <f t="shared" si="128"/>
        <v>0</v>
      </c>
      <c r="AB2775" s="178">
        <f t="shared" si="129"/>
        <v>0</v>
      </c>
      <c r="AH2775" s="177">
        <f t="shared" si="127"/>
        <v>0</v>
      </c>
    </row>
    <row r="2776" spans="23:34">
      <c r="W2776" s="177">
        <f t="shared" si="128"/>
        <v>0</v>
      </c>
      <c r="AB2776" s="178">
        <f t="shared" si="129"/>
        <v>0</v>
      </c>
      <c r="AH2776" s="177">
        <f t="shared" si="127"/>
        <v>0</v>
      </c>
    </row>
    <row r="2777" spans="23:34">
      <c r="W2777" s="177">
        <f t="shared" si="128"/>
        <v>0</v>
      </c>
      <c r="AB2777" s="178">
        <f t="shared" si="129"/>
        <v>0</v>
      </c>
      <c r="AH2777" s="177">
        <f t="shared" si="127"/>
        <v>0</v>
      </c>
    </row>
    <row r="2778" spans="23:34">
      <c r="W2778" s="177">
        <f t="shared" si="128"/>
        <v>0</v>
      </c>
      <c r="AB2778" s="178">
        <f t="shared" si="129"/>
        <v>0</v>
      </c>
      <c r="AH2778" s="177">
        <f t="shared" si="127"/>
        <v>0</v>
      </c>
    </row>
    <row r="2779" spans="23:34">
      <c r="W2779" s="177">
        <f t="shared" si="128"/>
        <v>0</v>
      </c>
      <c r="AB2779" s="178">
        <f t="shared" si="129"/>
        <v>0</v>
      </c>
      <c r="AH2779" s="177">
        <f t="shared" si="127"/>
        <v>0</v>
      </c>
    </row>
    <row r="2780" spans="23:34">
      <c r="W2780" s="177">
        <f t="shared" si="128"/>
        <v>0</v>
      </c>
      <c r="AB2780" s="178">
        <f t="shared" si="129"/>
        <v>0</v>
      </c>
      <c r="AH2780" s="177">
        <f t="shared" si="127"/>
        <v>0</v>
      </c>
    </row>
    <row r="2781" spans="23:34">
      <c r="W2781" s="177">
        <f t="shared" si="128"/>
        <v>0</v>
      </c>
      <c r="AB2781" s="178">
        <f t="shared" si="129"/>
        <v>0</v>
      </c>
      <c r="AH2781" s="177">
        <f t="shared" si="127"/>
        <v>0</v>
      </c>
    </row>
    <row r="2782" spans="23:34">
      <c r="W2782" s="177">
        <f t="shared" si="128"/>
        <v>0</v>
      </c>
      <c r="AB2782" s="178">
        <f t="shared" si="129"/>
        <v>0</v>
      </c>
      <c r="AH2782" s="177">
        <f t="shared" si="127"/>
        <v>0</v>
      </c>
    </row>
    <row r="2783" spans="23:34">
      <c r="W2783" s="177">
        <f t="shared" si="128"/>
        <v>0</v>
      </c>
      <c r="AB2783" s="178">
        <f t="shared" si="129"/>
        <v>0</v>
      </c>
      <c r="AH2783" s="177">
        <f t="shared" si="127"/>
        <v>0</v>
      </c>
    </row>
    <row r="2784" spans="23:34">
      <c r="W2784" s="177">
        <f t="shared" si="128"/>
        <v>0</v>
      </c>
      <c r="AB2784" s="178">
        <f t="shared" si="129"/>
        <v>0</v>
      </c>
      <c r="AH2784" s="177">
        <f t="shared" si="127"/>
        <v>0</v>
      </c>
    </row>
    <row r="2785" spans="23:34">
      <c r="W2785" s="177">
        <f t="shared" si="128"/>
        <v>0</v>
      </c>
      <c r="AB2785" s="178">
        <f t="shared" si="129"/>
        <v>0</v>
      </c>
      <c r="AH2785" s="177">
        <f t="shared" si="127"/>
        <v>0</v>
      </c>
    </row>
    <row r="2786" spans="23:34">
      <c r="W2786" s="177">
        <f t="shared" si="128"/>
        <v>0</v>
      </c>
      <c r="AB2786" s="178">
        <f t="shared" si="129"/>
        <v>0</v>
      </c>
      <c r="AH2786" s="177">
        <f t="shared" si="127"/>
        <v>0</v>
      </c>
    </row>
    <row r="2787" spans="23:34">
      <c r="W2787" s="177">
        <f t="shared" si="128"/>
        <v>0</v>
      </c>
      <c r="AB2787" s="178">
        <f t="shared" si="129"/>
        <v>0</v>
      </c>
      <c r="AH2787" s="177">
        <f t="shared" si="127"/>
        <v>0</v>
      </c>
    </row>
    <row r="2788" spans="23:34">
      <c r="W2788" s="177">
        <f t="shared" si="128"/>
        <v>0</v>
      </c>
      <c r="AB2788" s="178">
        <f t="shared" si="129"/>
        <v>0</v>
      </c>
      <c r="AH2788" s="177">
        <f t="shared" si="127"/>
        <v>0</v>
      </c>
    </row>
    <row r="2789" spans="23:34">
      <c r="W2789" s="177">
        <f t="shared" si="128"/>
        <v>0</v>
      </c>
      <c r="AB2789" s="178">
        <f t="shared" si="129"/>
        <v>0</v>
      </c>
      <c r="AH2789" s="177">
        <f t="shared" si="127"/>
        <v>0</v>
      </c>
    </row>
    <row r="2790" spans="23:34">
      <c r="W2790" s="177">
        <f t="shared" si="128"/>
        <v>0</v>
      </c>
      <c r="AB2790" s="178">
        <f t="shared" si="129"/>
        <v>0</v>
      </c>
      <c r="AH2790" s="177">
        <f t="shared" si="127"/>
        <v>0</v>
      </c>
    </row>
    <row r="2791" spans="23:34">
      <c r="W2791" s="177">
        <f t="shared" si="128"/>
        <v>0</v>
      </c>
      <c r="AB2791" s="178">
        <f t="shared" si="129"/>
        <v>0</v>
      </c>
      <c r="AH2791" s="177">
        <f t="shared" si="127"/>
        <v>0</v>
      </c>
    </row>
    <row r="2792" spans="23:34">
      <c r="W2792" s="177">
        <f t="shared" si="128"/>
        <v>0</v>
      </c>
      <c r="AB2792" s="178">
        <f t="shared" si="129"/>
        <v>0</v>
      </c>
      <c r="AH2792" s="177">
        <f t="shared" si="127"/>
        <v>0</v>
      </c>
    </row>
    <row r="2793" spans="23:34">
      <c r="W2793" s="177">
        <f t="shared" si="128"/>
        <v>0</v>
      </c>
      <c r="AB2793" s="178">
        <f t="shared" si="129"/>
        <v>0</v>
      </c>
      <c r="AH2793" s="177">
        <f t="shared" si="127"/>
        <v>0</v>
      </c>
    </row>
    <row r="2794" spans="23:34">
      <c r="W2794" s="177">
        <f t="shared" si="128"/>
        <v>0</v>
      </c>
      <c r="AB2794" s="178">
        <f t="shared" si="129"/>
        <v>0</v>
      </c>
      <c r="AH2794" s="177">
        <f t="shared" si="127"/>
        <v>0</v>
      </c>
    </row>
    <row r="2795" spans="23:34">
      <c r="W2795" s="177">
        <f t="shared" si="128"/>
        <v>0</v>
      </c>
      <c r="AB2795" s="178">
        <f t="shared" si="129"/>
        <v>0</v>
      </c>
      <c r="AH2795" s="177">
        <f t="shared" si="127"/>
        <v>0</v>
      </c>
    </row>
    <row r="2796" spans="23:34">
      <c r="W2796" s="177">
        <f t="shared" si="128"/>
        <v>0</v>
      </c>
      <c r="AB2796" s="178">
        <f t="shared" si="129"/>
        <v>0</v>
      </c>
      <c r="AH2796" s="177">
        <f t="shared" si="127"/>
        <v>0</v>
      </c>
    </row>
    <row r="2797" spans="23:34">
      <c r="W2797" s="177">
        <f t="shared" si="128"/>
        <v>0</v>
      </c>
      <c r="AB2797" s="178">
        <f t="shared" si="129"/>
        <v>0</v>
      </c>
      <c r="AH2797" s="177">
        <f t="shared" si="127"/>
        <v>0</v>
      </c>
    </row>
    <row r="2798" spans="23:34">
      <c r="W2798" s="177">
        <f t="shared" si="128"/>
        <v>0</v>
      </c>
      <c r="AB2798" s="178">
        <f t="shared" si="129"/>
        <v>0</v>
      </c>
      <c r="AH2798" s="177">
        <f t="shared" si="127"/>
        <v>0</v>
      </c>
    </row>
    <row r="2799" spans="23:34">
      <c r="W2799" s="177">
        <f t="shared" si="128"/>
        <v>0</v>
      </c>
      <c r="AB2799" s="178">
        <f t="shared" si="129"/>
        <v>0</v>
      </c>
      <c r="AH2799" s="177">
        <f t="shared" si="127"/>
        <v>0</v>
      </c>
    </row>
    <row r="2800" spans="23:34">
      <c r="W2800" s="177">
        <f t="shared" si="128"/>
        <v>0</v>
      </c>
      <c r="AB2800" s="178">
        <f t="shared" si="129"/>
        <v>0</v>
      </c>
      <c r="AH2800" s="177">
        <f t="shared" ref="AH2800:AH2863" si="130">SUM(AF2800:AG2800)</f>
        <v>0</v>
      </c>
    </row>
    <row r="2801" spans="23:34">
      <c r="W2801" s="177">
        <f t="shared" si="128"/>
        <v>0</v>
      </c>
      <c r="AB2801" s="178">
        <f t="shared" si="129"/>
        <v>0</v>
      </c>
      <c r="AH2801" s="177">
        <f t="shared" si="130"/>
        <v>0</v>
      </c>
    </row>
    <row r="2802" spans="23:34">
      <c r="W2802" s="177">
        <f t="shared" si="128"/>
        <v>0</v>
      </c>
      <c r="AB2802" s="178">
        <f t="shared" si="129"/>
        <v>0</v>
      </c>
      <c r="AH2802" s="177">
        <f t="shared" si="130"/>
        <v>0</v>
      </c>
    </row>
    <row r="2803" spans="23:34">
      <c r="W2803" s="177">
        <f t="shared" ref="W2803:W2866" si="131">SUM(Q2803:T2803)</f>
        <v>0</v>
      </c>
      <c r="AB2803" s="178">
        <f t="shared" si="129"/>
        <v>0</v>
      </c>
      <c r="AH2803" s="177">
        <f t="shared" si="130"/>
        <v>0</v>
      </c>
    </row>
    <row r="2804" spans="23:34">
      <c r="W2804" s="177">
        <f t="shared" si="131"/>
        <v>0</v>
      </c>
      <c r="AB2804" s="178">
        <f t="shared" si="129"/>
        <v>0</v>
      </c>
      <c r="AH2804" s="177">
        <f t="shared" si="130"/>
        <v>0</v>
      </c>
    </row>
    <row r="2805" spans="23:34">
      <c r="W2805" s="177">
        <f t="shared" si="131"/>
        <v>0</v>
      </c>
      <c r="AB2805" s="178">
        <f t="shared" si="129"/>
        <v>0</v>
      </c>
      <c r="AH2805" s="177">
        <f t="shared" si="130"/>
        <v>0</v>
      </c>
    </row>
    <row r="2806" spans="23:34">
      <c r="W2806" s="177">
        <f t="shared" si="131"/>
        <v>0</v>
      </c>
      <c r="AB2806" s="178">
        <f t="shared" si="129"/>
        <v>0</v>
      </c>
      <c r="AH2806" s="177">
        <f t="shared" si="130"/>
        <v>0</v>
      </c>
    </row>
    <row r="2807" spans="23:34">
      <c r="W2807" s="177">
        <f t="shared" si="131"/>
        <v>0</v>
      </c>
      <c r="AB2807" s="178">
        <f t="shared" si="129"/>
        <v>0</v>
      </c>
      <c r="AH2807" s="177">
        <f t="shared" si="130"/>
        <v>0</v>
      </c>
    </row>
    <row r="2808" spans="23:34">
      <c r="W2808" s="177">
        <f t="shared" si="131"/>
        <v>0</v>
      </c>
      <c r="AB2808" s="178">
        <f t="shared" si="129"/>
        <v>0</v>
      </c>
      <c r="AH2808" s="177">
        <f t="shared" si="130"/>
        <v>0</v>
      </c>
    </row>
    <row r="2809" spans="23:34">
      <c r="W2809" s="177">
        <f t="shared" si="131"/>
        <v>0</v>
      </c>
      <c r="AB2809" s="178">
        <f t="shared" si="129"/>
        <v>0</v>
      </c>
      <c r="AH2809" s="177">
        <f t="shared" si="130"/>
        <v>0</v>
      </c>
    </row>
    <row r="2810" spans="23:34">
      <c r="W2810" s="177">
        <f t="shared" si="131"/>
        <v>0</v>
      </c>
      <c r="AB2810" s="178">
        <f t="shared" si="129"/>
        <v>0</v>
      </c>
      <c r="AH2810" s="177">
        <f t="shared" si="130"/>
        <v>0</v>
      </c>
    </row>
    <row r="2811" spans="23:34">
      <c r="W2811" s="177">
        <f t="shared" si="131"/>
        <v>0</v>
      </c>
      <c r="AB2811" s="178">
        <f t="shared" ref="AB2811:AB2874" si="132">SUM(Z2811:AA2811)</f>
        <v>0</v>
      </c>
      <c r="AH2811" s="177">
        <f t="shared" si="130"/>
        <v>0</v>
      </c>
    </row>
    <row r="2812" spans="23:34">
      <c r="W2812" s="177">
        <f t="shared" si="131"/>
        <v>0</v>
      </c>
      <c r="AB2812" s="178">
        <f t="shared" si="132"/>
        <v>0</v>
      </c>
      <c r="AH2812" s="177">
        <f t="shared" si="130"/>
        <v>0</v>
      </c>
    </row>
    <row r="2813" spans="23:34">
      <c r="W2813" s="177">
        <f t="shared" si="131"/>
        <v>0</v>
      </c>
      <c r="AB2813" s="178">
        <f t="shared" si="132"/>
        <v>0</v>
      </c>
      <c r="AH2813" s="177">
        <f t="shared" si="130"/>
        <v>0</v>
      </c>
    </row>
    <row r="2814" spans="23:34">
      <c r="W2814" s="177">
        <f t="shared" si="131"/>
        <v>0</v>
      </c>
      <c r="AB2814" s="178">
        <f t="shared" si="132"/>
        <v>0</v>
      </c>
      <c r="AH2814" s="177">
        <f t="shared" si="130"/>
        <v>0</v>
      </c>
    </row>
    <row r="2815" spans="23:34">
      <c r="W2815" s="177">
        <f t="shared" si="131"/>
        <v>0</v>
      </c>
      <c r="AB2815" s="178">
        <f t="shared" si="132"/>
        <v>0</v>
      </c>
      <c r="AH2815" s="177">
        <f t="shared" si="130"/>
        <v>0</v>
      </c>
    </row>
    <row r="2816" spans="23:34">
      <c r="W2816" s="177">
        <f t="shared" si="131"/>
        <v>0</v>
      </c>
      <c r="AB2816" s="178">
        <f t="shared" si="132"/>
        <v>0</v>
      </c>
      <c r="AH2816" s="177">
        <f t="shared" si="130"/>
        <v>0</v>
      </c>
    </row>
    <row r="2817" spans="23:34">
      <c r="W2817" s="177">
        <f t="shared" si="131"/>
        <v>0</v>
      </c>
      <c r="AB2817" s="178">
        <f t="shared" si="132"/>
        <v>0</v>
      </c>
      <c r="AH2817" s="177">
        <f t="shared" si="130"/>
        <v>0</v>
      </c>
    </row>
    <row r="2818" spans="23:34">
      <c r="W2818" s="177">
        <f t="shared" si="131"/>
        <v>0</v>
      </c>
      <c r="AB2818" s="178">
        <f t="shared" si="132"/>
        <v>0</v>
      </c>
      <c r="AH2818" s="177">
        <f t="shared" si="130"/>
        <v>0</v>
      </c>
    </row>
    <row r="2819" spans="23:34">
      <c r="W2819" s="177">
        <f t="shared" si="131"/>
        <v>0</v>
      </c>
      <c r="AB2819" s="178">
        <f t="shared" si="132"/>
        <v>0</v>
      </c>
      <c r="AH2819" s="177">
        <f t="shared" si="130"/>
        <v>0</v>
      </c>
    </row>
    <row r="2820" spans="23:34">
      <c r="W2820" s="177">
        <f t="shared" si="131"/>
        <v>0</v>
      </c>
      <c r="AB2820" s="178">
        <f t="shared" si="132"/>
        <v>0</v>
      </c>
      <c r="AH2820" s="177">
        <f t="shared" si="130"/>
        <v>0</v>
      </c>
    </row>
    <row r="2821" spans="23:34">
      <c r="W2821" s="177">
        <f t="shared" si="131"/>
        <v>0</v>
      </c>
      <c r="AB2821" s="178">
        <f t="shared" si="132"/>
        <v>0</v>
      </c>
      <c r="AH2821" s="177">
        <f t="shared" si="130"/>
        <v>0</v>
      </c>
    </row>
    <row r="2822" spans="23:34">
      <c r="W2822" s="177">
        <f t="shared" si="131"/>
        <v>0</v>
      </c>
      <c r="AB2822" s="178">
        <f t="shared" si="132"/>
        <v>0</v>
      </c>
      <c r="AH2822" s="177">
        <f t="shared" si="130"/>
        <v>0</v>
      </c>
    </row>
    <row r="2823" spans="23:34">
      <c r="W2823" s="177">
        <f t="shared" si="131"/>
        <v>0</v>
      </c>
      <c r="AB2823" s="178">
        <f t="shared" si="132"/>
        <v>0</v>
      </c>
      <c r="AH2823" s="177">
        <f t="shared" si="130"/>
        <v>0</v>
      </c>
    </row>
    <row r="2824" spans="23:34">
      <c r="W2824" s="177">
        <f t="shared" si="131"/>
        <v>0</v>
      </c>
      <c r="AB2824" s="178">
        <f t="shared" si="132"/>
        <v>0</v>
      </c>
      <c r="AH2824" s="177">
        <f t="shared" si="130"/>
        <v>0</v>
      </c>
    </row>
    <row r="2825" spans="23:34">
      <c r="W2825" s="177">
        <f t="shared" si="131"/>
        <v>0</v>
      </c>
      <c r="AB2825" s="178">
        <f t="shared" si="132"/>
        <v>0</v>
      </c>
      <c r="AH2825" s="177">
        <f t="shared" si="130"/>
        <v>0</v>
      </c>
    </row>
    <row r="2826" spans="23:34">
      <c r="W2826" s="177">
        <f t="shared" si="131"/>
        <v>0</v>
      </c>
      <c r="AB2826" s="178">
        <f t="shared" si="132"/>
        <v>0</v>
      </c>
      <c r="AH2826" s="177">
        <f t="shared" si="130"/>
        <v>0</v>
      </c>
    </row>
    <row r="2827" spans="23:34">
      <c r="W2827" s="177">
        <f t="shared" si="131"/>
        <v>0</v>
      </c>
      <c r="AB2827" s="178">
        <f t="shared" si="132"/>
        <v>0</v>
      </c>
      <c r="AH2827" s="177">
        <f t="shared" si="130"/>
        <v>0</v>
      </c>
    </row>
    <row r="2828" spans="23:34">
      <c r="W2828" s="177">
        <f t="shared" si="131"/>
        <v>0</v>
      </c>
      <c r="AB2828" s="178">
        <f t="shared" si="132"/>
        <v>0</v>
      </c>
      <c r="AH2828" s="177">
        <f t="shared" si="130"/>
        <v>0</v>
      </c>
    </row>
    <row r="2829" spans="23:34">
      <c r="W2829" s="177">
        <f t="shared" si="131"/>
        <v>0</v>
      </c>
      <c r="AB2829" s="178">
        <f t="shared" si="132"/>
        <v>0</v>
      </c>
      <c r="AH2829" s="177">
        <f t="shared" si="130"/>
        <v>0</v>
      </c>
    </row>
    <row r="2830" spans="23:34">
      <c r="W2830" s="177">
        <f t="shared" si="131"/>
        <v>0</v>
      </c>
      <c r="AB2830" s="178">
        <f t="shared" si="132"/>
        <v>0</v>
      </c>
      <c r="AH2830" s="177">
        <f t="shared" si="130"/>
        <v>0</v>
      </c>
    </row>
    <row r="2831" spans="23:34">
      <c r="W2831" s="177">
        <f t="shared" si="131"/>
        <v>0</v>
      </c>
      <c r="AB2831" s="178">
        <f t="shared" si="132"/>
        <v>0</v>
      </c>
      <c r="AH2831" s="177">
        <f t="shared" si="130"/>
        <v>0</v>
      </c>
    </row>
    <row r="2832" spans="23:34">
      <c r="W2832" s="177">
        <f t="shared" si="131"/>
        <v>0</v>
      </c>
      <c r="AB2832" s="178">
        <f t="shared" si="132"/>
        <v>0</v>
      </c>
      <c r="AH2832" s="177">
        <f t="shared" si="130"/>
        <v>0</v>
      </c>
    </row>
    <row r="2833" spans="23:34">
      <c r="W2833" s="177">
        <f t="shared" si="131"/>
        <v>0</v>
      </c>
      <c r="AB2833" s="178">
        <f t="shared" si="132"/>
        <v>0</v>
      </c>
      <c r="AH2833" s="177">
        <f t="shared" si="130"/>
        <v>0</v>
      </c>
    </row>
    <row r="2834" spans="23:34">
      <c r="W2834" s="177">
        <f t="shared" si="131"/>
        <v>0</v>
      </c>
      <c r="AB2834" s="178">
        <f t="shared" si="132"/>
        <v>0</v>
      </c>
      <c r="AH2834" s="177">
        <f t="shared" si="130"/>
        <v>0</v>
      </c>
    </row>
    <row r="2835" spans="23:34">
      <c r="W2835" s="177">
        <f t="shared" si="131"/>
        <v>0</v>
      </c>
      <c r="AB2835" s="178">
        <f t="shared" si="132"/>
        <v>0</v>
      </c>
      <c r="AH2835" s="177">
        <f t="shared" si="130"/>
        <v>0</v>
      </c>
    </row>
    <row r="2836" spans="23:34">
      <c r="W2836" s="177">
        <f t="shared" si="131"/>
        <v>0</v>
      </c>
      <c r="AB2836" s="178">
        <f t="shared" si="132"/>
        <v>0</v>
      </c>
      <c r="AH2836" s="177">
        <f t="shared" si="130"/>
        <v>0</v>
      </c>
    </row>
    <row r="2837" spans="23:34">
      <c r="W2837" s="177">
        <f t="shared" si="131"/>
        <v>0</v>
      </c>
      <c r="AB2837" s="178">
        <f t="shared" si="132"/>
        <v>0</v>
      </c>
      <c r="AH2837" s="177">
        <f t="shared" si="130"/>
        <v>0</v>
      </c>
    </row>
    <row r="2838" spans="23:34">
      <c r="W2838" s="177">
        <f t="shared" si="131"/>
        <v>0</v>
      </c>
      <c r="AB2838" s="178">
        <f t="shared" si="132"/>
        <v>0</v>
      </c>
      <c r="AH2838" s="177">
        <f t="shared" si="130"/>
        <v>0</v>
      </c>
    </row>
    <row r="2839" spans="23:34">
      <c r="W2839" s="177">
        <f t="shared" si="131"/>
        <v>0</v>
      </c>
      <c r="AB2839" s="178">
        <f t="shared" si="132"/>
        <v>0</v>
      </c>
      <c r="AH2839" s="177">
        <f t="shared" si="130"/>
        <v>0</v>
      </c>
    </row>
    <row r="2840" spans="23:34">
      <c r="W2840" s="177">
        <f t="shared" si="131"/>
        <v>0</v>
      </c>
      <c r="AB2840" s="178">
        <f t="shared" si="132"/>
        <v>0</v>
      </c>
      <c r="AH2840" s="177">
        <f t="shared" si="130"/>
        <v>0</v>
      </c>
    </row>
    <row r="2841" spans="23:34">
      <c r="W2841" s="177">
        <f t="shared" si="131"/>
        <v>0</v>
      </c>
      <c r="AB2841" s="178">
        <f t="shared" si="132"/>
        <v>0</v>
      </c>
      <c r="AH2841" s="177">
        <f t="shared" si="130"/>
        <v>0</v>
      </c>
    </row>
    <row r="2842" spans="23:34">
      <c r="W2842" s="177">
        <f t="shared" si="131"/>
        <v>0</v>
      </c>
      <c r="AB2842" s="178">
        <f t="shared" si="132"/>
        <v>0</v>
      </c>
      <c r="AH2842" s="177">
        <f t="shared" si="130"/>
        <v>0</v>
      </c>
    </row>
    <row r="2843" spans="23:34">
      <c r="W2843" s="177">
        <f t="shared" si="131"/>
        <v>0</v>
      </c>
      <c r="AB2843" s="178">
        <f t="shared" si="132"/>
        <v>0</v>
      </c>
      <c r="AH2843" s="177">
        <f t="shared" si="130"/>
        <v>0</v>
      </c>
    </row>
    <row r="2844" spans="23:34">
      <c r="W2844" s="177">
        <f t="shared" si="131"/>
        <v>0</v>
      </c>
      <c r="AB2844" s="178">
        <f t="shared" si="132"/>
        <v>0</v>
      </c>
      <c r="AH2844" s="177">
        <f t="shared" si="130"/>
        <v>0</v>
      </c>
    </row>
    <row r="2845" spans="23:34">
      <c r="W2845" s="177">
        <f t="shared" si="131"/>
        <v>0</v>
      </c>
      <c r="AB2845" s="178">
        <f t="shared" si="132"/>
        <v>0</v>
      </c>
      <c r="AH2845" s="177">
        <f t="shared" si="130"/>
        <v>0</v>
      </c>
    </row>
    <row r="2846" spans="23:34">
      <c r="W2846" s="177">
        <f t="shared" si="131"/>
        <v>0</v>
      </c>
      <c r="AB2846" s="178">
        <f t="shared" si="132"/>
        <v>0</v>
      </c>
      <c r="AH2846" s="177">
        <f t="shared" si="130"/>
        <v>0</v>
      </c>
    </row>
    <row r="2847" spans="23:34">
      <c r="W2847" s="177">
        <f t="shared" si="131"/>
        <v>0</v>
      </c>
      <c r="AB2847" s="178">
        <f t="shared" si="132"/>
        <v>0</v>
      </c>
      <c r="AH2847" s="177">
        <f t="shared" si="130"/>
        <v>0</v>
      </c>
    </row>
    <row r="2848" spans="23:34">
      <c r="W2848" s="177">
        <f t="shared" si="131"/>
        <v>0</v>
      </c>
      <c r="AB2848" s="178">
        <f t="shared" si="132"/>
        <v>0</v>
      </c>
      <c r="AH2848" s="177">
        <f t="shared" si="130"/>
        <v>0</v>
      </c>
    </row>
    <row r="2849" spans="23:34">
      <c r="W2849" s="177">
        <f t="shared" si="131"/>
        <v>0</v>
      </c>
      <c r="AB2849" s="178">
        <f t="shared" si="132"/>
        <v>0</v>
      </c>
      <c r="AH2849" s="177">
        <f t="shared" si="130"/>
        <v>0</v>
      </c>
    </row>
    <row r="2850" spans="23:34">
      <c r="W2850" s="177">
        <f t="shared" si="131"/>
        <v>0</v>
      </c>
      <c r="AB2850" s="178">
        <f t="shared" si="132"/>
        <v>0</v>
      </c>
      <c r="AH2850" s="177">
        <f t="shared" si="130"/>
        <v>0</v>
      </c>
    </row>
    <row r="2851" spans="23:34">
      <c r="W2851" s="177">
        <f t="shared" si="131"/>
        <v>0</v>
      </c>
      <c r="AB2851" s="178">
        <f t="shared" si="132"/>
        <v>0</v>
      </c>
      <c r="AH2851" s="177">
        <f t="shared" si="130"/>
        <v>0</v>
      </c>
    </row>
    <row r="2852" spans="23:34">
      <c r="W2852" s="177">
        <f t="shared" si="131"/>
        <v>0</v>
      </c>
      <c r="AB2852" s="178">
        <f t="shared" si="132"/>
        <v>0</v>
      </c>
      <c r="AH2852" s="177">
        <f t="shared" si="130"/>
        <v>0</v>
      </c>
    </row>
    <row r="2853" spans="23:34">
      <c r="W2853" s="177">
        <f t="shared" si="131"/>
        <v>0</v>
      </c>
      <c r="AB2853" s="178">
        <f t="shared" si="132"/>
        <v>0</v>
      </c>
      <c r="AH2853" s="177">
        <f t="shared" si="130"/>
        <v>0</v>
      </c>
    </row>
    <row r="2854" spans="23:34">
      <c r="W2854" s="177">
        <f t="shared" si="131"/>
        <v>0</v>
      </c>
      <c r="AB2854" s="178">
        <f t="shared" si="132"/>
        <v>0</v>
      </c>
      <c r="AH2854" s="177">
        <f t="shared" si="130"/>
        <v>0</v>
      </c>
    </row>
    <row r="2855" spans="23:34">
      <c r="W2855" s="177">
        <f t="shared" si="131"/>
        <v>0</v>
      </c>
      <c r="AB2855" s="178">
        <f t="shared" si="132"/>
        <v>0</v>
      </c>
      <c r="AH2855" s="177">
        <f t="shared" si="130"/>
        <v>0</v>
      </c>
    </row>
    <row r="2856" spans="23:34">
      <c r="W2856" s="177">
        <f t="shared" si="131"/>
        <v>0</v>
      </c>
      <c r="AB2856" s="178">
        <f t="shared" si="132"/>
        <v>0</v>
      </c>
      <c r="AH2856" s="177">
        <f t="shared" si="130"/>
        <v>0</v>
      </c>
    </row>
    <row r="2857" spans="23:34">
      <c r="W2857" s="177">
        <f t="shared" si="131"/>
        <v>0</v>
      </c>
      <c r="AB2857" s="178">
        <f t="shared" si="132"/>
        <v>0</v>
      </c>
      <c r="AH2857" s="177">
        <f t="shared" si="130"/>
        <v>0</v>
      </c>
    </row>
    <row r="2858" spans="23:34">
      <c r="W2858" s="177">
        <f t="shared" si="131"/>
        <v>0</v>
      </c>
      <c r="AB2858" s="178">
        <f t="shared" si="132"/>
        <v>0</v>
      </c>
      <c r="AH2858" s="177">
        <f t="shared" si="130"/>
        <v>0</v>
      </c>
    </row>
    <row r="2859" spans="23:34">
      <c r="W2859" s="177">
        <f t="shared" si="131"/>
        <v>0</v>
      </c>
      <c r="AB2859" s="178">
        <f t="shared" si="132"/>
        <v>0</v>
      </c>
      <c r="AH2859" s="177">
        <f t="shared" si="130"/>
        <v>0</v>
      </c>
    </row>
    <row r="2860" spans="23:34">
      <c r="W2860" s="177">
        <f t="shared" si="131"/>
        <v>0</v>
      </c>
      <c r="AB2860" s="178">
        <f t="shared" si="132"/>
        <v>0</v>
      </c>
      <c r="AH2860" s="177">
        <f t="shared" si="130"/>
        <v>0</v>
      </c>
    </row>
    <row r="2861" spans="23:34">
      <c r="W2861" s="177">
        <f t="shared" si="131"/>
        <v>0</v>
      </c>
      <c r="AB2861" s="178">
        <f t="shared" si="132"/>
        <v>0</v>
      </c>
      <c r="AH2861" s="177">
        <f t="shared" si="130"/>
        <v>0</v>
      </c>
    </row>
    <row r="2862" spans="23:34">
      <c r="W2862" s="177">
        <f t="shared" si="131"/>
        <v>0</v>
      </c>
      <c r="AB2862" s="178">
        <f t="shared" si="132"/>
        <v>0</v>
      </c>
      <c r="AH2862" s="177">
        <f t="shared" si="130"/>
        <v>0</v>
      </c>
    </row>
    <row r="2863" spans="23:34">
      <c r="W2863" s="177">
        <f t="shared" si="131"/>
        <v>0</v>
      </c>
      <c r="AB2863" s="178">
        <f t="shared" si="132"/>
        <v>0</v>
      </c>
      <c r="AH2863" s="177">
        <f t="shared" si="130"/>
        <v>0</v>
      </c>
    </row>
    <row r="2864" spans="23:34">
      <c r="W2864" s="177">
        <f t="shared" si="131"/>
        <v>0</v>
      </c>
      <c r="AB2864" s="178">
        <f t="shared" si="132"/>
        <v>0</v>
      </c>
      <c r="AH2864" s="177">
        <f t="shared" ref="AH2864:AH2927" si="133">SUM(AF2864:AG2864)</f>
        <v>0</v>
      </c>
    </row>
    <row r="2865" spans="23:34">
      <c r="W2865" s="177">
        <f t="shared" si="131"/>
        <v>0</v>
      </c>
      <c r="AB2865" s="178">
        <f t="shared" si="132"/>
        <v>0</v>
      </c>
      <c r="AH2865" s="177">
        <f t="shared" si="133"/>
        <v>0</v>
      </c>
    </row>
    <row r="2866" spans="23:34">
      <c r="W2866" s="177">
        <f t="shared" si="131"/>
        <v>0</v>
      </c>
      <c r="AB2866" s="178">
        <f t="shared" si="132"/>
        <v>0</v>
      </c>
      <c r="AH2866" s="177">
        <f t="shared" si="133"/>
        <v>0</v>
      </c>
    </row>
    <row r="2867" spans="23:34">
      <c r="W2867" s="177">
        <f t="shared" ref="W2867:W2930" si="134">SUM(Q2867:T2867)</f>
        <v>0</v>
      </c>
      <c r="AB2867" s="178">
        <f t="shared" si="132"/>
        <v>0</v>
      </c>
      <c r="AH2867" s="177">
        <f t="shared" si="133"/>
        <v>0</v>
      </c>
    </row>
    <row r="2868" spans="23:34">
      <c r="W2868" s="177">
        <f t="shared" si="134"/>
        <v>0</v>
      </c>
      <c r="AB2868" s="178">
        <f t="shared" si="132"/>
        <v>0</v>
      </c>
      <c r="AH2868" s="177">
        <f t="shared" si="133"/>
        <v>0</v>
      </c>
    </row>
    <row r="2869" spans="23:34">
      <c r="W2869" s="177">
        <f t="shared" si="134"/>
        <v>0</v>
      </c>
      <c r="AB2869" s="178">
        <f t="shared" si="132"/>
        <v>0</v>
      </c>
      <c r="AH2869" s="177">
        <f t="shared" si="133"/>
        <v>0</v>
      </c>
    </row>
    <row r="2870" spans="23:34">
      <c r="W2870" s="177">
        <f t="shared" si="134"/>
        <v>0</v>
      </c>
      <c r="AB2870" s="178">
        <f t="shared" si="132"/>
        <v>0</v>
      </c>
      <c r="AH2870" s="177">
        <f t="shared" si="133"/>
        <v>0</v>
      </c>
    </row>
    <row r="2871" spans="23:34">
      <c r="W2871" s="177">
        <f t="shared" si="134"/>
        <v>0</v>
      </c>
      <c r="AB2871" s="178">
        <f t="shared" si="132"/>
        <v>0</v>
      </c>
      <c r="AH2871" s="177">
        <f t="shared" si="133"/>
        <v>0</v>
      </c>
    </row>
    <row r="2872" spans="23:34">
      <c r="W2872" s="177">
        <f t="shared" si="134"/>
        <v>0</v>
      </c>
      <c r="AB2872" s="178">
        <f t="shared" si="132"/>
        <v>0</v>
      </c>
      <c r="AH2872" s="177">
        <f t="shared" si="133"/>
        <v>0</v>
      </c>
    </row>
    <row r="2873" spans="23:34">
      <c r="W2873" s="177">
        <f t="shared" si="134"/>
        <v>0</v>
      </c>
      <c r="AB2873" s="178">
        <f t="shared" si="132"/>
        <v>0</v>
      </c>
      <c r="AH2873" s="177">
        <f t="shared" si="133"/>
        <v>0</v>
      </c>
    </row>
    <row r="2874" spans="23:34">
      <c r="W2874" s="177">
        <f t="shared" si="134"/>
        <v>0</v>
      </c>
      <c r="AB2874" s="178">
        <f t="shared" si="132"/>
        <v>0</v>
      </c>
      <c r="AH2874" s="177">
        <f t="shared" si="133"/>
        <v>0</v>
      </c>
    </row>
    <row r="2875" spans="23:34">
      <c r="W2875" s="177">
        <f t="shared" si="134"/>
        <v>0</v>
      </c>
      <c r="AB2875" s="178">
        <f t="shared" ref="AB2875:AB2938" si="135">SUM(Z2875:AA2875)</f>
        <v>0</v>
      </c>
      <c r="AH2875" s="177">
        <f t="shared" si="133"/>
        <v>0</v>
      </c>
    </row>
    <row r="2876" spans="23:34">
      <c r="W2876" s="177">
        <f t="shared" si="134"/>
        <v>0</v>
      </c>
      <c r="AB2876" s="178">
        <f t="shared" si="135"/>
        <v>0</v>
      </c>
      <c r="AH2876" s="177">
        <f t="shared" si="133"/>
        <v>0</v>
      </c>
    </row>
    <row r="2877" spans="23:34">
      <c r="W2877" s="177">
        <f t="shared" si="134"/>
        <v>0</v>
      </c>
      <c r="AB2877" s="178">
        <f t="shared" si="135"/>
        <v>0</v>
      </c>
      <c r="AH2877" s="177">
        <f t="shared" si="133"/>
        <v>0</v>
      </c>
    </row>
    <row r="2878" spans="23:34">
      <c r="W2878" s="177">
        <f t="shared" si="134"/>
        <v>0</v>
      </c>
      <c r="AB2878" s="178">
        <f t="shared" si="135"/>
        <v>0</v>
      </c>
      <c r="AH2878" s="177">
        <f t="shared" si="133"/>
        <v>0</v>
      </c>
    </row>
    <row r="2879" spans="23:34">
      <c r="W2879" s="177">
        <f t="shared" si="134"/>
        <v>0</v>
      </c>
      <c r="AB2879" s="178">
        <f t="shared" si="135"/>
        <v>0</v>
      </c>
      <c r="AH2879" s="177">
        <f t="shared" si="133"/>
        <v>0</v>
      </c>
    </row>
    <row r="2880" spans="23:34">
      <c r="W2880" s="177">
        <f t="shared" si="134"/>
        <v>0</v>
      </c>
      <c r="AB2880" s="178">
        <f t="shared" si="135"/>
        <v>0</v>
      </c>
      <c r="AH2880" s="177">
        <f t="shared" si="133"/>
        <v>0</v>
      </c>
    </row>
    <row r="2881" spans="23:34">
      <c r="W2881" s="177">
        <f t="shared" si="134"/>
        <v>0</v>
      </c>
      <c r="AB2881" s="178">
        <f t="shared" si="135"/>
        <v>0</v>
      </c>
      <c r="AH2881" s="177">
        <f t="shared" si="133"/>
        <v>0</v>
      </c>
    </row>
    <row r="2882" spans="23:34">
      <c r="W2882" s="177">
        <f t="shared" si="134"/>
        <v>0</v>
      </c>
      <c r="AB2882" s="178">
        <f t="shared" si="135"/>
        <v>0</v>
      </c>
      <c r="AH2882" s="177">
        <f t="shared" si="133"/>
        <v>0</v>
      </c>
    </row>
    <row r="2883" spans="23:34">
      <c r="W2883" s="177">
        <f t="shared" si="134"/>
        <v>0</v>
      </c>
      <c r="AB2883" s="178">
        <f t="shared" si="135"/>
        <v>0</v>
      </c>
      <c r="AH2883" s="177">
        <f t="shared" si="133"/>
        <v>0</v>
      </c>
    </row>
    <row r="2884" spans="23:34">
      <c r="W2884" s="177">
        <f t="shared" si="134"/>
        <v>0</v>
      </c>
      <c r="AB2884" s="178">
        <f t="shared" si="135"/>
        <v>0</v>
      </c>
      <c r="AH2884" s="177">
        <f t="shared" si="133"/>
        <v>0</v>
      </c>
    </row>
    <row r="2885" spans="23:34">
      <c r="W2885" s="177">
        <f t="shared" si="134"/>
        <v>0</v>
      </c>
      <c r="AB2885" s="178">
        <f t="shared" si="135"/>
        <v>0</v>
      </c>
      <c r="AH2885" s="177">
        <f t="shared" si="133"/>
        <v>0</v>
      </c>
    </row>
    <row r="2886" spans="23:34">
      <c r="W2886" s="177">
        <f t="shared" si="134"/>
        <v>0</v>
      </c>
      <c r="AB2886" s="178">
        <f t="shared" si="135"/>
        <v>0</v>
      </c>
      <c r="AH2886" s="177">
        <f t="shared" si="133"/>
        <v>0</v>
      </c>
    </row>
    <row r="2887" spans="23:34">
      <c r="W2887" s="177">
        <f t="shared" si="134"/>
        <v>0</v>
      </c>
      <c r="AB2887" s="178">
        <f t="shared" si="135"/>
        <v>0</v>
      </c>
      <c r="AH2887" s="177">
        <f t="shared" si="133"/>
        <v>0</v>
      </c>
    </row>
    <row r="2888" spans="23:34">
      <c r="W2888" s="177">
        <f t="shared" si="134"/>
        <v>0</v>
      </c>
      <c r="AB2888" s="178">
        <f t="shared" si="135"/>
        <v>0</v>
      </c>
      <c r="AH2888" s="177">
        <f t="shared" si="133"/>
        <v>0</v>
      </c>
    </row>
    <row r="2889" spans="23:34">
      <c r="W2889" s="177">
        <f t="shared" si="134"/>
        <v>0</v>
      </c>
      <c r="AB2889" s="178">
        <f t="shared" si="135"/>
        <v>0</v>
      </c>
      <c r="AH2889" s="177">
        <f t="shared" si="133"/>
        <v>0</v>
      </c>
    </row>
    <row r="2890" spans="23:34">
      <c r="W2890" s="177">
        <f t="shared" si="134"/>
        <v>0</v>
      </c>
      <c r="AB2890" s="178">
        <f t="shared" si="135"/>
        <v>0</v>
      </c>
      <c r="AH2890" s="177">
        <f t="shared" si="133"/>
        <v>0</v>
      </c>
    </row>
    <row r="2891" spans="23:34">
      <c r="W2891" s="177">
        <f t="shared" si="134"/>
        <v>0</v>
      </c>
      <c r="AB2891" s="178">
        <f t="shared" si="135"/>
        <v>0</v>
      </c>
      <c r="AH2891" s="177">
        <f t="shared" si="133"/>
        <v>0</v>
      </c>
    </row>
    <row r="2892" spans="23:34">
      <c r="W2892" s="177">
        <f t="shared" si="134"/>
        <v>0</v>
      </c>
      <c r="AB2892" s="178">
        <f t="shared" si="135"/>
        <v>0</v>
      </c>
      <c r="AH2892" s="177">
        <f t="shared" si="133"/>
        <v>0</v>
      </c>
    </row>
    <row r="2893" spans="23:34">
      <c r="W2893" s="177">
        <f t="shared" si="134"/>
        <v>0</v>
      </c>
      <c r="AB2893" s="178">
        <f t="shared" si="135"/>
        <v>0</v>
      </c>
      <c r="AH2893" s="177">
        <f t="shared" si="133"/>
        <v>0</v>
      </c>
    </row>
    <row r="2894" spans="23:34">
      <c r="W2894" s="177">
        <f t="shared" si="134"/>
        <v>0</v>
      </c>
      <c r="AB2894" s="178">
        <f t="shared" si="135"/>
        <v>0</v>
      </c>
      <c r="AH2894" s="177">
        <f t="shared" si="133"/>
        <v>0</v>
      </c>
    </row>
    <row r="2895" spans="23:34">
      <c r="W2895" s="177">
        <f t="shared" si="134"/>
        <v>0</v>
      </c>
      <c r="AB2895" s="178">
        <f t="shared" si="135"/>
        <v>0</v>
      </c>
      <c r="AH2895" s="177">
        <f t="shared" si="133"/>
        <v>0</v>
      </c>
    </row>
    <row r="2896" spans="23:34">
      <c r="W2896" s="177">
        <f t="shared" si="134"/>
        <v>0</v>
      </c>
      <c r="AB2896" s="178">
        <f t="shared" si="135"/>
        <v>0</v>
      </c>
      <c r="AH2896" s="177">
        <f t="shared" si="133"/>
        <v>0</v>
      </c>
    </row>
    <row r="2897" spans="23:34">
      <c r="W2897" s="177">
        <f t="shared" si="134"/>
        <v>0</v>
      </c>
      <c r="AB2897" s="178">
        <f t="shared" si="135"/>
        <v>0</v>
      </c>
      <c r="AH2897" s="177">
        <f t="shared" si="133"/>
        <v>0</v>
      </c>
    </row>
    <row r="2898" spans="23:34">
      <c r="W2898" s="177">
        <f t="shared" si="134"/>
        <v>0</v>
      </c>
      <c r="AB2898" s="178">
        <f t="shared" si="135"/>
        <v>0</v>
      </c>
      <c r="AH2898" s="177">
        <f t="shared" si="133"/>
        <v>0</v>
      </c>
    </row>
    <row r="2899" spans="23:34">
      <c r="W2899" s="177">
        <f t="shared" si="134"/>
        <v>0</v>
      </c>
      <c r="AB2899" s="178">
        <f t="shared" si="135"/>
        <v>0</v>
      </c>
      <c r="AH2899" s="177">
        <f t="shared" si="133"/>
        <v>0</v>
      </c>
    </row>
    <row r="2900" spans="23:34">
      <c r="W2900" s="177">
        <f t="shared" si="134"/>
        <v>0</v>
      </c>
      <c r="AB2900" s="178">
        <f t="shared" si="135"/>
        <v>0</v>
      </c>
      <c r="AH2900" s="177">
        <f t="shared" si="133"/>
        <v>0</v>
      </c>
    </row>
    <row r="2901" spans="23:34">
      <c r="W2901" s="177">
        <f t="shared" si="134"/>
        <v>0</v>
      </c>
      <c r="AB2901" s="178">
        <f t="shared" si="135"/>
        <v>0</v>
      </c>
      <c r="AH2901" s="177">
        <f t="shared" si="133"/>
        <v>0</v>
      </c>
    </row>
    <row r="2902" spans="23:34">
      <c r="W2902" s="177">
        <f t="shared" si="134"/>
        <v>0</v>
      </c>
      <c r="AB2902" s="178">
        <f t="shared" si="135"/>
        <v>0</v>
      </c>
      <c r="AH2902" s="177">
        <f t="shared" si="133"/>
        <v>0</v>
      </c>
    </row>
    <row r="2903" spans="23:34">
      <c r="W2903" s="177">
        <f t="shared" si="134"/>
        <v>0</v>
      </c>
      <c r="AB2903" s="178">
        <f t="shared" si="135"/>
        <v>0</v>
      </c>
      <c r="AH2903" s="177">
        <f t="shared" si="133"/>
        <v>0</v>
      </c>
    </row>
    <row r="2904" spans="23:34">
      <c r="W2904" s="177">
        <f t="shared" si="134"/>
        <v>0</v>
      </c>
      <c r="AB2904" s="178">
        <f t="shared" si="135"/>
        <v>0</v>
      </c>
      <c r="AH2904" s="177">
        <f t="shared" si="133"/>
        <v>0</v>
      </c>
    </row>
    <row r="2905" spans="23:34">
      <c r="W2905" s="177">
        <f t="shared" si="134"/>
        <v>0</v>
      </c>
      <c r="AB2905" s="178">
        <f t="shared" si="135"/>
        <v>0</v>
      </c>
      <c r="AH2905" s="177">
        <f t="shared" si="133"/>
        <v>0</v>
      </c>
    </row>
    <row r="2906" spans="23:34">
      <c r="W2906" s="177">
        <f t="shared" si="134"/>
        <v>0</v>
      </c>
      <c r="AB2906" s="178">
        <f t="shared" si="135"/>
        <v>0</v>
      </c>
      <c r="AH2906" s="177">
        <f t="shared" si="133"/>
        <v>0</v>
      </c>
    </row>
    <row r="2907" spans="23:34">
      <c r="W2907" s="177">
        <f t="shared" si="134"/>
        <v>0</v>
      </c>
      <c r="AB2907" s="178">
        <f t="shared" si="135"/>
        <v>0</v>
      </c>
      <c r="AH2907" s="177">
        <f t="shared" si="133"/>
        <v>0</v>
      </c>
    </row>
    <row r="2908" spans="23:34">
      <c r="W2908" s="177">
        <f t="shared" si="134"/>
        <v>0</v>
      </c>
      <c r="AB2908" s="178">
        <f t="shared" si="135"/>
        <v>0</v>
      </c>
      <c r="AH2908" s="177">
        <f t="shared" si="133"/>
        <v>0</v>
      </c>
    </row>
    <row r="2909" spans="23:34">
      <c r="W2909" s="177">
        <f t="shared" si="134"/>
        <v>0</v>
      </c>
      <c r="AB2909" s="178">
        <f t="shared" si="135"/>
        <v>0</v>
      </c>
      <c r="AH2909" s="177">
        <f t="shared" si="133"/>
        <v>0</v>
      </c>
    </row>
    <row r="2910" spans="23:34">
      <c r="W2910" s="177">
        <f t="shared" si="134"/>
        <v>0</v>
      </c>
      <c r="AB2910" s="178">
        <f t="shared" si="135"/>
        <v>0</v>
      </c>
      <c r="AH2910" s="177">
        <f t="shared" si="133"/>
        <v>0</v>
      </c>
    </row>
    <row r="2911" spans="23:34">
      <c r="W2911" s="177">
        <f t="shared" si="134"/>
        <v>0</v>
      </c>
      <c r="AB2911" s="178">
        <f t="shared" si="135"/>
        <v>0</v>
      </c>
      <c r="AH2911" s="177">
        <f t="shared" si="133"/>
        <v>0</v>
      </c>
    </row>
    <row r="2912" spans="23:34">
      <c r="W2912" s="177">
        <f t="shared" si="134"/>
        <v>0</v>
      </c>
      <c r="AB2912" s="178">
        <f t="shared" si="135"/>
        <v>0</v>
      </c>
      <c r="AH2912" s="177">
        <f t="shared" si="133"/>
        <v>0</v>
      </c>
    </row>
    <row r="2913" spans="23:34">
      <c r="W2913" s="177">
        <f t="shared" si="134"/>
        <v>0</v>
      </c>
      <c r="AB2913" s="178">
        <f t="shared" si="135"/>
        <v>0</v>
      </c>
      <c r="AH2913" s="177">
        <f t="shared" si="133"/>
        <v>0</v>
      </c>
    </row>
    <row r="2914" spans="23:34">
      <c r="W2914" s="177">
        <f t="shared" si="134"/>
        <v>0</v>
      </c>
      <c r="AB2914" s="178">
        <f t="shared" si="135"/>
        <v>0</v>
      </c>
      <c r="AH2914" s="177">
        <f t="shared" si="133"/>
        <v>0</v>
      </c>
    </row>
    <row r="2915" spans="23:34">
      <c r="W2915" s="177">
        <f t="shared" si="134"/>
        <v>0</v>
      </c>
      <c r="AB2915" s="178">
        <f t="shared" si="135"/>
        <v>0</v>
      </c>
      <c r="AH2915" s="177">
        <f t="shared" si="133"/>
        <v>0</v>
      </c>
    </row>
    <row r="2916" spans="23:34">
      <c r="W2916" s="177">
        <f t="shared" si="134"/>
        <v>0</v>
      </c>
      <c r="AB2916" s="178">
        <f t="shared" si="135"/>
        <v>0</v>
      </c>
      <c r="AH2916" s="177">
        <f t="shared" si="133"/>
        <v>0</v>
      </c>
    </row>
    <row r="2917" spans="23:34">
      <c r="W2917" s="177">
        <f t="shared" si="134"/>
        <v>0</v>
      </c>
      <c r="AB2917" s="178">
        <f t="shared" si="135"/>
        <v>0</v>
      </c>
      <c r="AH2917" s="177">
        <f t="shared" si="133"/>
        <v>0</v>
      </c>
    </row>
    <row r="2918" spans="23:34">
      <c r="W2918" s="177">
        <f t="shared" si="134"/>
        <v>0</v>
      </c>
      <c r="AB2918" s="178">
        <f t="shared" si="135"/>
        <v>0</v>
      </c>
      <c r="AH2918" s="177">
        <f t="shared" si="133"/>
        <v>0</v>
      </c>
    </row>
    <row r="2919" spans="23:34">
      <c r="W2919" s="177">
        <f t="shared" si="134"/>
        <v>0</v>
      </c>
      <c r="AB2919" s="178">
        <f t="shared" si="135"/>
        <v>0</v>
      </c>
      <c r="AH2919" s="177">
        <f t="shared" si="133"/>
        <v>0</v>
      </c>
    </row>
    <row r="2920" spans="23:34">
      <c r="W2920" s="177">
        <f t="shared" si="134"/>
        <v>0</v>
      </c>
      <c r="AB2920" s="178">
        <f t="shared" si="135"/>
        <v>0</v>
      </c>
      <c r="AH2920" s="177">
        <f t="shared" si="133"/>
        <v>0</v>
      </c>
    </row>
    <row r="2921" spans="23:34">
      <c r="W2921" s="177">
        <f t="shared" si="134"/>
        <v>0</v>
      </c>
      <c r="AB2921" s="178">
        <f t="shared" si="135"/>
        <v>0</v>
      </c>
      <c r="AH2921" s="177">
        <f t="shared" si="133"/>
        <v>0</v>
      </c>
    </row>
    <row r="2922" spans="23:34">
      <c r="W2922" s="177">
        <f t="shared" si="134"/>
        <v>0</v>
      </c>
      <c r="AB2922" s="178">
        <f t="shared" si="135"/>
        <v>0</v>
      </c>
      <c r="AH2922" s="177">
        <f t="shared" si="133"/>
        <v>0</v>
      </c>
    </row>
    <row r="2923" spans="23:34">
      <c r="W2923" s="177">
        <f t="shared" si="134"/>
        <v>0</v>
      </c>
      <c r="AB2923" s="178">
        <f t="shared" si="135"/>
        <v>0</v>
      </c>
      <c r="AH2923" s="177">
        <f t="shared" si="133"/>
        <v>0</v>
      </c>
    </row>
    <row r="2924" spans="23:34">
      <c r="W2924" s="177">
        <f t="shared" si="134"/>
        <v>0</v>
      </c>
      <c r="AB2924" s="178">
        <f t="shared" si="135"/>
        <v>0</v>
      </c>
      <c r="AH2924" s="177">
        <f t="shared" si="133"/>
        <v>0</v>
      </c>
    </row>
    <row r="2925" spans="23:34">
      <c r="W2925" s="177">
        <f t="shared" si="134"/>
        <v>0</v>
      </c>
      <c r="AB2925" s="178">
        <f t="shared" si="135"/>
        <v>0</v>
      </c>
      <c r="AH2925" s="177">
        <f t="shared" si="133"/>
        <v>0</v>
      </c>
    </row>
    <row r="2926" spans="23:34">
      <c r="W2926" s="177">
        <f t="shared" si="134"/>
        <v>0</v>
      </c>
      <c r="AB2926" s="178">
        <f t="shared" si="135"/>
        <v>0</v>
      </c>
      <c r="AH2926" s="177">
        <f t="shared" si="133"/>
        <v>0</v>
      </c>
    </row>
    <row r="2927" spans="23:34">
      <c r="W2927" s="177">
        <f t="shared" si="134"/>
        <v>0</v>
      </c>
      <c r="AB2927" s="178">
        <f t="shared" si="135"/>
        <v>0</v>
      </c>
      <c r="AH2927" s="177">
        <f t="shared" si="133"/>
        <v>0</v>
      </c>
    </row>
    <row r="2928" spans="23:34">
      <c r="W2928" s="177">
        <f t="shared" si="134"/>
        <v>0</v>
      </c>
      <c r="AB2928" s="178">
        <f t="shared" si="135"/>
        <v>0</v>
      </c>
      <c r="AH2928" s="177">
        <f t="shared" ref="AH2928:AH2991" si="136">SUM(AF2928:AG2928)</f>
        <v>0</v>
      </c>
    </row>
    <row r="2929" spans="23:34">
      <c r="W2929" s="177">
        <f t="shared" si="134"/>
        <v>0</v>
      </c>
      <c r="AB2929" s="178">
        <f t="shared" si="135"/>
        <v>0</v>
      </c>
      <c r="AH2929" s="177">
        <f t="shared" si="136"/>
        <v>0</v>
      </c>
    </row>
    <row r="2930" spans="23:34">
      <c r="W2930" s="177">
        <f t="shared" si="134"/>
        <v>0</v>
      </c>
      <c r="AB2930" s="178">
        <f t="shared" si="135"/>
        <v>0</v>
      </c>
      <c r="AH2930" s="177">
        <f t="shared" si="136"/>
        <v>0</v>
      </c>
    </row>
    <row r="2931" spans="23:34">
      <c r="W2931" s="177">
        <f t="shared" ref="W2931:W2994" si="137">SUM(Q2931:T2931)</f>
        <v>0</v>
      </c>
      <c r="AB2931" s="178">
        <f t="shared" si="135"/>
        <v>0</v>
      </c>
      <c r="AH2931" s="177">
        <f t="shared" si="136"/>
        <v>0</v>
      </c>
    </row>
    <row r="2932" spans="23:34">
      <c r="W2932" s="177">
        <f t="shared" si="137"/>
        <v>0</v>
      </c>
      <c r="AB2932" s="178">
        <f t="shared" si="135"/>
        <v>0</v>
      </c>
      <c r="AH2932" s="177">
        <f t="shared" si="136"/>
        <v>0</v>
      </c>
    </row>
    <row r="2933" spans="23:34">
      <c r="W2933" s="177">
        <f t="shared" si="137"/>
        <v>0</v>
      </c>
      <c r="AB2933" s="178">
        <f t="shared" si="135"/>
        <v>0</v>
      </c>
      <c r="AH2933" s="177">
        <f t="shared" si="136"/>
        <v>0</v>
      </c>
    </row>
    <row r="2934" spans="23:34">
      <c r="W2934" s="177">
        <f t="shared" si="137"/>
        <v>0</v>
      </c>
      <c r="AB2934" s="178">
        <f t="shared" si="135"/>
        <v>0</v>
      </c>
      <c r="AH2934" s="177">
        <f t="shared" si="136"/>
        <v>0</v>
      </c>
    </row>
    <row r="2935" spans="23:34">
      <c r="W2935" s="177">
        <f t="shared" si="137"/>
        <v>0</v>
      </c>
      <c r="AB2935" s="178">
        <f t="shared" si="135"/>
        <v>0</v>
      </c>
      <c r="AH2935" s="177">
        <f t="shared" si="136"/>
        <v>0</v>
      </c>
    </row>
    <row r="2936" spans="23:34">
      <c r="W2936" s="177">
        <f t="shared" si="137"/>
        <v>0</v>
      </c>
      <c r="AB2936" s="178">
        <f t="shared" si="135"/>
        <v>0</v>
      </c>
      <c r="AH2936" s="177">
        <f t="shared" si="136"/>
        <v>0</v>
      </c>
    </row>
    <row r="2937" spans="23:34">
      <c r="W2937" s="177">
        <f t="shared" si="137"/>
        <v>0</v>
      </c>
      <c r="AB2937" s="178">
        <f t="shared" si="135"/>
        <v>0</v>
      </c>
      <c r="AH2937" s="177">
        <f t="shared" si="136"/>
        <v>0</v>
      </c>
    </row>
    <row r="2938" spans="23:34">
      <c r="W2938" s="177">
        <f t="shared" si="137"/>
        <v>0</v>
      </c>
      <c r="AB2938" s="178">
        <f t="shared" si="135"/>
        <v>0</v>
      </c>
      <c r="AH2938" s="177">
        <f t="shared" si="136"/>
        <v>0</v>
      </c>
    </row>
    <row r="2939" spans="23:34">
      <c r="W2939" s="177">
        <f t="shared" si="137"/>
        <v>0</v>
      </c>
      <c r="AB2939" s="178">
        <f t="shared" ref="AB2939:AB3002" si="138">SUM(Z2939:AA2939)</f>
        <v>0</v>
      </c>
      <c r="AH2939" s="177">
        <f t="shared" si="136"/>
        <v>0</v>
      </c>
    </row>
    <row r="2940" spans="23:34">
      <c r="W2940" s="177">
        <f t="shared" si="137"/>
        <v>0</v>
      </c>
      <c r="AB2940" s="178">
        <f t="shared" si="138"/>
        <v>0</v>
      </c>
      <c r="AH2940" s="177">
        <f t="shared" si="136"/>
        <v>0</v>
      </c>
    </row>
    <row r="2941" spans="23:34">
      <c r="W2941" s="177">
        <f t="shared" si="137"/>
        <v>0</v>
      </c>
      <c r="AB2941" s="178">
        <f t="shared" si="138"/>
        <v>0</v>
      </c>
      <c r="AH2941" s="177">
        <f t="shared" si="136"/>
        <v>0</v>
      </c>
    </row>
    <row r="2942" spans="23:34">
      <c r="W2942" s="177">
        <f t="shared" si="137"/>
        <v>0</v>
      </c>
      <c r="AB2942" s="178">
        <f t="shared" si="138"/>
        <v>0</v>
      </c>
      <c r="AH2942" s="177">
        <f t="shared" si="136"/>
        <v>0</v>
      </c>
    </row>
    <row r="2943" spans="23:34">
      <c r="W2943" s="177">
        <f t="shared" si="137"/>
        <v>0</v>
      </c>
      <c r="AB2943" s="178">
        <f t="shared" si="138"/>
        <v>0</v>
      </c>
      <c r="AH2943" s="177">
        <f t="shared" si="136"/>
        <v>0</v>
      </c>
    </row>
    <row r="2944" spans="23:34">
      <c r="W2944" s="177">
        <f t="shared" si="137"/>
        <v>0</v>
      </c>
      <c r="AB2944" s="178">
        <f t="shared" si="138"/>
        <v>0</v>
      </c>
      <c r="AH2944" s="177">
        <f t="shared" si="136"/>
        <v>0</v>
      </c>
    </row>
    <row r="2945" spans="23:34">
      <c r="W2945" s="177">
        <f t="shared" si="137"/>
        <v>0</v>
      </c>
      <c r="AB2945" s="178">
        <f t="shared" si="138"/>
        <v>0</v>
      </c>
      <c r="AH2945" s="177">
        <f t="shared" si="136"/>
        <v>0</v>
      </c>
    </row>
    <row r="2946" spans="23:34">
      <c r="W2946" s="177">
        <f t="shared" si="137"/>
        <v>0</v>
      </c>
      <c r="AB2946" s="178">
        <f t="shared" si="138"/>
        <v>0</v>
      </c>
      <c r="AH2946" s="177">
        <f t="shared" si="136"/>
        <v>0</v>
      </c>
    </row>
    <row r="2947" spans="23:34">
      <c r="W2947" s="177">
        <f t="shared" si="137"/>
        <v>0</v>
      </c>
      <c r="AB2947" s="178">
        <f t="shared" si="138"/>
        <v>0</v>
      </c>
      <c r="AH2947" s="177">
        <f t="shared" si="136"/>
        <v>0</v>
      </c>
    </row>
    <row r="2948" spans="23:34">
      <c r="W2948" s="177">
        <f t="shared" si="137"/>
        <v>0</v>
      </c>
      <c r="AB2948" s="178">
        <f t="shared" si="138"/>
        <v>0</v>
      </c>
      <c r="AH2948" s="177">
        <f t="shared" si="136"/>
        <v>0</v>
      </c>
    </row>
    <row r="2949" spans="23:34">
      <c r="W2949" s="177">
        <f t="shared" si="137"/>
        <v>0</v>
      </c>
      <c r="AB2949" s="178">
        <f t="shared" si="138"/>
        <v>0</v>
      </c>
      <c r="AH2949" s="177">
        <f t="shared" si="136"/>
        <v>0</v>
      </c>
    </row>
    <row r="2950" spans="23:34">
      <c r="W2950" s="177">
        <f t="shared" si="137"/>
        <v>0</v>
      </c>
      <c r="AB2950" s="178">
        <f t="shared" si="138"/>
        <v>0</v>
      </c>
      <c r="AH2950" s="177">
        <f t="shared" si="136"/>
        <v>0</v>
      </c>
    </row>
    <row r="2951" spans="23:34">
      <c r="W2951" s="177">
        <f t="shared" si="137"/>
        <v>0</v>
      </c>
      <c r="AB2951" s="178">
        <f t="shared" si="138"/>
        <v>0</v>
      </c>
      <c r="AH2951" s="177">
        <f t="shared" si="136"/>
        <v>0</v>
      </c>
    </row>
    <row r="2952" spans="23:34">
      <c r="W2952" s="177">
        <f t="shared" si="137"/>
        <v>0</v>
      </c>
      <c r="AB2952" s="178">
        <f t="shared" si="138"/>
        <v>0</v>
      </c>
      <c r="AH2952" s="177">
        <f t="shared" si="136"/>
        <v>0</v>
      </c>
    </row>
    <row r="2953" spans="23:34">
      <c r="W2953" s="177">
        <f t="shared" si="137"/>
        <v>0</v>
      </c>
      <c r="AB2953" s="178">
        <f t="shared" si="138"/>
        <v>0</v>
      </c>
      <c r="AH2953" s="177">
        <f t="shared" si="136"/>
        <v>0</v>
      </c>
    </row>
    <row r="2954" spans="23:34">
      <c r="W2954" s="177">
        <f t="shared" si="137"/>
        <v>0</v>
      </c>
      <c r="AB2954" s="178">
        <f t="shared" si="138"/>
        <v>0</v>
      </c>
      <c r="AH2954" s="177">
        <f t="shared" si="136"/>
        <v>0</v>
      </c>
    </row>
    <row r="2955" spans="23:34">
      <c r="W2955" s="177">
        <f t="shared" si="137"/>
        <v>0</v>
      </c>
      <c r="AB2955" s="178">
        <f t="shared" si="138"/>
        <v>0</v>
      </c>
      <c r="AH2955" s="177">
        <f t="shared" si="136"/>
        <v>0</v>
      </c>
    </row>
    <row r="2956" spans="23:34">
      <c r="W2956" s="177">
        <f t="shared" si="137"/>
        <v>0</v>
      </c>
      <c r="AB2956" s="178">
        <f t="shared" si="138"/>
        <v>0</v>
      </c>
      <c r="AH2956" s="177">
        <f t="shared" si="136"/>
        <v>0</v>
      </c>
    </row>
    <row r="2957" spans="23:34">
      <c r="W2957" s="177">
        <f t="shared" si="137"/>
        <v>0</v>
      </c>
      <c r="AB2957" s="178">
        <f t="shared" si="138"/>
        <v>0</v>
      </c>
      <c r="AH2957" s="177">
        <f t="shared" si="136"/>
        <v>0</v>
      </c>
    </row>
    <row r="2958" spans="23:34">
      <c r="W2958" s="177">
        <f t="shared" si="137"/>
        <v>0</v>
      </c>
      <c r="AB2958" s="178">
        <f t="shared" si="138"/>
        <v>0</v>
      </c>
      <c r="AH2958" s="177">
        <f t="shared" si="136"/>
        <v>0</v>
      </c>
    </row>
    <row r="2959" spans="23:34">
      <c r="W2959" s="177">
        <f t="shared" si="137"/>
        <v>0</v>
      </c>
      <c r="AB2959" s="178">
        <f t="shared" si="138"/>
        <v>0</v>
      </c>
      <c r="AH2959" s="177">
        <f t="shared" si="136"/>
        <v>0</v>
      </c>
    </row>
    <row r="2960" spans="23:34">
      <c r="W2960" s="177">
        <f t="shared" si="137"/>
        <v>0</v>
      </c>
      <c r="AB2960" s="178">
        <f t="shared" si="138"/>
        <v>0</v>
      </c>
      <c r="AH2960" s="177">
        <f t="shared" si="136"/>
        <v>0</v>
      </c>
    </row>
    <row r="2961" spans="23:34">
      <c r="W2961" s="177">
        <f t="shared" si="137"/>
        <v>0</v>
      </c>
      <c r="AB2961" s="178">
        <f t="shared" si="138"/>
        <v>0</v>
      </c>
      <c r="AH2961" s="177">
        <f t="shared" si="136"/>
        <v>0</v>
      </c>
    </row>
    <row r="2962" spans="23:34">
      <c r="W2962" s="177">
        <f t="shared" si="137"/>
        <v>0</v>
      </c>
      <c r="AB2962" s="178">
        <f t="shared" si="138"/>
        <v>0</v>
      </c>
      <c r="AH2962" s="177">
        <f t="shared" si="136"/>
        <v>0</v>
      </c>
    </row>
    <row r="2963" spans="23:34">
      <c r="W2963" s="177">
        <f t="shared" si="137"/>
        <v>0</v>
      </c>
      <c r="AB2963" s="178">
        <f t="shared" si="138"/>
        <v>0</v>
      </c>
      <c r="AH2963" s="177">
        <f t="shared" si="136"/>
        <v>0</v>
      </c>
    </row>
    <row r="2964" spans="23:34">
      <c r="W2964" s="177">
        <f t="shared" si="137"/>
        <v>0</v>
      </c>
      <c r="AB2964" s="178">
        <f t="shared" si="138"/>
        <v>0</v>
      </c>
      <c r="AH2964" s="177">
        <f t="shared" si="136"/>
        <v>0</v>
      </c>
    </row>
    <row r="2965" spans="23:34">
      <c r="W2965" s="177">
        <f t="shared" si="137"/>
        <v>0</v>
      </c>
      <c r="AB2965" s="178">
        <f t="shared" si="138"/>
        <v>0</v>
      </c>
      <c r="AH2965" s="177">
        <f t="shared" si="136"/>
        <v>0</v>
      </c>
    </row>
    <row r="2966" spans="23:34">
      <c r="W2966" s="177">
        <f t="shared" si="137"/>
        <v>0</v>
      </c>
      <c r="AB2966" s="178">
        <f t="shared" si="138"/>
        <v>0</v>
      </c>
      <c r="AH2966" s="177">
        <f t="shared" si="136"/>
        <v>0</v>
      </c>
    </row>
    <row r="2967" spans="23:34">
      <c r="W2967" s="177">
        <f t="shared" si="137"/>
        <v>0</v>
      </c>
      <c r="AB2967" s="178">
        <f t="shared" si="138"/>
        <v>0</v>
      </c>
      <c r="AH2967" s="177">
        <f t="shared" si="136"/>
        <v>0</v>
      </c>
    </row>
    <row r="2968" spans="23:34">
      <c r="W2968" s="177">
        <f t="shared" si="137"/>
        <v>0</v>
      </c>
      <c r="AB2968" s="178">
        <f t="shared" si="138"/>
        <v>0</v>
      </c>
      <c r="AH2968" s="177">
        <f t="shared" si="136"/>
        <v>0</v>
      </c>
    </row>
    <row r="2969" spans="23:34">
      <c r="W2969" s="177">
        <f t="shared" si="137"/>
        <v>0</v>
      </c>
      <c r="AB2969" s="178">
        <f t="shared" si="138"/>
        <v>0</v>
      </c>
      <c r="AH2969" s="177">
        <f t="shared" si="136"/>
        <v>0</v>
      </c>
    </row>
    <row r="2970" spans="23:34">
      <c r="W2970" s="177">
        <f t="shared" si="137"/>
        <v>0</v>
      </c>
      <c r="AB2970" s="178">
        <f t="shared" si="138"/>
        <v>0</v>
      </c>
      <c r="AH2970" s="177">
        <f t="shared" si="136"/>
        <v>0</v>
      </c>
    </row>
    <row r="2971" spans="23:34">
      <c r="W2971" s="177">
        <f t="shared" si="137"/>
        <v>0</v>
      </c>
      <c r="AB2971" s="178">
        <f t="shared" si="138"/>
        <v>0</v>
      </c>
      <c r="AH2971" s="177">
        <f t="shared" si="136"/>
        <v>0</v>
      </c>
    </row>
    <row r="2972" spans="23:34">
      <c r="W2972" s="177">
        <f t="shared" si="137"/>
        <v>0</v>
      </c>
      <c r="AB2972" s="178">
        <f t="shared" si="138"/>
        <v>0</v>
      </c>
      <c r="AH2972" s="177">
        <f t="shared" si="136"/>
        <v>0</v>
      </c>
    </row>
    <row r="2973" spans="23:34">
      <c r="W2973" s="177">
        <f t="shared" si="137"/>
        <v>0</v>
      </c>
      <c r="AB2973" s="178">
        <f t="shared" si="138"/>
        <v>0</v>
      </c>
      <c r="AH2973" s="177">
        <f t="shared" si="136"/>
        <v>0</v>
      </c>
    </row>
    <row r="2974" spans="23:34">
      <c r="W2974" s="177">
        <f t="shared" si="137"/>
        <v>0</v>
      </c>
      <c r="AB2974" s="178">
        <f t="shared" si="138"/>
        <v>0</v>
      </c>
      <c r="AH2974" s="177">
        <f t="shared" si="136"/>
        <v>0</v>
      </c>
    </row>
    <row r="2975" spans="23:34">
      <c r="W2975" s="177">
        <f t="shared" si="137"/>
        <v>0</v>
      </c>
      <c r="AB2975" s="178">
        <f t="shared" si="138"/>
        <v>0</v>
      </c>
      <c r="AH2975" s="177">
        <f t="shared" si="136"/>
        <v>0</v>
      </c>
    </row>
    <row r="2976" spans="23:34">
      <c r="W2976" s="177">
        <f t="shared" si="137"/>
        <v>0</v>
      </c>
      <c r="AB2976" s="178">
        <f t="shared" si="138"/>
        <v>0</v>
      </c>
      <c r="AH2976" s="177">
        <f t="shared" si="136"/>
        <v>0</v>
      </c>
    </row>
    <row r="2977" spans="23:34">
      <c r="W2977" s="177">
        <f t="shared" si="137"/>
        <v>0</v>
      </c>
      <c r="AB2977" s="178">
        <f t="shared" si="138"/>
        <v>0</v>
      </c>
      <c r="AH2977" s="177">
        <f t="shared" si="136"/>
        <v>0</v>
      </c>
    </row>
    <row r="2978" spans="23:34">
      <c r="W2978" s="177">
        <f t="shared" si="137"/>
        <v>0</v>
      </c>
      <c r="AB2978" s="178">
        <f t="shared" si="138"/>
        <v>0</v>
      </c>
      <c r="AH2978" s="177">
        <f t="shared" si="136"/>
        <v>0</v>
      </c>
    </row>
    <row r="2979" spans="23:34">
      <c r="W2979" s="177">
        <f t="shared" si="137"/>
        <v>0</v>
      </c>
      <c r="AB2979" s="178">
        <f t="shared" si="138"/>
        <v>0</v>
      </c>
      <c r="AH2979" s="177">
        <f t="shared" si="136"/>
        <v>0</v>
      </c>
    </row>
    <row r="2980" spans="23:34">
      <c r="W2980" s="177">
        <f t="shared" si="137"/>
        <v>0</v>
      </c>
      <c r="AB2980" s="178">
        <f t="shared" si="138"/>
        <v>0</v>
      </c>
      <c r="AH2980" s="177">
        <f t="shared" si="136"/>
        <v>0</v>
      </c>
    </row>
    <row r="2981" spans="23:34">
      <c r="W2981" s="177">
        <f t="shared" si="137"/>
        <v>0</v>
      </c>
      <c r="AB2981" s="178">
        <f t="shared" si="138"/>
        <v>0</v>
      </c>
      <c r="AH2981" s="177">
        <f t="shared" si="136"/>
        <v>0</v>
      </c>
    </row>
    <row r="2982" spans="23:34">
      <c r="W2982" s="177">
        <f t="shared" si="137"/>
        <v>0</v>
      </c>
      <c r="AB2982" s="178">
        <f t="shared" si="138"/>
        <v>0</v>
      </c>
      <c r="AH2982" s="177">
        <f t="shared" si="136"/>
        <v>0</v>
      </c>
    </row>
    <row r="2983" spans="23:34">
      <c r="W2983" s="177">
        <f t="shared" si="137"/>
        <v>0</v>
      </c>
      <c r="AB2983" s="178">
        <f t="shared" si="138"/>
        <v>0</v>
      </c>
      <c r="AH2983" s="177">
        <f t="shared" si="136"/>
        <v>0</v>
      </c>
    </row>
    <row r="2984" spans="23:34">
      <c r="W2984" s="177">
        <f t="shared" si="137"/>
        <v>0</v>
      </c>
      <c r="AB2984" s="178">
        <f t="shared" si="138"/>
        <v>0</v>
      </c>
      <c r="AH2984" s="177">
        <f t="shared" si="136"/>
        <v>0</v>
      </c>
    </row>
    <row r="2985" spans="23:34">
      <c r="W2985" s="177">
        <f t="shared" si="137"/>
        <v>0</v>
      </c>
      <c r="AB2985" s="178">
        <f t="shared" si="138"/>
        <v>0</v>
      </c>
      <c r="AH2985" s="177">
        <f t="shared" si="136"/>
        <v>0</v>
      </c>
    </row>
    <row r="2986" spans="23:34">
      <c r="W2986" s="177">
        <f t="shared" si="137"/>
        <v>0</v>
      </c>
      <c r="AB2986" s="178">
        <f t="shared" si="138"/>
        <v>0</v>
      </c>
      <c r="AH2986" s="177">
        <f t="shared" si="136"/>
        <v>0</v>
      </c>
    </row>
    <row r="2987" spans="23:34">
      <c r="W2987" s="177">
        <f t="shared" si="137"/>
        <v>0</v>
      </c>
      <c r="AB2987" s="178">
        <f t="shared" si="138"/>
        <v>0</v>
      </c>
      <c r="AH2987" s="177">
        <f t="shared" si="136"/>
        <v>0</v>
      </c>
    </row>
    <row r="2988" spans="23:34">
      <c r="W2988" s="177">
        <f t="shared" si="137"/>
        <v>0</v>
      </c>
      <c r="AB2988" s="178">
        <f t="shared" si="138"/>
        <v>0</v>
      </c>
      <c r="AH2988" s="177">
        <f t="shared" si="136"/>
        <v>0</v>
      </c>
    </row>
    <row r="2989" spans="23:34">
      <c r="W2989" s="177">
        <f t="shared" si="137"/>
        <v>0</v>
      </c>
      <c r="AB2989" s="178">
        <f t="shared" si="138"/>
        <v>0</v>
      </c>
      <c r="AH2989" s="177">
        <f t="shared" si="136"/>
        <v>0</v>
      </c>
    </row>
    <row r="2990" spans="23:34">
      <c r="W2990" s="177">
        <f t="shared" si="137"/>
        <v>0</v>
      </c>
      <c r="AB2990" s="178">
        <f t="shared" si="138"/>
        <v>0</v>
      </c>
      <c r="AH2990" s="177">
        <f t="shared" si="136"/>
        <v>0</v>
      </c>
    </row>
    <row r="2991" spans="23:34">
      <c r="W2991" s="177">
        <f t="shared" si="137"/>
        <v>0</v>
      </c>
      <c r="AB2991" s="178">
        <f t="shared" si="138"/>
        <v>0</v>
      </c>
      <c r="AH2991" s="177">
        <f t="shared" si="136"/>
        <v>0</v>
      </c>
    </row>
    <row r="2992" spans="23:34">
      <c r="W2992" s="177">
        <f t="shared" si="137"/>
        <v>0</v>
      </c>
      <c r="AB2992" s="178">
        <f t="shared" si="138"/>
        <v>0</v>
      </c>
      <c r="AH2992" s="177">
        <f t="shared" ref="AH2992:AH3055" si="139">SUM(AF2992:AG2992)</f>
        <v>0</v>
      </c>
    </row>
    <row r="2993" spans="23:34">
      <c r="W2993" s="177">
        <f t="shared" si="137"/>
        <v>0</v>
      </c>
      <c r="AB2993" s="178">
        <f t="shared" si="138"/>
        <v>0</v>
      </c>
      <c r="AH2993" s="177">
        <f t="shared" si="139"/>
        <v>0</v>
      </c>
    </row>
    <row r="2994" spans="23:34">
      <c r="W2994" s="177">
        <f t="shared" si="137"/>
        <v>0</v>
      </c>
      <c r="AB2994" s="178">
        <f t="shared" si="138"/>
        <v>0</v>
      </c>
      <c r="AH2994" s="177">
        <f t="shared" si="139"/>
        <v>0</v>
      </c>
    </row>
    <row r="2995" spans="23:34">
      <c r="W2995" s="177">
        <f t="shared" ref="W2995:W3058" si="140">SUM(Q2995:T2995)</f>
        <v>0</v>
      </c>
      <c r="AB2995" s="178">
        <f t="shared" si="138"/>
        <v>0</v>
      </c>
      <c r="AH2995" s="177">
        <f t="shared" si="139"/>
        <v>0</v>
      </c>
    </row>
    <row r="2996" spans="23:34">
      <c r="W2996" s="177">
        <f t="shared" si="140"/>
        <v>0</v>
      </c>
      <c r="AB2996" s="178">
        <f t="shared" si="138"/>
        <v>0</v>
      </c>
      <c r="AH2996" s="177">
        <f t="shared" si="139"/>
        <v>0</v>
      </c>
    </row>
    <row r="2997" spans="23:34">
      <c r="W2997" s="177">
        <f t="shared" si="140"/>
        <v>0</v>
      </c>
      <c r="AB2997" s="178">
        <f t="shared" si="138"/>
        <v>0</v>
      </c>
      <c r="AH2997" s="177">
        <f t="shared" si="139"/>
        <v>0</v>
      </c>
    </row>
    <row r="2998" spans="23:34">
      <c r="W2998" s="177">
        <f t="shared" si="140"/>
        <v>0</v>
      </c>
      <c r="AB2998" s="178">
        <f t="shared" si="138"/>
        <v>0</v>
      </c>
      <c r="AH2998" s="177">
        <f t="shared" si="139"/>
        <v>0</v>
      </c>
    </row>
    <row r="2999" spans="23:34">
      <c r="W2999" s="177">
        <f t="shared" si="140"/>
        <v>0</v>
      </c>
      <c r="AB2999" s="178">
        <f t="shared" si="138"/>
        <v>0</v>
      </c>
      <c r="AH2999" s="177">
        <f t="shared" si="139"/>
        <v>0</v>
      </c>
    </row>
    <row r="3000" spans="23:34">
      <c r="W3000" s="177">
        <f t="shared" si="140"/>
        <v>0</v>
      </c>
      <c r="AB3000" s="178">
        <f t="shared" si="138"/>
        <v>0</v>
      </c>
      <c r="AH3000" s="177">
        <f t="shared" si="139"/>
        <v>0</v>
      </c>
    </row>
    <row r="3001" spans="23:34">
      <c r="W3001" s="177">
        <f t="shared" si="140"/>
        <v>0</v>
      </c>
      <c r="AB3001" s="178">
        <f t="shared" si="138"/>
        <v>0</v>
      </c>
      <c r="AH3001" s="177">
        <f t="shared" si="139"/>
        <v>0</v>
      </c>
    </row>
    <row r="3002" spans="23:34">
      <c r="W3002" s="177">
        <f t="shared" si="140"/>
        <v>0</v>
      </c>
      <c r="AB3002" s="178">
        <f t="shared" si="138"/>
        <v>0</v>
      </c>
      <c r="AH3002" s="177">
        <f t="shared" si="139"/>
        <v>0</v>
      </c>
    </row>
    <row r="3003" spans="23:34">
      <c r="W3003" s="177">
        <f t="shared" si="140"/>
        <v>0</v>
      </c>
      <c r="AB3003" s="178">
        <f t="shared" ref="AB3003:AB3066" si="141">SUM(Z3003:AA3003)</f>
        <v>0</v>
      </c>
      <c r="AH3003" s="177">
        <f t="shared" si="139"/>
        <v>0</v>
      </c>
    </row>
    <row r="3004" spans="23:34">
      <c r="W3004" s="177">
        <f t="shared" si="140"/>
        <v>0</v>
      </c>
      <c r="AB3004" s="178">
        <f t="shared" si="141"/>
        <v>0</v>
      </c>
      <c r="AH3004" s="177">
        <f t="shared" si="139"/>
        <v>0</v>
      </c>
    </row>
    <row r="3005" spans="23:34">
      <c r="W3005" s="177">
        <f t="shared" si="140"/>
        <v>0</v>
      </c>
      <c r="AB3005" s="178">
        <f t="shared" si="141"/>
        <v>0</v>
      </c>
      <c r="AH3005" s="177">
        <f t="shared" si="139"/>
        <v>0</v>
      </c>
    </row>
    <row r="3006" spans="23:34">
      <c r="W3006" s="177">
        <f t="shared" si="140"/>
        <v>0</v>
      </c>
      <c r="AB3006" s="178">
        <f t="shared" si="141"/>
        <v>0</v>
      </c>
      <c r="AH3006" s="177">
        <f t="shared" si="139"/>
        <v>0</v>
      </c>
    </row>
    <row r="3007" spans="23:34">
      <c r="W3007" s="177">
        <f t="shared" si="140"/>
        <v>0</v>
      </c>
      <c r="AB3007" s="178">
        <f t="shared" si="141"/>
        <v>0</v>
      </c>
      <c r="AH3007" s="177">
        <f t="shared" si="139"/>
        <v>0</v>
      </c>
    </row>
    <row r="3008" spans="23:34">
      <c r="W3008" s="177">
        <f t="shared" si="140"/>
        <v>0</v>
      </c>
      <c r="AB3008" s="178">
        <f t="shared" si="141"/>
        <v>0</v>
      </c>
      <c r="AH3008" s="177">
        <f t="shared" si="139"/>
        <v>0</v>
      </c>
    </row>
    <row r="3009" spans="23:34">
      <c r="W3009" s="177">
        <f t="shared" si="140"/>
        <v>0</v>
      </c>
      <c r="AB3009" s="178">
        <f t="shared" si="141"/>
        <v>0</v>
      </c>
      <c r="AH3009" s="177">
        <f t="shared" si="139"/>
        <v>0</v>
      </c>
    </row>
    <row r="3010" spans="23:34">
      <c r="W3010" s="177">
        <f t="shared" si="140"/>
        <v>0</v>
      </c>
      <c r="AB3010" s="178">
        <f t="shared" si="141"/>
        <v>0</v>
      </c>
      <c r="AH3010" s="177">
        <f t="shared" si="139"/>
        <v>0</v>
      </c>
    </row>
    <row r="3011" spans="23:34">
      <c r="W3011" s="177">
        <f t="shared" si="140"/>
        <v>0</v>
      </c>
      <c r="AB3011" s="178">
        <f t="shared" si="141"/>
        <v>0</v>
      </c>
      <c r="AH3011" s="177">
        <f t="shared" si="139"/>
        <v>0</v>
      </c>
    </row>
    <row r="3012" spans="23:34">
      <c r="W3012" s="177">
        <f t="shared" si="140"/>
        <v>0</v>
      </c>
      <c r="AB3012" s="178">
        <f t="shared" si="141"/>
        <v>0</v>
      </c>
      <c r="AH3012" s="177">
        <f t="shared" si="139"/>
        <v>0</v>
      </c>
    </row>
    <row r="3013" spans="23:34">
      <c r="W3013" s="177">
        <f t="shared" si="140"/>
        <v>0</v>
      </c>
      <c r="AB3013" s="178">
        <f t="shared" si="141"/>
        <v>0</v>
      </c>
      <c r="AH3013" s="177">
        <f t="shared" si="139"/>
        <v>0</v>
      </c>
    </row>
    <row r="3014" spans="23:34">
      <c r="W3014" s="177">
        <f t="shared" si="140"/>
        <v>0</v>
      </c>
      <c r="AB3014" s="178">
        <f t="shared" si="141"/>
        <v>0</v>
      </c>
      <c r="AH3014" s="177">
        <f t="shared" si="139"/>
        <v>0</v>
      </c>
    </row>
    <row r="3015" spans="23:34">
      <c r="W3015" s="177">
        <f t="shared" si="140"/>
        <v>0</v>
      </c>
      <c r="AB3015" s="178">
        <f t="shared" si="141"/>
        <v>0</v>
      </c>
      <c r="AH3015" s="177">
        <f t="shared" si="139"/>
        <v>0</v>
      </c>
    </row>
    <row r="3016" spans="23:34">
      <c r="W3016" s="177">
        <f t="shared" si="140"/>
        <v>0</v>
      </c>
      <c r="AB3016" s="178">
        <f t="shared" si="141"/>
        <v>0</v>
      </c>
      <c r="AH3016" s="177">
        <f t="shared" si="139"/>
        <v>0</v>
      </c>
    </row>
    <row r="3017" spans="23:34">
      <c r="W3017" s="177">
        <f t="shared" si="140"/>
        <v>0</v>
      </c>
      <c r="AB3017" s="178">
        <f t="shared" si="141"/>
        <v>0</v>
      </c>
      <c r="AH3017" s="177">
        <f t="shared" si="139"/>
        <v>0</v>
      </c>
    </row>
    <row r="3018" spans="23:34">
      <c r="W3018" s="177">
        <f t="shared" si="140"/>
        <v>0</v>
      </c>
      <c r="AB3018" s="178">
        <f t="shared" si="141"/>
        <v>0</v>
      </c>
      <c r="AH3018" s="177">
        <f t="shared" si="139"/>
        <v>0</v>
      </c>
    </row>
    <row r="3019" spans="23:34">
      <c r="W3019" s="177">
        <f t="shared" si="140"/>
        <v>0</v>
      </c>
      <c r="AB3019" s="178">
        <f t="shared" si="141"/>
        <v>0</v>
      </c>
      <c r="AH3019" s="177">
        <f t="shared" si="139"/>
        <v>0</v>
      </c>
    </row>
    <row r="3020" spans="23:34">
      <c r="W3020" s="177">
        <f t="shared" si="140"/>
        <v>0</v>
      </c>
      <c r="AB3020" s="178">
        <f t="shared" si="141"/>
        <v>0</v>
      </c>
      <c r="AH3020" s="177">
        <f t="shared" si="139"/>
        <v>0</v>
      </c>
    </row>
    <row r="3021" spans="23:34">
      <c r="W3021" s="177">
        <f t="shared" si="140"/>
        <v>0</v>
      </c>
      <c r="AB3021" s="178">
        <f t="shared" si="141"/>
        <v>0</v>
      </c>
      <c r="AH3021" s="177">
        <f t="shared" si="139"/>
        <v>0</v>
      </c>
    </row>
    <row r="3022" spans="23:34">
      <c r="W3022" s="177">
        <f t="shared" si="140"/>
        <v>0</v>
      </c>
      <c r="AB3022" s="178">
        <f t="shared" si="141"/>
        <v>0</v>
      </c>
      <c r="AH3022" s="177">
        <f t="shared" si="139"/>
        <v>0</v>
      </c>
    </row>
    <row r="3023" spans="23:34">
      <c r="W3023" s="177">
        <f t="shared" si="140"/>
        <v>0</v>
      </c>
      <c r="AB3023" s="178">
        <f t="shared" si="141"/>
        <v>0</v>
      </c>
      <c r="AH3023" s="177">
        <f t="shared" si="139"/>
        <v>0</v>
      </c>
    </row>
    <row r="3024" spans="23:34">
      <c r="W3024" s="177">
        <f t="shared" si="140"/>
        <v>0</v>
      </c>
      <c r="AB3024" s="178">
        <f t="shared" si="141"/>
        <v>0</v>
      </c>
      <c r="AH3024" s="177">
        <f t="shared" si="139"/>
        <v>0</v>
      </c>
    </row>
    <row r="3025" spans="23:34">
      <c r="W3025" s="177">
        <f t="shared" si="140"/>
        <v>0</v>
      </c>
      <c r="AB3025" s="178">
        <f t="shared" si="141"/>
        <v>0</v>
      </c>
      <c r="AH3025" s="177">
        <f t="shared" si="139"/>
        <v>0</v>
      </c>
    </row>
    <row r="3026" spans="23:34">
      <c r="W3026" s="177">
        <f t="shared" si="140"/>
        <v>0</v>
      </c>
      <c r="AB3026" s="178">
        <f t="shared" si="141"/>
        <v>0</v>
      </c>
      <c r="AH3026" s="177">
        <f t="shared" si="139"/>
        <v>0</v>
      </c>
    </row>
    <row r="3027" spans="23:34">
      <c r="W3027" s="177">
        <f t="shared" si="140"/>
        <v>0</v>
      </c>
      <c r="AB3027" s="178">
        <f t="shared" si="141"/>
        <v>0</v>
      </c>
      <c r="AH3027" s="177">
        <f t="shared" si="139"/>
        <v>0</v>
      </c>
    </row>
    <row r="3028" spans="23:34">
      <c r="W3028" s="177">
        <f t="shared" si="140"/>
        <v>0</v>
      </c>
      <c r="AB3028" s="178">
        <f t="shared" si="141"/>
        <v>0</v>
      </c>
      <c r="AH3028" s="177">
        <f t="shared" si="139"/>
        <v>0</v>
      </c>
    </row>
    <row r="3029" spans="23:34">
      <c r="W3029" s="177">
        <f t="shared" si="140"/>
        <v>0</v>
      </c>
      <c r="AB3029" s="178">
        <f t="shared" si="141"/>
        <v>0</v>
      </c>
      <c r="AH3029" s="177">
        <f t="shared" si="139"/>
        <v>0</v>
      </c>
    </row>
    <row r="3030" spans="23:34">
      <c r="W3030" s="177">
        <f t="shared" si="140"/>
        <v>0</v>
      </c>
      <c r="AB3030" s="178">
        <f t="shared" si="141"/>
        <v>0</v>
      </c>
      <c r="AH3030" s="177">
        <f t="shared" si="139"/>
        <v>0</v>
      </c>
    </row>
    <row r="3031" spans="23:34">
      <c r="W3031" s="177">
        <f t="shared" si="140"/>
        <v>0</v>
      </c>
      <c r="AB3031" s="178">
        <f t="shared" si="141"/>
        <v>0</v>
      </c>
      <c r="AH3031" s="177">
        <f t="shared" si="139"/>
        <v>0</v>
      </c>
    </row>
    <row r="3032" spans="23:34">
      <c r="W3032" s="177">
        <f t="shared" si="140"/>
        <v>0</v>
      </c>
      <c r="AB3032" s="178">
        <f t="shared" si="141"/>
        <v>0</v>
      </c>
      <c r="AH3032" s="177">
        <f t="shared" si="139"/>
        <v>0</v>
      </c>
    </row>
    <row r="3033" spans="23:34">
      <c r="W3033" s="177">
        <f t="shared" si="140"/>
        <v>0</v>
      </c>
      <c r="AB3033" s="178">
        <f t="shared" si="141"/>
        <v>0</v>
      </c>
      <c r="AH3033" s="177">
        <f t="shared" si="139"/>
        <v>0</v>
      </c>
    </row>
    <row r="3034" spans="23:34">
      <c r="W3034" s="177">
        <f t="shared" si="140"/>
        <v>0</v>
      </c>
      <c r="AB3034" s="178">
        <f t="shared" si="141"/>
        <v>0</v>
      </c>
      <c r="AH3034" s="177">
        <f t="shared" si="139"/>
        <v>0</v>
      </c>
    </row>
    <row r="3035" spans="23:34">
      <c r="W3035" s="177">
        <f t="shared" si="140"/>
        <v>0</v>
      </c>
      <c r="AB3035" s="178">
        <f t="shared" si="141"/>
        <v>0</v>
      </c>
      <c r="AH3035" s="177">
        <f t="shared" si="139"/>
        <v>0</v>
      </c>
    </row>
    <row r="3036" spans="23:34">
      <c r="W3036" s="177">
        <f t="shared" si="140"/>
        <v>0</v>
      </c>
      <c r="AB3036" s="178">
        <f t="shared" si="141"/>
        <v>0</v>
      </c>
      <c r="AH3036" s="177">
        <f t="shared" si="139"/>
        <v>0</v>
      </c>
    </row>
    <row r="3037" spans="23:34">
      <c r="W3037" s="177">
        <f t="shared" si="140"/>
        <v>0</v>
      </c>
      <c r="AB3037" s="178">
        <f t="shared" si="141"/>
        <v>0</v>
      </c>
      <c r="AH3037" s="177">
        <f t="shared" si="139"/>
        <v>0</v>
      </c>
    </row>
    <row r="3038" spans="23:34">
      <c r="W3038" s="177">
        <f t="shared" si="140"/>
        <v>0</v>
      </c>
      <c r="AB3038" s="178">
        <f t="shared" si="141"/>
        <v>0</v>
      </c>
      <c r="AH3038" s="177">
        <f t="shared" si="139"/>
        <v>0</v>
      </c>
    </row>
    <row r="3039" spans="23:34">
      <c r="W3039" s="177">
        <f t="shared" si="140"/>
        <v>0</v>
      </c>
      <c r="AB3039" s="178">
        <f t="shared" si="141"/>
        <v>0</v>
      </c>
      <c r="AH3039" s="177">
        <f t="shared" si="139"/>
        <v>0</v>
      </c>
    </row>
    <row r="3040" spans="23:34">
      <c r="W3040" s="177">
        <f t="shared" si="140"/>
        <v>0</v>
      </c>
      <c r="AB3040" s="178">
        <f t="shared" si="141"/>
        <v>0</v>
      </c>
      <c r="AH3040" s="177">
        <f t="shared" si="139"/>
        <v>0</v>
      </c>
    </row>
    <row r="3041" spans="23:34">
      <c r="W3041" s="177">
        <f t="shared" si="140"/>
        <v>0</v>
      </c>
      <c r="AB3041" s="178">
        <f t="shared" si="141"/>
        <v>0</v>
      </c>
      <c r="AH3041" s="177">
        <f t="shared" si="139"/>
        <v>0</v>
      </c>
    </row>
    <row r="3042" spans="23:34">
      <c r="W3042" s="177">
        <f t="shared" si="140"/>
        <v>0</v>
      </c>
      <c r="AB3042" s="178">
        <f t="shared" si="141"/>
        <v>0</v>
      </c>
      <c r="AH3042" s="177">
        <f t="shared" si="139"/>
        <v>0</v>
      </c>
    </row>
    <row r="3043" spans="23:34">
      <c r="W3043" s="177">
        <f t="shared" si="140"/>
        <v>0</v>
      </c>
      <c r="AB3043" s="178">
        <f t="shared" si="141"/>
        <v>0</v>
      </c>
      <c r="AH3043" s="177">
        <f t="shared" si="139"/>
        <v>0</v>
      </c>
    </row>
    <row r="3044" spans="23:34">
      <c r="W3044" s="177">
        <f t="shared" si="140"/>
        <v>0</v>
      </c>
      <c r="AB3044" s="178">
        <f t="shared" si="141"/>
        <v>0</v>
      </c>
      <c r="AH3044" s="177">
        <f t="shared" si="139"/>
        <v>0</v>
      </c>
    </row>
    <row r="3045" spans="23:34">
      <c r="W3045" s="177">
        <f t="shared" si="140"/>
        <v>0</v>
      </c>
      <c r="AB3045" s="178">
        <f t="shared" si="141"/>
        <v>0</v>
      </c>
      <c r="AH3045" s="177">
        <f t="shared" si="139"/>
        <v>0</v>
      </c>
    </row>
    <row r="3046" spans="23:34">
      <c r="W3046" s="177">
        <f t="shared" si="140"/>
        <v>0</v>
      </c>
      <c r="AB3046" s="178">
        <f t="shared" si="141"/>
        <v>0</v>
      </c>
      <c r="AH3046" s="177">
        <f t="shared" si="139"/>
        <v>0</v>
      </c>
    </row>
    <row r="3047" spans="23:34">
      <c r="W3047" s="177">
        <f t="shared" si="140"/>
        <v>0</v>
      </c>
      <c r="AB3047" s="178">
        <f t="shared" si="141"/>
        <v>0</v>
      </c>
      <c r="AH3047" s="177">
        <f t="shared" si="139"/>
        <v>0</v>
      </c>
    </row>
    <row r="3048" spans="23:34">
      <c r="W3048" s="177">
        <f t="shared" si="140"/>
        <v>0</v>
      </c>
      <c r="AB3048" s="178">
        <f t="shared" si="141"/>
        <v>0</v>
      </c>
      <c r="AH3048" s="177">
        <f t="shared" si="139"/>
        <v>0</v>
      </c>
    </row>
    <row r="3049" spans="23:34">
      <c r="W3049" s="177">
        <f t="shared" si="140"/>
        <v>0</v>
      </c>
      <c r="AB3049" s="178">
        <f t="shared" si="141"/>
        <v>0</v>
      </c>
      <c r="AH3049" s="177">
        <f t="shared" si="139"/>
        <v>0</v>
      </c>
    </row>
    <row r="3050" spans="23:34">
      <c r="W3050" s="177">
        <f t="shared" si="140"/>
        <v>0</v>
      </c>
      <c r="AB3050" s="178">
        <f t="shared" si="141"/>
        <v>0</v>
      </c>
      <c r="AH3050" s="177">
        <f t="shared" si="139"/>
        <v>0</v>
      </c>
    </row>
    <row r="3051" spans="23:34">
      <c r="W3051" s="177">
        <f t="shared" si="140"/>
        <v>0</v>
      </c>
      <c r="AB3051" s="178">
        <f t="shared" si="141"/>
        <v>0</v>
      </c>
      <c r="AH3051" s="177">
        <f t="shared" si="139"/>
        <v>0</v>
      </c>
    </row>
    <row r="3052" spans="23:34">
      <c r="W3052" s="177">
        <f t="shared" si="140"/>
        <v>0</v>
      </c>
      <c r="AB3052" s="178">
        <f t="shared" si="141"/>
        <v>0</v>
      </c>
      <c r="AH3052" s="177">
        <f t="shared" si="139"/>
        <v>0</v>
      </c>
    </row>
    <row r="3053" spans="23:34">
      <c r="W3053" s="177">
        <f t="shared" si="140"/>
        <v>0</v>
      </c>
      <c r="AB3053" s="178">
        <f t="shared" si="141"/>
        <v>0</v>
      </c>
      <c r="AH3053" s="177">
        <f t="shared" si="139"/>
        <v>0</v>
      </c>
    </row>
    <row r="3054" spans="23:34">
      <c r="W3054" s="177">
        <f t="shared" si="140"/>
        <v>0</v>
      </c>
      <c r="AB3054" s="178">
        <f t="shared" si="141"/>
        <v>0</v>
      </c>
      <c r="AH3054" s="177">
        <f t="shared" si="139"/>
        <v>0</v>
      </c>
    </row>
    <row r="3055" spans="23:34">
      <c r="W3055" s="177">
        <f t="shared" si="140"/>
        <v>0</v>
      </c>
      <c r="AB3055" s="178">
        <f t="shared" si="141"/>
        <v>0</v>
      </c>
      <c r="AH3055" s="177">
        <f t="shared" si="139"/>
        <v>0</v>
      </c>
    </row>
    <row r="3056" spans="23:34">
      <c r="W3056" s="177">
        <f t="shared" si="140"/>
        <v>0</v>
      </c>
      <c r="AB3056" s="178">
        <f t="shared" si="141"/>
        <v>0</v>
      </c>
      <c r="AH3056" s="177">
        <f t="shared" ref="AH3056:AH3119" si="142">SUM(AF3056:AG3056)</f>
        <v>0</v>
      </c>
    </row>
    <row r="3057" spans="23:34">
      <c r="W3057" s="177">
        <f t="shared" si="140"/>
        <v>0</v>
      </c>
      <c r="AB3057" s="178">
        <f t="shared" si="141"/>
        <v>0</v>
      </c>
      <c r="AH3057" s="177">
        <f t="shared" si="142"/>
        <v>0</v>
      </c>
    </row>
    <row r="3058" spans="23:34">
      <c r="W3058" s="177">
        <f t="shared" si="140"/>
        <v>0</v>
      </c>
      <c r="AB3058" s="178">
        <f t="shared" si="141"/>
        <v>0</v>
      </c>
      <c r="AH3058" s="177">
        <f t="shared" si="142"/>
        <v>0</v>
      </c>
    </row>
    <row r="3059" spans="23:34">
      <c r="W3059" s="177">
        <f t="shared" ref="W3059:W3122" si="143">SUM(Q3059:T3059)</f>
        <v>0</v>
      </c>
      <c r="AB3059" s="178">
        <f t="shared" si="141"/>
        <v>0</v>
      </c>
      <c r="AH3059" s="177">
        <f t="shared" si="142"/>
        <v>0</v>
      </c>
    </row>
    <row r="3060" spans="23:34">
      <c r="W3060" s="177">
        <f t="shared" si="143"/>
        <v>0</v>
      </c>
      <c r="AB3060" s="178">
        <f t="shared" si="141"/>
        <v>0</v>
      </c>
      <c r="AH3060" s="177">
        <f t="shared" si="142"/>
        <v>0</v>
      </c>
    </row>
    <row r="3061" spans="23:34">
      <c r="W3061" s="177">
        <f t="shared" si="143"/>
        <v>0</v>
      </c>
      <c r="AB3061" s="178">
        <f t="shared" si="141"/>
        <v>0</v>
      </c>
      <c r="AH3061" s="177">
        <f t="shared" si="142"/>
        <v>0</v>
      </c>
    </row>
    <row r="3062" spans="23:34">
      <c r="W3062" s="177">
        <f t="shared" si="143"/>
        <v>0</v>
      </c>
      <c r="AB3062" s="178">
        <f t="shared" si="141"/>
        <v>0</v>
      </c>
      <c r="AH3062" s="177">
        <f t="shared" si="142"/>
        <v>0</v>
      </c>
    </row>
    <row r="3063" spans="23:34">
      <c r="W3063" s="177">
        <f t="shared" si="143"/>
        <v>0</v>
      </c>
      <c r="AB3063" s="178">
        <f t="shared" si="141"/>
        <v>0</v>
      </c>
      <c r="AH3063" s="177">
        <f t="shared" si="142"/>
        <v>0</v>
      </c>
    </row>
    <row r="3064" spans="23:34">
      <c r="W3064" s="177">
        <f t="shared" si="143"/>
        <v>0</v>
      </c>
      <c r="AB3064" s="178">
        <f t="shared" si="141"/>
        <v>0</v>
      </c>
      <c r="AH3064" s="177">
        <f t="shared" si="142"/>
        <v>0</v>
      </c>
    </row>
    <row r="3065" spans="23:34">
      <c r="W3065" s="177">
        <f t="shared" si="143"/>
        <v>0</v>
      </c>
      <c r="AB3065" s="178">
        <f t="shared" si="141"/>
        <v>0</v>
      </c>
      <c r="AH3065" s="177">
        <f t="shared" si="142"/>
        <v>0</v>
      </c>
    </row>
    <row r="3066" spans="23:34">
      <c r="W3066" s="177">
        <f t="shared" si="143"/>
        <v>0</v>
      </c>
      <c r="AB3066" s="178">
        <f t="shared" si="141"/>
        <v>0</v>
      </c>
      <c r="AH3066" s="177">
        <f t="shared" si="142"/>
        <v>0</v>
      </c>
    </row>
    <row r="3067" spans="23:34">
      <c r="W3067" s="177">
        <f t="shared" si="143"/>
        <v>0</v>
      </c>
      <c r="AB3067" s="178">
        <f t="shared" ref="AB3067:AB3130" si="144">SUM(Z3067:AA3067)</f>
        <v>0</v>
      </c>
      <c r="AH3067" s="177">
        <f t="shared" si="142"/>
        <v>0</v>
      </c>
    </row>
    <row r="3068" spans="23:34">
      <c r="W3068" s="177">
        <f t="shared" si="143"/>
        <v>0</v>
      </c>
      <c r="AB3068" s="178">
        <f t="shared" si="144"/>
        <v>0</v>
      </c>
      <c r="AH3068" s="177">
        <f t="shared" si="142"/>
        <v>0</v>
      </c>
    </row>
    <row r="3069" spans="23:34">
      <c r="W3069" s="177">
        <f t="shared" si="143"/>
        <v>0</v>
      </c>
      <c r="AB3069" s="178">
        <f t="shared" si="144"/>
        <v>0</v>
      </c>
      <c r="AH3069" s="177">
        <f t="shared" si="142"/>
        <v>0</v>
      </c>
    </row>
    <row r="3070" spans="23:34">
      <c r="W3070" s="177">
        <f t="shared" si="143"/>
        <v>0</v>
      </c>
      <c r="AB3070" s="178">
        <f t="shared" si="144"/>
        <v>0</v>
      </c>
      <c r="AH3070" s="177">
        <f t="shared" si="142"/>
        <v>0</v>
      </c>
    </row>
    <row r="3071" spans="23:34">
      <c r="W3071" s="177">
        <f t="shared" si="143"/>
        <v>0</v>
      </c>
      <c r="AB3071" s="178">
        <f t="shared" si="144"/>
        <v>0</v>
      </c>
      <c r="AH3071" s="177">
        <f t="shared" si="142"/>
        <v>0</v>
      </c>
    </row>
    <row r="3072" spans="23:34">
      <c r="W3072" s="177">
        <f t="shared" si="143"/>
        <v>0</v>
      </c>
      <c r="AB3072" s="178">
        <f t="shared" si="144"/>
        <v>0</v>
      </c>
      <c r="AH3072" s="177">
        <f t="shared" si="142"/>
        <v>0</v>
      </c>
    </row>
    <row r="3073" spans="23:34">
      <c r="W3073" s="177">
        <f t="shared" si="143"/>
        <v>0</v>
      </c>
      <c r="AB3073" s="178">
        <f t="shared" si="144"/>
        <v>0</v>
      </c>
      <c r="AH3073" s="177">
        <f t="shared" si="142"/>
        <v>0</v>
      </c>
    </row>
    <row r="3074" spans="23:34">
      <c r="W3074" s="177">
        <f t="shared" si="143"/>
        <v>0</v>
      </c>
      <c r="AB3074" s="178">
        <f t="shared" si="144"/>
        <v>0</v>
      </c>
      <c r="AH3074" s="177">
        <f t="shared" si="142"/>
        <v>0</v>
      </c>
    </row>
    <row r="3075" spans="23:34">
      <c r="W3075" s="177">
        <f t="shared" si="143"/>
        <v>0</v>
      </c>
      <c r="AB3075" s="178">
        <f t="shared" si="144"/>
        <v>0</v>
      </c>
      <c r="AH3075" s="177">
        <f t="shared" si="142"/>
        <v>0</v>
      </c>
    </row>
    <row r="3076" spans="23:34">
      <c r="W3076" s="177">
        <f t="shared" si="143"/>
        <v>0</v>
      </c>
      <c r="AB3076" s="178">
        <f t="shared" si="144"/>
        <v>0</v>
      </c>
      <c r="AH3076" s="177">
        <f t="shared" si="142"/>
        <v>0</v>
      </c>
    </row>
    <row r="3077" spans="23:34">
      <c r="W3077" s="177">
        <f t="shared" si="143"/>
        <v>0</v>
      </c>
      <c r="AB3077" s="178">
        <f t="shared" si="144"/>
        <v>0</v>
      </c>
      <c r="AH3077" s="177">
        <f t="shared" si="142"/>
        <v>0</v>
      </c>
    </row>
    <row r="3078" spans="23:34">
      <c r="W3078" s="177">
        <f t="shared" si="143"/>
        <v>0</v>
      </c>
      <c r="AB3078" s="178">
        <f t="shared" si="144"/>
        <v>0</v>
      </c>
      <c r="AH3078" s="177">
        <f t="shared" si="142"/>
        <v>0</v>
      </c>
    </row>
    <row r="3079" spans="23:34">
      <c r="W3079" s="177">
        <f t="shared" si="143"/>
        <v>0</v>
      </c>
      <c r="AB3079" s="178">
        <f t="shared" si="144"/>
        <v>0</v>
      </c>
      <c r="AH3079" s="177">
        <f t="shared" si="142"/>
        <v>0</v>
      </c>
    </row>
    <row r="3080" spans="23:34">
      <c r="W3080" s="177">
        <f t="shared" si="143"/>
        <v>0</v>
      </c>
      <c r="AB3080" s="178">
        <f t="shared" si="144"/>
        <v>0</v>
      </c>
      <c r="AH3080" s="177">
        <f t="shared" si="142"/>
        <v>0</v>
      </c>
    </row>
    <row r="3081" spans="23:34">
      <c r="W3081" s="177">
        <f t="shared" si="143"/>
        <v>0</v>
      </c>
      <c r="AB3081" s="178">
        <f t="shared" si="144"/>
        <v>0</v>
      </c>
      <c r="AH3081" s="177">
        <f t="shared" si="142"/>
        <v>0</v>
      </c>
    </row>
    <row r="3082" spans="23:34">
      <c r="W3082" s="177">
        <f t="shared" si="143"/>
        <v>0</v>
      </c>
      <c r="AB3082" s="178">
        <f t="shared" si="144"/>
        <v>0</v>
      </c>
      <c r="AH3082" s="177">
        <f t="shared" si="142"/>
        <v>0</v>
      </c>
    </row>
    <row r="3083" spans="23:34">
      <c r="W3083" s="177">
        <f t="shared" si="143"/>
        <v>0</v>
      </c>
      <c r="AB3083" s="178">
        <f t="shared" si="144"/>
        <v>0</v>
      </c>
      <c r="AH3083" s="177">
        <f t="shared" si="142"/>
        <v>0</v>
      </c>
    </row>
    <row r="3084" spans="23:34">
      <c r="W3084" s="177">
        <f t="shared" si="143"/>
        <v>0</v>
      </c>
      <c r="AB3084" s="178">
        <f t="shared" si="144"/>
        <v>0</v>
      </c>
      <c r="AH3084" s="177">
        <f t="shared" si="142"/>
        <v>0</v>
      </c>
    </row>
    <row r="3085" spans="23:34">
      <c r="W3085" s="177">
        <f t="shared" si="143"/>
        <v>0</v>
      </c>
      <c r="AB3085" s="178">
        <f t="shared" si="144"/>
        <v>0</v>
      </c>
      <c r="AH3085" s="177">
        <f t="shared" si="142"/>
        <v>0</v>
      </c>
    </row>
    <row r="3086" spans="23:34">
      <c r="W3086" s="177">
        <f t="shared" si="143"/>
        <v>0</v>
      </c>
      <c r="AB3086" s="178">
        <f t="shared" si="144"/>
        <v>0</v>
      </c>
      <c r="AH3086" s="177">
        <f t="shared" si="142"/>
        <v>0</v>
      </c>
    </row>
    <row r="3087" spans="23:34">
      <c r="W3087" s="177">
        <f t="shared" si="143"/>
        <v>0</v>
      </c>
      <c r="AB3087" s="178">
        <f t="shared" si="144"/>
        <v>0</v>
      </c>
      <c r="AH3087" s="177">
        <f t="shared" si="142"/>
        <v>0</v>
      </c>
    </row>
    <row r="3088" spans="23:34">
      <c r="W3088" s="177">
        <f t="shared" si="143"/>
        <v>0</v>
      </c>
      <c r="AB3088" s="178">
        <f t="shared" si="144"/>
        <v>0</v>
      </c>
      <c r="AH3088" s="177">
        <f t="shared" si="142"/>
        <v>0</v>
      </c>
    </row>
    <row r="3089" spans="23:34">
      <c r="W3089" s="177">
        <f t="shared" si="143"/>
        <v>0</v>
      </c>
      <c r="AB3089" s="178">
        <f t="shared" si="144"/>
        <v>0</v>
      </c>
      <c r="AH3089" s="177">
        <f t="shared" si="142"/>
        <v>0</v>
      </c>
    </row>
    <row r="3090" spans="23:34">
      <c r="W3090" s="177">
        <f t="shared" si="143"/>
        <v>0</v>
      </c>
      <c r="AB3090" s="178">
        <f t="shared" si="144"/>
        <v>0</v>
      </c>
      <c r="AH3090" s="177">
        <f t="shared" si="142"/>
        <v>0</v>
      </c>
    </row>
    <row r="3091" spans="23:34">
      <c r="W3091" s="177">
        <f t="shared" si="143"/>
        <v>0</v>
      </c>
      <c r="AB3091" s="178">
        <f t="shared" si="144"/>
        <v>0</v>
      </c>
      <c r="AH3091" s="177">
        <f t="shared" si="142"/>
        <v>0</v>
      </c>
    </row>
    <row r="3092" spans="23:34">
      <c r="W3092" s="177">
        <f t="shared" si="143"/>
        <v>0</v>
      </c>
      <c r="AB3092" s="178">
        <f t="shared" si="144"/>
        <v>0</v>
      </c>
      <c r="AH3092" s="177">
        <f t="shared" si="142"/>
        <v>0</v>
      </c>
    </row>
    <row r="3093" spans="23:34">
      <c r="W3093" s="177">
        <f t="shared" si="143"/>
        <v>0</v>
      </c>
      <c r="AB3093" s="178">
        <f t="shared" si="144"/>
        <v>0</v>
      </c>
      <c r="AH3093" s="177">
        <f t="shared" si="142"/>
        <v>0</v>
      </c>
    </row>
    <row r="3094" spans="23:34">
      <c r="W3094" s="177">
        <f t="shared" si="143"/>
        <v>0</v>
      </c>
      <c r="AB3094" s="178">
        <f t="shared" si="144"/>
        <v>0</v>
      </c>
      <c r="AH3094" s="177">
        <f t="shared" si="142"/>
        <v>0</v>
      </c>
    </row>
    <row r="3095" spans="23:34">
      <c r="W3095" s="177">
        <f t="shared" si="143"/>
        <v>0</v>
      </c>
      <c r="AB3095" s="178">
        <f t="shared" si="144"/>
        <v>0</v>
      </c>
      <c r="AH3095" s="177">
        <f t="shared" si="142"/>
        <v>0</v>
      </c>
    </row>
    <row r="3096" spans="23:34">
      <c r="W3096" s="177">
        <f t="shared" si="143"/>
        <v>0</v>
      </c>
      <c r="AB3096" s="178">
        <f t="shared" si="144"/>
        <v>0</v>
      </c>
      <c r="AH3096" s="177">
        <f t="shared" si="142"/>
        <v>0</v>
      </c>
    </row>
    <row r="3097" spans="23:34">
      <c r="W3097" s="177">
        <f t="shared" si="143"/>
        <v>0</v>
      </c>
      <c r="AB3097" s="178">
        <f t="shared" si="144"/>
        <v>0</v>
      </c>
      <c r="AH3097" s="177">
        <f t="shared" si="142"/>
        <v>0</v>
      </c>
    </row>
    <row r="3098" spans="23:34">
      <c r="W3098" s="177">
        <f t="shared" si="143"/>
        <v>0</v>
      </c>
      <c r="AB3098" s="178">
        <f t="shared" si="144"/>
        <v>0</v>
      </c>
      <c r="AH3098" s="177">
        <f t="shared" si="142"/>
        <v>0</v>
      </c>
    </row>
    <row r="3099" spans="23:34">
      <c r="W3099" s="177">
        <f t="shared" si="143"/>
        <v>0</v>
      </c>
      <c r="AB3099" s="178">
        <f t="shared" si="144"/>
        <v>0</v>
      </c>
      <c r="AH3099" s="177">
        <f t="shared" si="142"/>
        <v>0</v>
      </c>
    </row>
    <row r="3100" spans="23:34">
      <c r="W3100" s="177">
        <f t="shared" si="143"/>
        <v>0</v>
      </c>
      <c r="AB3100" s="178">
        <f t="shared" si="144"/>
        <v>0</v>
      </c>
      <c r="AH3100" s="177">
        <f t="shared" si="142"/>
        <v>0</v>
      </c>
    </row>
    <row r="3101" spans="23:34">
      <c r="W3101" s="177">
        <f t="shared" si="143"/>
        <v>0</v>
      </c>
      <c r="AB3101" s="178">
        <f t="shared" si="144"/>
        <v>0</v>
      </c>
      <c r="AH3101" s="177">
        <f t="shared" si="142"/>
        <v>0</v>
      </c>
    </row>
    <row r="3102" spans="23:34">
      <c r="W3102" s="177">
        <f t="shared" si="143"/>
        <v>0</v>
      </c>
      <c r="AB3102" s="178">
        <f t="shared" si="144"/>
        <v>0</v>
      </c>
      <c r="AH3102" s="177">
        <f t="shared" si="142"/>
        <v>0</v>
      </c>
    </row>
    <row r="3103" spans="23:34">
      <c r="W3103" s="177">
        <f t="shared" si="143"/>
        <v>0</v>
      </c>
      <c r="AB3103" s="178">
        <f t="shared" si="144"/>
        <v>0</v>
      </c>
      <c r="AH3103" s="177">
        <f t="shared" si="142"/>
        <v>0</v>
      </c>
    </row>
    <row r="3104" spans="23:34">
      <c r="W3104" s="177">
        <f t="shared" si="143"/>
        <v>0</v>
      </c>
      <c r="AB3104" s="178">
        <f t="shared" si="144"/>
        <v>0</v>
      </c>
      <c r="AH3104" s="177">
        <f t="shared" si="142"/>
        <v>0</v>
      </c>
    </row>
    <row r="3105" spans="23:34">
      <c r="W3105" s="177">
        <f t="shared" si="143"/>
        <v>0</v>
      </c>
      <c r="AB3105" s="178">
        <f t="shared" si="144"/>
        <v>0</v>
      </c>
      <c r="AH3105" s="177">
        <f t="shared" si="142"/>
        <v>0</v>
      </c>
    </row>
    <row r="3106" spans="23:34">
      <c r="W3106" s="177">
        <f t="shared" si="143"/>
        <v>0</v>
      </c>
      <c r="AB3106" s="178">
        <f t="shared" si="144"/>
        <v>0</v>
      </c>
      <c r="AH3106" s="177">
        <f t="shared" si="142"/>
        <v>0</v>
      </c>
    </row>
    <row r="3107" spans="23:34">
      <c r="W3107" s="177">
        <f t="shared" si="143"/>
        <v>0</v>
      </c>
      <c r="AB3107" s="178">
        <f t="shared" si="144"/>
        <v>0</v>
      </c>
      <c r="AH3107" s="177">
        <f t="shared" si="142"/>
        <v>0</v>
      </c>
    </row>
    <row r="3108" spans="23:34">
      <c r="W3108" s="177">
        <f t="shared" si="143"/>
        <v>0</v>
      </c>
      <c r="AB3108" s="178">
        <f t="shared" si="144"/>
        <v>0</v>
      </c>
      <c r="AH3108" s="177">
        <f t="shared" si="142"/>
        <v>0</v>
      </c>
    </row>
    <row r="3109" spans="23:34">
      <c r="W3109" s="177">
        <f t="shared" si="143"/>
        <v>0</v>
      </c>
      <c r="AB3109" s="178">
        <f t="shared" si="144"/>
        <v>0</v>
      </c>
      <c r="AH3109" s="177">
        <f t="shared" si="142"/>
        <v>0</v>
      </c>
    </row>
    <row r="3110" spans="23:34">
      <c r="W3110" s="177">
        <f t="shared" si="143"/>
        <v>0</v>
      </c>
      <c r="AB3110" s="178">
        <f t="shared" si="144"/>
        <v>0</v>
      </c>
      <c r="AH3110" s="177">
        <f t="shared" si="142"/>
        <v>0</v>
      </c>
    </row>
    <row r="3111" spans="23:34">
      <c r="W3111" s="177">
        <f t="shared" si="143"/>
        <v>0</v>
      </c>
      <c r="AB3111" s="178">
        <f t="shared" si="144"/>
        <v>0</v>
      </c>
      <c r="AH3111" s="177">
        <f t="shared" si="142"/>
        <v>0</v>
      </c>
    </row>
    <row r="3112" spans="23:34">
      <c r="W3112" s="177">
        <f t="shared" si="143"/>
        <v>0</v>
      </c>
      <c r="AB3112" s="178">
        <f t="shared" si="144"/>
        <v>0</v>
      </c>
      <c r="AH3112" s="177">
        <f t="shared" si="142"/>
        <v>0</v>
      </c>
    </row>
    <row r="3113" spans="23:34">
      <c r="W3113" s="177">
        <f t="shared" si="143"/>
        <v>0</v>
      </c>
      <c r="AB3113" s="178">
        <f t="shared" si="144"/>
        <v>0</v>
      </c>
      <c r="AH3113" s="177">
        <f t="shared" si="142"/>
        <v>0</v>
      </c>
    </row>
    <row r="3114" spans="23:34">
      <c r="W3114" s="177">
        <f t="shared" si="143"/>
        <v>0</v>
      </c>
      <c r="AB3114" s="178">
        <f t="shared" si="144"/>
        <v>0</v>
      </c>
      <c r="AH3114" s="177">
        <f t="shared" si="142"/>
        <v>0</v>
      </c>
    </row>
    <row r="3115" spans="23:34">
      <c r="W3115" s="177">
        <f t="shared" si="143"/>
        <v>0</v>
      </c>
      <c r="AB3115" s="178">
        <f t="shared" si="144"/>
        <v>0</v>
      </c>
      <c r="AH3115" s="177">
        <f t="shared" si="142"/>
        <v>0</v>
      </c>
    </row>
    <row r="3116" spans="23:34">
      <c r="W3116" s="177">
        <f t="shared" si="143"/>
        <v>0</v>
      </c>
      <c r="AB3116" s="178">
        <f t="shared" si="144"/>
        <v>0</v>
      </c>
      <c r="AH3116" s="177">
        <f t="shared" si="142"/>
        <v>0</v>
      </c>
    </row>
    <row r="3117" spans="23:34">
      <c r="W3117" s="177">
        <f t="shared" si="143"/>
        <v>0</v>
      </c>
      <c r="AB3117" s="178">
        <f t="shared" si="144"/>
        <v>0</v>
      </c>
      <c r="AH3117" s="177">
        <f t="shared" si="142"/>
        <v>0</v>
      </c>
    </row>
    <row r="3118" spans="23:34">
      <c r="W3118" s="177">
        <f t="shared" si="143"/>
        <v>0</v>
      </c>
      <c r="AB3118" s="178">
        <f t="shared" si="144"/>
        <v>0</v>
      </c>
      <c r="AH3118" s="177">
        <f t="shared" si="142"/>
        <v>0</v>
      </c>
    </row>
    <row r="3119" spans="23:34">
      <c r="W3119" s="177">
        <f t="shared" si="143"/>
        <v>0</v>
      </c>
      <c r="AB3119" s="178">
        <f t="shared" si="144"/>
        <v>0</v>
      </c>
      <c r="AH3119" s="177">
        <f t="shared" si="142"/>
        <v>0</v>
      </c>
    </row>
    <row r="3120" spans="23:34">
      <c r="W3120" s="177">
        <f t="shared" si="143"/>
        <v>0</v>
      </c>
      <c r="AB3120" s="178">
        <f t="shared" si="144"/>
        <v>0</v>
      </c>
      <c r="AH3120" s="177">
        <f t="shared" ref="AH3120:AH3183" si="145">SUM(AF3120:AG3120)</f>
        <v>0</v>
      </c>
    </row>
    <row r="3121" spans="23:34">
      <c r="W3121" s="177">
        <f t="shared" si="143"/>
        <v>0</v>
      </c>
      <c r="AB3121" s="178">
        <f t="shared" si="144"/>
        <v>0</v>
      </c>
      <c r="AH3121" s="177">
        <f t="shared" si="145"/>
        <v>0</v>
      </c>
    </row>
    <row r="3122" spans="23:34">
      <c r="W3122" s="177">
        <f t="shared" si="143"/>
        <v>0</v>
      </c>
      <c r="AB3122" s="178">
        <f t="shared" si="144"/>
        <v>0</v>
      </c>
      <c r="AH3122" s="177">
        <f t="shared" si="145"/>
        <v>0</v>
      </c>
    </row>
    <row r="3123" spans="23:34">
      <c r="W3123" s="177">
        <f t="shared" ref="W3123:W3186" si="146">SUM(Q3123:T3123)</f>
        <v>0</v>
      </c>
      <c r="AB3123" s="178">
        <f t="shared" si="144"/>
        <v>0</v>
      </c>
      <c r="AH3123" s="177">
        <f t="shared" si="145"/>
        <v>0</v>
      </c>
    </row>
    <row r="3124" spans="23:34">
      <c r="W3124" s="177">
        <f t="shared" si="146"/>
        <v>0</v>
      </c>
      <c r="AB3124" s="178">
        <f t="shared" si="144"/>
        <v>0</v>
      </c>
      <c r="AH3124" s="177">
        <f t="shared" si="145"/>
        <v>0</v>
      </c>
    </row>
    <row r="3125" spans="23:34">
      <c r="W3125" s="177">
        <f t="shared" si="146"/>
        <v>0</v>
      </c>
      <c r="AB3125" s="178">
        <f t="shared" si="144"/>
        <v>0</v>
      </c>
      <c r="AH3125" s="177">
        <f t="shared" si="145"/>
        <v>0</v>
      </c>
    </row>
    <row r="3126" spans="23:34">
      <c r="W3126" s="177">
        <f t="shared" si="146"/>
        <v>0</v>
      </c>
      <c r="AB3126" s="178">
        <f t="shared" si="144"/>
        <v>0</v>
      </c>
      <c r="AH3126" s="177">
        <f t="shared" si="145"/>
        <v>0</v>
      </c>
    </row>
    <row r="3127" spans="23:34">
      <c r="W3127" s="177">
        <f t="shared" si="146"/>
        <v>0</v>
      </c>
      <c r="AB3127" s="178">
        <f t="shared" si="144"/>
        <v>0</v>
      </c>
      <c r="AH3127" s="177">
        <f t="shared" si="145"/>
        <v>0</v>
      </c>
    </row>
    <row r="3128" spans="23:34">
      <c r="W3128" s="177">
        <f t="shared" si="146"/>
        <v>0</v>
      </c>
      <c r="AB3128" s="178">
        <f t="shared" si="144"/>
        <v>0</v>
      </c>
      <c r="AH3128" s="177">
        <f t="shared" si="145"/>
        <v>0</v>
      </c>
    </row>
    <row r="3129" spans="23:34">
      <c r="W3129" s="177">
        <f t="shared" si="146"/>
        <v>0</v>
      </c>
      <c r="AB3129" s="178">
        <f t="shared" si="144"/>
        <v>0</v>
      </c>
      <c r="AH3129" s="177">
        <f t="shared" si="145"/>
        <v>0</v>
      </c>
    </row>
    <row r="3130" spans="23:34">
      <c r="W3130" s="177">
        <f t="shared" si="146"/>
        <v>0</v>
      </c>
      <c r="AB3130" s="178">
        <f t="shared" si="144"/>
        <v>0</v>
      </c>
      <c r="AH3130" s="177">
        <f t="shared" si="145"/>
        <v>0</v>
      </c>
    </row>
    <row r="3131" spans="23:34">
      <c r="W3131" s="177">
        <f t="shared" si="146"/>
        <v>0</v>
      </c>
      <c r="AB3131" s="178">
        <f t="shared" ref="AB3131:AB3194" si="147">SUM(Z3131:AA3131)</f>
        <v>0</v>
      </c>
      <c r="AH3131" s="177">
        <f t="shared" si="145"/>
        <v>0</v>
      </c>
    </row>
    <row r="3132" spans="23:34">
      <c r="W3132" s="177">
        <f t="shared" si="146"/>
        <v>0</v>
      </c>
      <c r="AB3132" s="178">
        <f t="shared" si="147"/>
        <v>0</v>
      </c>
      <c r="AH3132" s="177">
        <f t="shared" si="145"/>
        <v>0</v>
      </c>
    </row>
    <row r="3133" spans="23:34">
      <c r="W3133" s="177">
        <f t="shared" si="146"/>
        <v>0</v>
      </c>
      <c r="AB3133" s="178">
        <f t="shared" si="147"/>
        <v>0</v>
      </c>
      <c r="AH3133" s="177">
        <f t="shared" si="145"/>
        <v>0</v>
      </c>
    </row>
    <row r="3134" spans="23:34">
      <c r="W3134" s="177">
        <f t="shared" si="146"/>
        <v>0</v>
      </c>
      <c r="AB3134" s="178">
        <f t="shared" si="147"/>
        <v>0</v>
      </c>
      <c r="AH3134" s="177">
        <f t="shared" si="145"/>
        <v>0</v>
      </c>
    </row>
    <row r="3135" spans="23:34">
      <c r="W3135" s="177">
        <f t="shared" si="146"/>
        <v>0</v>
      </c>
      <c r="AB3135" s="178">
        <f t="shared" si="147"/>
        <v>0</v>
      </c>
      <c r="AH3135" s="177">
        <f t="shared" si="145"/>
        <v>0</v>
      </c>
    </row>
    <row r="3136" spans="23:34">
      <c r="W3136" s="177">
        <f t="shared" si="146"/>
        <v>0</v>
      </c>
      <c r="AB3136" s="178">
        <f t="shared" si="147"/>
        <v>0</v>
      </c>
      <c r="AH3136" s="177">
        <f t="shared" si="145"/>
        <v>0</v>
      </c>
    </row>
    <row r="3137" spans="23:34">
      <c r="W3137" s="177">
        <f t="shared" si="146"/>
        <v>0</v>
      </c>
      <c r="AB3137" s="178">
        <f t="shared" si="147"/>
        <v>0</v>
      </c>
      <c r="AH3137" s="177">
        <f t="shared" si="145"/>
        <v>0</v>
      </c>
    </row>
    <row r="3138" spans="23:34">
      <c r="W3138" s="177">
        <f t="shared" si="146"/>
        <v>0</v>
      </c>
      <c r="AB3138" s="178">
        <f t="shared" si="147"/>
        <v>0</v>
      </c>
      <c r="AH3138" s="177">
        <f t="shared" si="145"/>
        <v>0</v>
      </c>
    </row>
    <row r="3139" spans="23:34">
      <c r="W3139" s="177">
        <f t="shared" si="146"/>
        <v>0</v>
      </c>
      <c r="AB3139" s="178">
        <f t="shared" si="147"/>
        <v>0</v>
      </c>
      <c r="AH3139" s="177">
        <f t="shared" si="145"/>
        <v>0</v>
      </c>
    </row>
    <row r="3140" spans="23:34">
      <c r="W3140" s="177">
        <f t="shared" si="146"/>
        <v>0</v>
      </c>
      <c r="AB3140" s="178">
        <f t="shared" si="147"/>
        <v>0</v>
      </c>
      <c r="AH3140" s="177">
        <f t="shared" si="145"/>
        <v>0</v>
      </c>
    </row>
    <row r="3141" spans="23:34">
      <c r="W3141" s="177">
        <f t="shared" si="146"/>
        <v>0</v>
      </c>
      <c r="AB3141" s="178">
        <f t="shared" si="147"/>
        <v>0</v>
      </c>
      <c r="AH3141" s="177">
        <f t="shared" si="145"/>
        <v>0</v>
      </c>
    </row>
    <row r="3142" spans="23:34">
      <c r="W3142" s="177">
        <f t="shared" si="146"/>
        <v>0</v>
      </c>
      <c r="AB3142" s="178">
        <f t="shared" si="147"/>
        <v>0</v>
      </c>
      <c r="AH3142" s="177">
        <f t="shared" si="145"/>
        <v>0</v>
      </c>
    </row>
    <row r="3143" spans="23:34">
      <c r="W3143" s="177">
        <f t="shared" si="146"/>
        <v>0</v>
      </c>
      <c r="AB3143" s="178">
        <f t="shared" si="147"/>
        <v>0</v>
      </c>
      <c r="AH3143" s="177">
        <f t="shared" si="145"/>
        <v>0</v>
      </c>
    </row>
    <row r="3144" spans="23:34">
      <c r="W3144" s="177">
        <f t="shared" si="146"/>
        <v>0</v>
      </c>
      <c r="AB3144" s="178">
        <f t="shared" si="147"/>
        <v>0</v>
      </c>
      <c r="AH3144" s="177">
        <f t="shared" si="145"/>
        <v>0</v>
      </c>
    </row>
    <row r="3145" spans="23:34">
      <c r="W3145" s="177">
        <f t="shared" si="146"/>
        <v>0</v>
      </c>
      <c r="AB3145" s="178">
        <f t="shared" si="147"/>
        <v>0</v>
      </c>
      <c r="AH3145" s="177">
        <f t="shared" si="145"/>
        <v>0</v>
      </c>
    </row>
    <row r="3146" spans="23:34">
      <c r="W3146" s="177">
        <f t="shared" si="146"/>
        <v>0</v>
      </c>
      <c r="AB3146" s="178">
        <f t="shared" si="147"/>
        <v>0</v>
      </c>
      <c r="AH3146" s="177">
        <f t="shared" si="145"/>
        <v>0</v>
      </c>
    </row>
    <row r="3147" spans="23:34">
      <c r="W3147" s="177">
        <f t="shared" si="146"/>
        <v>0</v>
      </c>
      <c r="AB3147" s="178">
        <f t="shared" si="147"/>
        <v>0</v>
      </c>
      <c r="AH3147" s="177">
        <f t="shared" si="145"/>
        <v>0</v>
      </c>
    </row>
    <row r="3148" spans="23:34">
      <c r="W3148" s="177">
        <f t="shared" si="146"/>
        <v>0</v>
      </c>
      <c r="AB3148" s="178">
        <f t="shared" si="147"/>
        <v>0</v>
      </c>
      <c r="AH3148" s="177">
        <f t="shared" si="145"/>
        <v>0</v>
      </c>
    </row>
    <row r="3149" spans="23:34">
      <c r="W3149" s="177">
        <f t="shared" si="146"/>
        <v>0</v>
      </c>
      <c r="AB3149" s="178">
        <f t="shared" si="147"/>
        <v>0</v>
      </c>
      <c r="AH3149" s="177">
        <f t="shared" si="145"/>
        <v>0</v>
      </c>
    </row>
    <row r="3150" spans="23:34">
      <c r="W3150" s="177">
        <f t="shared" si="146"/>
        <v>0</v>
      </c>
      <c r="AB3150" s="178">
        <f t="shared" si="147"/>
        <v>0</v>
      </c>
      <c r="AH3150" s="177">
        <f t="shared" si="145"/>
        <v>0</v>
      </c>
    </row>
    <row r="3151" spans="23:34">
      <c r="W3151" s="177">
        <f t="shared" si="146"/>
        <v>0</v>
      </c>
      <c r="AB3151" s="178">
        <f t="shared" si="147"/>
        <v>0</v>
      </c>
      <c r="AH3151" s="177">
        <f t="shared" si="145"/>
        <v>0</v>
      </c>
    </row>
    <row r="3152" spans="23:34">
      <c r="W3152" s="177">
        <f t="shared" si="146"/>
        <v>0</v>
      </c>
      <c r="AB3152" s="178">
        <f t="shared" si="147"/>
        <v>0</v>
      </c>
      <c r="AH3152" s="177">
        <f t="shared" si="145"/>
        <v>0</v>
      </c>
    </row>
    <row r="3153" spans="23:34">
      <c r="W3153" s="177">
        <f t="shared" si="146"/>
        <v>0</v>
      </c>
      <c r="AB3153" s="178">
        <f t="shared" si="147"/>
        <v>0</v>
      </c>
      <c r="AH3153" s="177">
        <f t="shared" si="145"/>
        <v>0</v>
      </c>
    </row>
    <row r="3154" spans="23:34">
      <c r="W3154" s="177">
        <f t="shared" si="146"/>
        <v>0</v>
      </c>
      <c r="AB3154" s="178">
        <f t="shared" si="147"/>
        <v>0</v>
      </c>
      <c r="AH3154" s="177">
        <f t="shared" si="145"/>
        <v>0</v>
      </c>
    </row>
    <row r="3155" spans="23:34">
      <c r="W3155" s="177">
        <f t="shared" si="146"/>
        <v>0</v>
      </c>
      <c r="AB3155" s="178">
        <f t="shared" si="147"/>
        <v>0</v>
      </c>
      <c r="AH3155" s="177">
        <f t="shared" si="145"/>
        <v>0</v>
      </c>
    </row>
    <row r="3156" spans="23:34">
      <c r="W3156" s="177">
        <f t="shared" si="146"/>
        <v>0</v>
      </c>
      <c r="AB3156" s="178">
        <f t="shared" si="147"/>
        <v>0</v>
      </c>
      <c r="AH3156" s="177">
        <f t="shared" si="145"/>
        <v>0</v>
      </c>
    </row>
    <row r="3157" spans="23:34">
      <c r="W3157" s="177">
        <f t="shared" si="146"/>
        <v>0</v>
      </c>
      <c r="AB3157" s="178">
        <f t="shared" si="147"/>
        <v>0</v>
      </c>
      <c r="AH3157" s="177">
        <f t="shared" si="145"/>
        <v>0</v>
      </c>
    </row>
    <row r="3158" spans="23:34">
      <c r="W3158" s="177">
        <f t="shared" si="146"/>
        <v>0</v>
      </c>
      <c r="AB3158" s="178">
        <f t="shared" si="147"/>
        <v>0</v>
      </c>
      <c r="AH3158" s="177">
        <f t="shared" si="145"/>
        <v>0</v>
      </c>
    </row>
    <row r="3159" spans="23:34">
      <c r="W3159" s="177">
        <f t="shared" si="146"/>
        <v>0</v>
      </c>
      <c r="AB3159" s="178">
        <f t="shared" si="147"/>
        <v>0</v>
      </c>
      <c r="AH3159" s="177">
        <f t="shared" si="145"/>
        <v>0</v>
      </c>
    </row>
    <row r="3160" spans="23:34">
      <c r="W3160" s="177">
        <f t="shared" si="146"/>
        <v>0</v>
      </c>
      <c r="AB3160" s="178">
        <f t="shared" si="147"/>
        <v>0</v>
      </c>
      <c r="AH3160" s="177">
        <f t="shared" si="145"/>
        <v>0</v>
      </c>
    </row>
    <row r="3161" spans="23:34">
      <c r="W3161" s="177">
        <f t="shared" si="146"/>
        <v>0</v>
      </c>
      <c r="AB3161" s="178">
        <f t="shared" si="147"/>
        <v>0</v>
      </c>
      <c r="AH3161" s="177">
        <f t="shared" si="145"/>
        <v>0</v>
      </c>
    </row>
    <row r="3162" spans="23:34">
      <c r="W3162" s="177">
        <f t="shared" si="146"/>
        <v>0</v>
      </c>
      <c r="AB3162" s="178">
        <f t="shared" si="147"/>
        <v>0</v>
      </c>
      <c r="AH3162" s="177">
        <f t="shared" si="145"/>
        <v>0</v>
      </c>
    </row>
    <row r="3163" spans="23:34">
      <c r="W3163" s="177">
        <f t="shared" si="146"/>
        <v>0</v>
      </c>
      <c r="AB3163" s="178">
        <f t="shared" si="147"/>
        <v>0</v>
      </c>
      <c r="AH3163" s="177">
        <f t="shared" si="145"/>
        <v>0</v>
      </c>
    </row>
    <row r="3164" spans="23:34">
      <c r="W3164" s="177">
        <f t="shared" si="146"/>
        <v>0</v>
      </c>
      <c r="AB3164" s="178">
        <f t="shared" si="147"/>
        <v>0</v>
      </c>
      <c r="AH3164" s="177">
        <f t="shared" si="145"/>
        <v>0</v>
      </c>
    </row>
    <row r="3165" spans="23:34">
      <c r="W3165" s="177">
        <f t="shared" si="146"/>
        <v>0</v>
      </c>
      <c r="AB3165" s="178">
        <f t="shared" si="147"/>
        <v>0</v>
      </c>
      <c r="AH3165" s="177">
        <f t="shared" si="145"/>
        <v>0</v>
      </c>
    </row>
    <row r="3166" spans="23:34">
      <c r="W3166" s="177">
        <f t="shared" si="146"/>
        <v>0</v>
      </c>
      <c r="AB3166" s="178">
        <f t="shared" si="147"/>
        <v>0</v>
      </c>
      <c r="AH3166" s="177">
        <f t="shared" si="145"/>
        <v>0</v>
      </c>
    </row>
    <row r="3167" spans="23:34">
      <c r="W3167" s="177">
        <f t="shared" si="146"/>
        <v>0</v>
      </c>
      <c r="AB3167" s="178">
        <f t="shared" si="147"/>
        <v>0</v>
      </c>
      <c r="AH3167" s="177">
        <f t="shared" si="145"/>
        <v>0</v>
      </c>
    </row>
    <row r="3168" spans="23:34">
      <c r="W3168" s="177">
        <f t="shared" si="146"/>
        <v>0</v>
      </c>
      <c r="AB3168" s="178">
        <f t="shared" si="147"/>
        <v>0</v>
      </c>
      <c r="AH3168" s="177">
        <f t="shared" si="145"/>
        <v>0</v>
      </c>
    </row>
    <row r="3169" spans="23:34">
      <c r="W3169" s="177">
        <f t="shared" si="146"/>
        <v>0</v>
      </c>
      <c r="AB3169" s="178">
        <f t="shared" si="147"/>
        <v>0</v>
      </c>
      <c r="AH3169" s="177">
        <f t="shared" si="145"/>
        <v>0</v>
      </c>
    </row>
    <row r="3170" spans="23:34">
      <c r="W3170" s="177">
        <f t="shared" si="146"/>
        <v>0</v>
      </c>
      <c r="AB3170" s="178">
        <f t="shared" si="147"/>
        <v>0</v>
      </c>
      <c r="AH3170" s="177">
        <f t="shared" si="145"/>
        <v>0</v>
      </c>
    </row>
    <row r="3171" spans="23:34">
      <c r="W3171" s="177">
        <f t="shared" si="146"/>
        <v>0</v>
      </c>
      <c r="AB3171" s="178">
        <f t="shared" si="147"/>
        <v>0</v>
      </c>
      <c r="AH3171" s="177">
        <f t="shared" si="145"/>
        <v>0</v>
      </c>
    </row>
    <row r="3172" spans="23:34">
      <c r="W3172" s="177">
        <f t="shared" si="146"/>
        <v>0</v>
      </c>
      <c r="AB3172" s="178">
        <f t="shared" si="147"/>
        <v>0</v>
      </c>
      <c r="AH3172" s="177">
        <f t="shared" si="145"/>
        <v>0</v>
      </c>
    </row>
    <row r="3173" spans="23:34">
      <c r="W3173" s="177">
        <f t="shared" si="146"/>
        <v>0</v>
      </c>
      <c r="AB3173" s="178">
        <f t="shared" si="147"/>
        <v>0</v>
      </c>
      <c r="AH3173" s="177">
        <f t="shared" si="145"/>
        <v>0</v>
      </c>
    </row>
    <row r="3174" spans="23:34">
      <c r="W3174" s="177">
        <f t="shared" si="146"/>
        <v>0</v>
      </c>
      <c r="AB3174" s="178">
        <f t="shared" si="147"/>
        <v>0</v>
      </c>
      <c r="AH3174" s="177">
        <f t="shared" si="145"/>
        <v>0</v>
      </c>
    </row>
    <row r="3175" spans="23:34">
      <c r="W3175" s="177">
        <f t="shared" si="146"/>
        <v>0</v>
      </c>
      <c r="AB3175" s="178">
        <f t="shared" si="147"/>
        <v>0</v>
      </c>
      <c r="AH3175" s="177">
        <f t="shared" si="145"/>
        <v>0</v>
      </c>
    </row>
    <row r="3176" spans="23:34">
      <c r="W3176" s="177">
        <f t="shared" si="146"/>
        <v>0</v>
      </c>
      <c r="AB3176" s="178">
        <f t="shared" si="147"/>
        <v>0</v>
      </c>
      <c r="AH3176" s="177">
        <f t="shared" si="145"/>
        <v>0</v>
      </c>
    </row>
    <row r="3177" spans="23:34">
      <c r="W3177" s="177">
        <f t="shared" si="146"/>
        <v>0</v>
      </c>
      <c r="AB3177" s="178">
        <f t="shared" si="147"/>
        <v>0</v>
      </c>
      <c r="AH3177" s="177">
        <f t="shared" si="145"/>
        <v>0</v>
      </c>
    </row>
    <row r="3178" spans="23:34">
      <c r="W3178" s="177">
        <f t="shared" si="146"/>
        <v>0</v>
      </c>
      <c r="AB3178" s="178">
        <f t="shared" si="147"/>
        <v>0</v>
      </c>
      <c r="AH3178" s="177">
        <f t="shared" si="145"/>
        <v>0</v>
      </c>
    </row>
    <row r="3179" spans="23:34">
      <c r="W3179" s="177">
        <f t="shared" si="146"/>
        <v>0</v>
      </c>
      <c r="AB3179" s="178">
        <f t="shared" si="147"/>
        <v>0</v>
      </c>
      <c r="AH3179" s="177">
        <f t="shared" si="145"/>
        <v>0</v>
      </c>
    </row>
    <row r="3180" spans="23:34">
      <c r="W3180" s="177">
        <f t="shared" si="146"/>
        <v>0</v>
      </c>
      <c r="AB3180" s="178">
        <f t="shared" si="147"/>
        <v>0</v>
      </c>
      <c r="AH3180" s="177">
        <f t="shared" si="145"/>
        <v>0</v>
      </c>
    </row>
    <row r="3181" spans="23:34">
      <c r="W3181" s="177">
        <f t="shared" si="146"/>
        <v>0</v>
      </c>
      <c r="AB3181" s="178">
        <f t="shared" si="147"/>
        <v>0</v>
      </c>
      <c r="AH3181" s="177">
        <f t="shared" si="145"/>
        <v>0</v>
      </c>
    </row>
    <row r="3182" spans="23:34">
      <c r="W3182" s="177">
        <f t="shared" si="146"/>
        <v>0</v>
      </c>
      <c r="AB3182" s="178">
        <f t="shared" si="147"/>
        <v>0</v>
      </c>
      <c r="AH3182" s="177">
        <f t="shared" si="145"/>
        <v>0</v>
      </c>
    </row>
    <row r="3183" spans="23:34">
      <c r="W3183" s="177">
        <f t="shared" si="146"/>
        <v>0</v>
      </c>
      <c r="AB3183" s="178">
        <f t="shared" si="147"/>
        <v>0</v>
      </c>
      <c r="AH3183" s="177">
        <f t="shared" si="145"/>
        <v>0</v>
      </c>
    </row>
    <row r="3184" spans="23:34">
      <c r="W3184" s="177">
        <f t="shared" si="146"/>
        <v>0</v>
      </c>
      <c r="AB3184" s="178">
        <f t="shared" si="147"/>
        <v>0</v>
      </c>
      <c r="AH3184" s="177">
        <f t="shared" ref="AH3184:AH3247" si="148">SUM(AF3184:AG3184)</f>
        <v>0</v>
      </c>
    </row>
    <row r="3185" spans="23:34">
      <c r="W3185" s="177">
        <f t="shared" si="146"/>
        <v>0</v>
      </c>
      <c r="AB3185" s="178">
        <f t="shared" si="147"/>
        <v>0</v>
      </c>
      <c r="AH3185" s="177">
        <f t="shared" si="148"/>
        <v>0</v>
      </c>
    </row>
    <row r="3186" spans="23:34">
      <c r="W3186" s="177">
        <f t="shared" si="146"/>
        <v>0</v>
      </c>
      <c r="AB3186" s="178">
        <f t="shared" si="147"/>
        <v>0</v>
      </c>
      <c r="AH3186" s="177">
        <f t="shared" si="148"/>
        <v>0</v>
      </c>
    </row>
    <row r="3187" spans="23:34">
      <c r="W3187" s="177">
        <f t="shared" ref="W3187:W3250" si="149">SUM(Q3187:T3187)</f>
        <v>0</v>
      </c>
      <c r="AB3187" s="178">
        <f t="shared" si="147"/>
        <v>0</v>
      </c>
      <c r="AH3187" s="177">
        <f t="shared" si="148"/>
        <v>0</v>
      </c>
    </row>
    <row r="3188" spans="23:34">
      <c r="W3188" s="177">
        <f t="shared" si="149"/>
        <v>0</v>
      </c>
      <c r="AB3188" s="178">
        <f t="shared" si="147"/>
        <v>0</v>
      </c>
      <c r="AH3188" s="177">
        <f t="shared" si="148"/>
        <v>0</v>
      </c>
    </row>
    <row r="3189" spans="23:34">
      <c r="W3189" s="177">
        <f t="shared" si="149"/>
        <v>0</v>
      </c>
      <c r="AB3189" s="178">
        <f t="shared" si="147"/>
        <v>0</v>
      </c>
      <c r="AH3189" s="177">
        <f t="shared" si="148"/>
        <v>0</v>
      </c>
    </row>
    <row r="3190" spans="23:34">
      <c r="W3190" s="177">
        <f t="shared" si="149"/>
        <v>0</v>
      </c>
      <c r="AB3190" s="178">
        <f t="shared" si="147"/>
        <v>0</v>
      </c>
      <c r="AH3190" s="177">
        <f t="shared" si="148"/>
        <v>0</v>
      </c>
    </row>
    <row r="3191" spans="23:34">
      <c r="W3191" s="177">
        <f t="shared" si="149"/>
        <v>0</v>
      </c>
      <c r="AB3191" s="178">
        <f t="shared" si="147"/>
        <v>0</v>
      </c>
      <c r="AH3191" s="177">
        <f t="shared" si="148"/>
        <v>0</v>
      </c>
    </row>
    <row r="3192" spans="23:34">
      <c r="W3192" s="177">
        <f t="shared" si="149"/>
        <v>0</v>
      </c>
      <c r="AB3192" s="178">
        <f t="shared" si="147"/>
        <v>0</v>
      </c>
      <c r="AH3192" s="177">
        <f t="shared" si="148"/>
        <v>0</v>
      </c>
    </row>
    <row r="3193" spans="23:34">
      <c r="W3193" s="177">
        <f t="shared" si="149"/>
        <v>0</v>
      </c>
      <c r="AB3193" s="178">
        <f t="shared" si="147"/>
        <v>0</v>
      </c>
      <c r="AH3193" s="177">
        <f t="shared" si="148"/>
        <v>0</v>
      </c>
    </row>
    <row r="3194" spans="23:34">
      <c r="W3194" s="177">
        <f t="shared" si="149"/>
        <v>0</v>
      </c>
      <c r="AB3194" s="178">
        <f t="shared" si="147"/>
        <v>0</v>
      </c>
      <c r="AH3194" s="177">
        <f t="shared" si="148"/>
        <v>0</v>
      </c>
    </row>
    <row r="3195" spans="23:34">
      <c r="W3195" s="177">
        <f t="shared" si="149"/>
        <v>0</v>
      </c>
      <c r="AB3195" s="178">
        <f t="shared" ref="AB3195:AB3258" si="150">SUM(Z3195:AA3195)</f>
        <v>0</v>
      </c>
      <c r="AH3195" s="177">
        <f t="shared" si="148"/>
        <v>0</v>
      </c>
    </row>
    <row r="3196" spans="23:34">
      <c r="W3196" s="177">
        <f t="shared" si="149"/>
        <v>0</v>
      </c>
      <c r="AB3196" s="178">
        <f t="shared" si="150"/>
        <v>0</v>
      </c>
      <c r="AH3196" s="177">
        <f t="shared" si="148"/>
        <v>0</v>
      </c>
    </row>
    <row r="3197" spans="23:34">
      <c r="W3197" s="177">
        <f t="shared" si="149"/>
        <v>0</v>
      </c>
      <c r="AB3197" s="178">
        <f t="shared" si="150"/>
        <v>0</v>
      </c>
      <c r="AH3197" s="177">
        <f t="shared" si="148"/>
        <v>0</v>
      </c>
    </row>
    <row r="3198" spans="23:34">
      <c r="W3198" s="177">
        <f t="shared" si="149"/>
        <v>0</v>
      </c>
      <c r="AB3198" s="178">
        <f t="shared" si="150"/>
        <v>0</v>
      </c>
      <c r="AH3198" s="177">
        <f t="shared" si="148"/>
        <v>0</v>
      </c>
    </row>
    <row r="3199" spans="23:34">
      <c r="W3199" s="177">
        <f t="shared" si="149"/>
        <v>0</v>
      </c>
      <c r="AB3199" s="178">
        <f t="shared" si="150"/>
        <v>0</v>
      </c>
      <c r="AH3199" s="177">
        <f t="shared" si="148"/>
        <v>0</v>
      </c>
    </row>
    <row r="3200" spans="23:34">
      <c r="W3200" s="177">
        <f t="shared" si="149"/>
        <v>0</v>
      </c>
      <c r="AB3200" s="178">
        <f t="shared" si="150"/>
        <v>0</v>
      </c>
      <c r="AH3200" s="177">
        <f t="shared" si="148"/>
        <v>0</v>
      </c>
    </row>
    <row r="3201" spans="23:34">
      <c r="W3201" s="177">
        <f t="shared" si="149"/>
        <v>0</v>
      </c>
      <c r="AB3201" s="178">
        <f t="shared" si="150"/>
        <v>0</v>
      </c>
      <c r="AH3201" s="177">
        <f t="shared" si="148"/>
        <v>0</v>
      </c>
    </row>
    <row r="3202" spans="23:34">
      <c r="W3202" s="177">
        <f t="shared" si="149"/>
        <v>0</v>
      </c>
      <c r="AB3202" s="178">
        <f t="shared" si="150"/>
        <v>0</v>
      </c>
      <c r="AH3202" s="177">
        <f t="shared" si="148"/>
        <v>0</v>
      </c>
    </row>
    <row r="3203" spans="23:34">
      <c r="W3203" s="177">
        <f t="shared" si="149"/>
        <v>0</v>
      </c>
      <c r="AB3203" s="178">
        <f t="shared" si="150"/>
        <v>0</v>
      </c>
      <c r="AH3203" s="177">
        <f t="shared" si="148"/>
        <v>0</v>
      </c>
    </row>
    <row r="3204" spans="23:34">
      <c r="W3204" s="177">
        <f t="shared" si="149"/>
        <v>0</v>
      </c>
      <c r="AB3204" s="178">
        <f t="shared" si="150"/>
        <v>0</v>
      </c>
      <c r="AH3204" s="177">
        <f t="shared" si="148"/>
        <v>0</v>
      </c>
    </row>
    <row r="3205" spans="23:34">
      <c r="W3205" s="177">
        <f t="shared" si="149"/>
        <v>0</v>
      </c>
      <c r="AB3205" s="178">
        <f t="shared" si="150"/>
        <v>0</v>
      </c>
      <c r="AH3205" s="177">
        <f t="shared" si="148"/>
        <v>0</v>
      </c>
    </row>
    <row r="3206" spans="23:34">
      <c r="W3206" s="177">
        <f t="shared" si="149"/>
        <v>0</v>
      </c>
      <c r="AB3206" s="178">
        <f t="shared" si="150"/>
        <v>0</v>
      </c>
      <c r="AH3206" s="177">
        <f t="shared" si="148"/>
        <v>0</v>
      </c>
    </row>
    <row r="3207" spans="23:34">
      <c r="W3207" s="177">
        <f t="shared" si="149"/>
        <v>0</v>
      </c>
      <c r="AB3207" s="178">
        <f t="shared" si="150"/>
        <v>0</v>
      </c>
      <c r="AH3207" s="177">
        <f t="shared" si="148"/>
        <v>0</v>
      </c>
    </row>
    <row r="3208" spans="23:34">
      <c r="W3208" s="177">
        <f t="shared" si="149"/>
        <v>0</v>
      </c>
      <c r="AB3208" s="178">
        <f t="shared" si="150"/>
        <v>0</v>
      </c>
      <c r="AH3208" s="177">
        <f t="shared" si="148"/>
        <v>0</v>
      </c>
    </row>
    <row r="3209" spans="23:34">
      <c r="W3209" s="177">
        <f t="shared" si="149"/>
        <v>0</v>
      </c>
      <c r="AB3209" s="178">
        <f t="shared" si="150"/>
        <v>0</v>
      </c>
      <c r="AH3209" s="177">
        <f t="shared" si="148"/>
        <v>0</v>
      </c>
    </row>
    <row r="3210" spans="23:34">
      <c r="W3210" s="177">
        <f t="shared" si="149"/>
        <v>0</v>
      </c>
      <c r="AB3210" s="178">
        <f t="shared" si="150"/>
        <v>0</v>
      </c>
      <c r="AH3210" s="177">
        <f t="shared" si="148"/>
        <v>0</v>
      </c>
    </row>
    <row r="3211" spans="23:34">
      <c r="W3211" s="177">
        <f t="shared" si="149"/>
        <v>0</v>
      </c>
      <c r="AB3211" s="178">
        <f t="shared" si="150"/>
        <v>0</v>
      </c>
      <c r="AH3211" s="177">
        <f t="shared" si="148"/>
        <v>0</v>
      </c>
    </row>
    <row r="3212" spans="23:34">
      <c r="W3212" s="177">
        <f t="shared" si="149"/>
        <v>0</v>
      </c>
      <c r="AB3212" s="178">
        <f t="shared" si="150"/>
        <v>0</v>
      </c>
      <c r="AH3212" s="177">
        <f t="shared" si="148"/>
        <v>0</v>
      </c>
    </row>
    <row r="3213" spans="23:34">
      <c r="W3213" s="177">
        <f t="shared" si="149"/>
        <v>0</v>
      </c>
      <c r="AB3213" s="178">
        <f t="shared" si="150"/>
        <v>0</v>
      </c>
      <c r="AH3213" s="177">
        <f t="shared" si="148"/>
        <v>0</v>
      </c>
    </row>
    <row r="3214" spans="23:34">
      <c r="W3214" s="177">
        <f t="shared" si="149"/>
        <v>0</v>
      </c>
      <c r="AB3214" s="178">
        <f t="shared" si="150"/>
        <v>0</v>
      </c>
      <c r="AH3214" s="177">
        <f t="shared" si="148"/>
        <v>0</v>
      </c>
    </row>
    <row r="3215" spans="23:34">
      <c r="W3215" s="177">
        <f t="shared" si="149"/>
        <v>0</v>
      </c>
      <c r="AB3215" s="178">
        <f t="shared" si="150"/>
        <v>0</v>
      </c>
      <c r="AH3215" s="177">
        <f t="shared" si="148"/>
        <v>0</v>
      </c>
    </row>
    <row r="3216" spans="23:34">
      <c r="W3216" s="177">
        <f t="shared" si="149"/>
        <v>0</v>
      </c>
      <c r="AB3216" s="178">
        <f t="shared" si="150"/>
        <v>0</v>
      </c>
      <c r="AH3216" s="177">
        <f t="shared" si="148"/>
        <v>0</v>
      </c>
    </row>
    <row r="3217" spans="23:34">
      <c r="W3217" s="177">
        <f t="shared" si="149"/>
        <v>0</v>
      </c>
      <c r="AB3217" s="178">
        <f t="shared" si="150"/>
        <v>0</v>
      </c>
      <c r="AH3217" s="177">
        <f t="shared" si="148"/>
        <v>0</v>
      </c>
    </row>
    <row r="3218" spans="23:34">
      <c r="W3218" s="177">
        <f t="shared" si="149"/>
        <v>0</v>
      </c>
      <c r="AB3218" s="178">
        <f t="shared" si="150"/>
        <v>0</v>
      </c>
      <c r="AH3218" s="177">
        <f t="shared" si="148"/>
        <v>0</v>
      </c>
    </row>
    <row r="3219" spans="23:34">
      <c r="W3219" s="177">
        <f t="shared" si="149"/>
        <v>0</v>
      </c>
      <c r="AB3219" s="178">
        <f t="shared" si="150"/>
        <v>0</v>
      </c>
      <c r="AH3219" s="177">
        <f t="shared" si="148"/>
        <v>0</v>
      </c>
    </row>
    <row r="3220" spans="23:34">
      <c r="W3220" s="177">
        <f t="shared" si="149"/>
        <v>0</v>
      </c>
      <c r="AB3220" s="178">
        <f t="shared" si="150"/>
        <v>0</v>
      </c>
      <c r="AH3220" s="177">
        <f t="shared" si="148"/>
        <v>0</v>
      </c>
    </row>
    <row r="3221" spans="23:34">
      <c r="W3221" s="177">
        <f t="shared" si="149"/>
        <v>0</v>
      </c>
      <c r="AB3221" s="178">
        <f t="shared" si="150"/>
        <v>0</v>
      </c>
      <c r="AH3221" s="177">
        <f t="shared" si="148"/>
        <v>0</v>
      </c>
    </row>
    <row r="3222" spans="23:34">
      <c r="W3222" s="177">
        <f t="shared" si="149"/>
        <v>0</v>
      </c>
      <c r="AB3222" s="178">
        <f t="shared" si="150"/>
        <v>0</v>
      </c>
      <c r="AH3222" s="177">
        <f t="shared" si="148"/>
        <v>0</v>
      </c>
    </row>
    <row r="3223" spans="23:34">
      <c r="W3223" s="177">
        <f t="shared" si="149"/>
        <v>0</v>
      </c>
      <c r="AB3223" s="178">
        <f t="shared" si="150"/>
        <v>0</v>
      </c>
      <c r="AH3223" s="177">
        <f t="shared" si="148"/>
        <v>0</v>
      </c>
    </row>
    <row r="3224" spans="23:34">
      <c r="W3224" s="177">
        <f t="shared" si="149"/>
        <v>0</v>
      </c>
      <c r="AB3224" s="178">
        <f t="shared" si="150"/>
        <v>0</v>
      </c>
      <c r="AH3224" s="177">
        <f t="shared" si="148"/>
        <v>0</v>
      </c>
    </row>
    <row r="3225" spans="23:34">
      <c r="W3225" s="177">
        <f t="shared" si="149"/>
        <v>0</v>
      </c>
      <c r="AB3225" s="178">
        <f t="shared" si="150"/>
        <v>0</v>
      </c>
      <c r="AH3225" s="177">
        <f t="shared" si="148"/>
        <v>0</v>
      </c>
    </row>
    <row r="3226" spans="23:34">
      <c r="W3226" s="177">
        <f t="shared" si="149"/>
        <v>0</v>
      </c>
      <c r="AB3226" s="178">
        <f t="shared" si="150"/>
        <v>0</v>
      </c>
      <c r="AH3226" s="177">
        <f t="shared" si="148"/>
        <v>0</v>
      </c>
    </row>
    <row r="3227" spans="23:34">
      <c r="W3227" s="177">
        <f t="shared" si="149"/>
        <v>0</v>
      </c>
      <c r="AB3227" s="178">
        <f t="shared" si="150"/>
        <v>0</v>
      </c>
      <c r="AH3227" s="177">
        <f t="shared" si="148"/>
        <v>0</v>
      </c>
    </row>
    <row r="3228" spans="23:34">
      <c r="W3228" s="177">
        <f t="shared" si="149"/>
        <v>0</v>
      </c>
      <c r="AB3228" s="178">
        <f t="shared" si="150"/>
        <v>0</v>
      </c>
      <c r="AH3228" s="177">
        <f t="shared" si="148"/>
        <v>0</v>
      </c>
    </row>
    <row r="3229" spans="23:34">
      <c r="W3229" s="177">
        <f t="shared" si="149"/>
        <v>0</v>
      </c>
      <c r="AB3229" s="178">
        <f t="shared" si="150"/>
        <v>0</v>
      </c>
      <c r="AH3229" s="177">
        <f t="shared" si="148"/>
        <v>0</v>
      </c>
    </row>
    <row r="3230" spans="23:34">
      <c r="W3230" s="177">
        <f t="shared" si="149"/>
        <v>0</v>
      </c>
      <c r="AB3230" s="178">
        <f t="shared" si="150"/>
        <v>0</v>
      </c>
      <c r="AH3230" s="177">
        <f t="shared" si="148"/>
        <v>0</v>
      </c>
    </row>
    <row r="3231" spans="23:34">
      <c r="W3231" s="177">
        <f t="shared" si="149"/>
        <v>0</v>
      </c>
      <c r="AB3231" s="178">
        <f t="shared" si="150"/>
        <v>0</v>
      </c>
      <c r="AH3231" s="177">
        <f t="shared" si="148"/>
        <v>0</v>
      </c>
    </row>
    <row r="3232" spans="23:34">
      <c r="W3232" s="177">
        <f t="shared" si="149"/>
        <v>0</v>
      </c>
      <c r="AB3232" s="178">
        <f t="shared" si="150"/>
        <v>0</v>
      </c>
      <c r="AH3232" s="177">
        <f t="shared" si="148"/>
        <v>0</v>
      </c>
    </row>
    <row r="3233" spans="23:34">
      <c r="W3233" s="177">
        <f t="shared" si="149"/>
        <v>0</v>
      </c>
      <c r="AB3233" s="178">
        <f t="shared" si="150"/>
        <v>0</v>
      </c>
      <c r="AH3233" s="177">
        <f t="shared" si="148"/>
        <v>0</v>
      </c>
    </row>
    <row r="3234" spans="23:34">
      <c r="W3234" s="177">
        <f t="shared" si="149"/>
        <v>0</v>
      </c>
      <c r="AB3234" s="178">
        <f t="shared" si="150"/>
        <v>0</v>
      </c>
      <c r="AH3234" s="177">
        <f t="shared" si="148"/>
        <v>0</v>
      </c>
    </row>
    <row r="3235" spans="23:34">
      <c r="W3235" s="177">
        <f t="shared" si="149"/>
        <v>0</v>
      </c>
      <c r="AB3235" s="178">
        <f t="shared" si="150"/>
        <v>0</v>
      </c>
      <c r="AH3235" s="177">
        <f t="shared" si="148"/>
        <v>0</v>
      </c>
    </row>
    <row r="3236" spans="23:34">
      <c r="W3236" s="177">
        <f t="shared" si="149"/>
        <v>0</v>
      </c>
      <c r="AB3236" s="178">
        <f t="shared" si="150"/>
        <v>0</v>
      </c>
      <c r="AH3236" s="177">
        <f t="shared" si="148"/>
        <v>0</v>
      </c>
    </row>
    <row r="3237" spans="23:34">
      <c r="W3237" s="177">
        <f t="shared" si="149"/>
        <v>0</v>
      </c>
      <c r="AB3237" s="178">
        <f t="shared" si="150"/>
        <v>0</v>
      </c>
      <c r="AH3237" s="177">
        <f t="shared" si="148"/>
        <v>0</v>
      </c>
    </row>
    <row r="3238" spans="23:34">
      <c r="W3238" s="177">
        <f t="shared" si="149"/>
        <v>0</v>
      </c>
      <c r="AB3238" s="178">
        <f t="shared" si="150"/>
        <v>0</v>
      </c>
      <c r="AH3238" s="177">
        <f t="shared" si="148"/>
        <v>0</v>
      </c>
    </row>
    <row r="3239" spans="23:34">
      <c r="W3239" s="177">
        <f t="shared" si="149"/>
        <v>0</v>
      </c>
      <c r="AB3239" s="178">
        <f t="shared" si="150"/>
        <v>0</v>
      </c>
      <c r="AH3239" s="177">
        <f t="shared" si="148"/>
        <v>0</v>
      </c>
    </row>
    <row r="3240" spans="23:34">
      <c r="W3240" s="177">
        <f t="shared" si="149"/>
        <v>0</v>
      </c>
      <c r="AB3240" s="178">
        <f t="shared" si="150"/>
        <v>0</v>
      </c>
      <c r="AH3240" s="177">
        <f t="shared" si="148"/>
        <v>0</v>
      </c>
    </row>
    <row r="3241" spans="23:34">
      <c r="W3241" s="177">
        <f t="shared" si="149"/>
        <v>0</v>
      </c>
      <c r="AB3241" s="178">
        <f t="shared" si="150"/>
        <v>0</v>
      </c>
      <c r="AH3241" s="177">
        <f t="shared" si="148"/>
        <v>0</v>
      </c>
    </row>
    <row r="3242" spans="23:34">
      <c r="W3242" s="177">
        <f t="shared" si="149"/>
        <v>0</v>
      </c>
      <c r="AB3242" s="178">
        <f t="shared" si="150"/>
        <v>0</v>
      </c>
      <c r="AH3242" s="177">
        <f t="shared" si="148"/>
        <v>0</v>
      </c>
    </row>
    <row r="3243" spans="23:34">
      <c r="W3243" s="177">
        <f t="shared" si="149"/>
        <v>0</v>
      </c>
      <c r="AB3243" s="178">
        <f t="shared" si="150"/>
        <v>0</v>
      </c>
      <c r="AH3243" s="177">
        <f t="shared" si="148"/>
        <v>0</v>
      </c>
    </row>
    <row r="3244" spans="23:34">
      <c r="W3244" s="177">
        <f t="shared" si="149"/>
        <v>0</v>
      </c>
      <c r="AB3244" s="178">
        <f t="shared" si="150"/>
        <v>0</v>
      </c>
      <c r="AH3244" s="177">
        <f t="shared" si="148"/>
        <v>0</v>
      </c>
    </row>
    <row r="3245" spans="23:34">
      <c r="W3245" s="177">
        <f t="shared" si="149"/>
        <v>0</v>
      </c>
      <c r="AB3245" s="178">
        <f t="shared" si="150"/>
        <v>0</v>
      </c>
      <c r="AH3245" s="177">
        <f t="shared" si="148"/>
        <v>0</v>
      </c>
    </row>
    <row r="3246" spans="23:34">
      <c r="W3246" s="177">
        <f t="shared" si="149"/>
        <v>0</v>
      </c>
      <c r="AB3246" s="178">
        <f t="shared" si="150"/>
        <v>0</v>
      </c>
      <c r="AH3246" s="177">
        <f t="shared" si="148"/>
        <v>0</v>
      </c>
    </row>
    <row r="3247" spans="23:34">
      <c r="W3247" s="177">
        <f t="shared" si="149"/>
        <v>0</v>
      </c>
      <c r="AB3247" s="178">
        <f t="shared" si="150"/>
        <v>0</v>
      </c>
      <c r="AH3247" s="177">
        <f t="shared" si="148"/>
        <v>0</v>
      </c>
    </row>
    <row r="3248" spans="23:34">
      <c r="W3248" s="177">
        <f t="shared" si="149"/>
        <v>0</v>
      </c>
      <c r="AB3248" s="178">
        <f t="shared" si="150"/>
        <v>0</v>
      </c>
      <c r="AH3248" s="177">
        <f t="shared" ref="AH3248:AH3311" si="151">SUM(AF3248:AG3248)</f>
        <v>0</v>
      </c>
    </row>
    <row r="3249" spans="23:34">
      <c r="W3249" s="177">
        <f t="shared" si="149"/>
        <v>0</v>
      </c>
      <c r="AB3249" s="178">
        <f t="shared" si="150"/>
        <v>0</v>
      </c>
      <c r="AH3249" s="177">
        <f t="shared" si="151"/>
        <v>0</v>
      </c>
    </row>
    <row r="3250" spans="23:34">
      <c r="W3250" s="177">
        <f t="shared" si="149"/>
        <v>0</v>
      </c>
      <c r="AB3250" s="178">
        <f t="shared" si="150"/>
        <v>0</v>
      </c>
      <c r="AH3250" s="177">
        <f t="shared" si="151"/>
        <v>0</v>
      </c>
    </row>
    <row r="3251" spans="23:34">
      <c r="W3251" s="177">
        <f t="shared" ref="W3251:W3314" si="152">SUM(Q3251:T3251)</f>
        <v>0</v>
      </c>
      <c r="AB3251" s="178">
        <f t="shared" si="150"/>
        <v>0</v>
      </c>
      <c r="AH3251" s="177">
        <f t="shared" si="151"/>
        <v>0</v>
      </c>
    </row>
    <row r="3252" spans="23:34">
      <c r="W3252" s="177">
        <f t="shared" si="152"/>
        <v>0</v>
      </c>
      <c r="AB3252" s="178">
        <f t="shared" si="150"/>
        <v>0</v>
      </c>
      <c r="AH3252" s="177">
        <f t="shared" si="151"/>
        <v>0</v>
      </c>
    </row>
    <row r="3253" spans="23:34">
      <c r="W3253" s="177">
        <f t="shared" si="152"/>
        <v>0</v>
      </c>
      <c r="AB3253" s="178">
        <f t="shared" si="150"/>
        <v>0</v>
      </c>
      <c r="AH3253" s="177">
        <f t="shared" si="151"/>
        <v>0</v>
      </c>
    </row>
    <row r="3254" spans="23:34">
      <c r="W3254" s="177">
        <f t="shared" si="152"/>
        <v>0</v>
      </c>
      <c r="AB3254" s="178">
        <f t="shared" si="150"/>
        <v>0</v>
      </c>
      <c r="AH3254" s="177">
        <f t="shared" si="151"/>
        <v>0</v>
      </c>
    </row>
    <row r="3255" spans="23:34">
      <c r="W3255" s="177">
        <f t="shared" si="152"/>
        <v>0</v>
      </c>
      <c r="AB3255" s="178">
        <f t="shared" si="150"/>
        <v>0</v>
      </c>
      <c r="AH3255" s="177">
        <f t="shared" si="151"/>
        <v>0</v>
      </c>
    </row>
    <row r="3256" spans="23:34">
      <c r="W3256" s="177">
        <f t="shared" si="152"/>
        <v>0</v>
      </c>
      <c r="AB3256" s="178">
        <f t="shared" si="150"/>
        <v>0</v>
      </c>
      <c r="AH3256" s="177">
        <f t="shared" si="151"/>
        <v>0</v>
      </c>
    </row>
    <row r="3257" spans="23:34">
      <c r="W3257" s="177">
        <f t="shared" si="152"/>
        <v>0</v>
      </c>
      <c r="AB3257" s="178">
        <f t="shared" si="150"/>
        <v>0</v>
      </c>
      <c r="AH3257" s="177">
        <f t="shared" si="151"/>
        <v>0</v>
      </c>
    </row>
    <row r="3258" spans="23:34">
      <c r="W3258" s="177">
        <f t="shared" si="152"/>
        <v>0</v>
      </c>
      <c r="AB3258" s="178">
        <f t="shared" si="150"/>
        <v>0</v>
      </c>
      <c r="AH3258" s="177">
        <f t="shared" si="151"/>
        <v>0</v>
      </c>
    </row>
    <row r="3259" spans="23:34">
      <c r="W3259" s="177">
        <f t="shared" si="152"/>
        <v>0</v>
      </c>
      <c r="AB3259" s="178">
        <f t="shared" ref="AB3259:AB3322" si="153">SUM(Z3259:AA3259)</f>
        <v>0</v>
      </c>
      <c r="AH3259" s="177">
        <f t="shared" si="151"/>
        <v>0</v>
      </c>
    </row>
    <row r="3260" spans="23:34">
      <c r="W3260" s="177">
        <f t="shared" si="152"/>
        <v>0</v>
      </c>
      <c r="AB3260" s="178">
        <f t="shared" si="153"/>
        <v>0</v>
      </c>
      <c r="AH3260" s="177">
        <f t="shared" si="151"/>
        <v>0</v>
      </c>
    </row>
    <row r="3261" spans="23:34">
      <c r="W3261" s="177">
        <f t="shared" si="152"/>
        <v>0</v>
      </c>
      <c r="AB3261" s="178">
        <f t="shared" si="153"/>
        <v>0</v>
      </c>
      <c r="AH3261" s="177">
        <f t="shared" si="151"/>
        <v>0</v>
      </c>
    </row>
    <row r="3262" spans="23:34">
      <c r="W3262" s="177">
        <f t="shared" si="152"/>
        <v>0</v>
      </c>
      <c r="AB3262" s="178">
        <f t="shared" si="153"/>
        <v>0</v>
      </c>
      <c r="AH3262" s="177">
        <f t="shared" si="151"/>
        <v>0</v>
      </c>
    </row>
    <row r="3263" spans="23:34">
      <c r="W3263" s="177">
        <f t="shared" si="152"/>
        <v>0</v>
      </c>
      <c r="AB3263" s="178">
        <f t="shared" si="153"/>
        <v>0</v>
      </c>
      <c r="AH3263" s="177">
        <f t="shared" si="151"/>
        <v>0</v>
      </c>
    </row>
    <row r="3264" spans="23:34">
      <c r="W3264" s="177">
        <f t="shared" si="152"/>
        <v>0</v>
      </c>
      <c r="AB3264" s="178">
        <f t="shared" si="153"/>
        <v>0</v>
      </c>
      <c r="AH3264" s="177">
        <f t="shared" si="151"/>
        <v>0</v>
      </c>
    </row>
    <row r="3265" spans="23:34">
      <c r="W3265" s="177">
        <f t="shared" si="152"/>
        <v>0</v>
      </c>
      <c r="AB3265" s="178">
        <f t="shared" si="153"/>
        <v>0</v>
      </c>
      <c r="AH3265" s="177">
        <f t="shared" si="151"/>
        <v>0</v>
      </c>
    </row>
    <row r="3266" spans="23:34">
      <c r="W3266" s="177">
        <f t="shared" si="152"/>
        <v>0</v>
      </c>
      <c r="AB3266" s="178">
        <f t="shared" si="153"/>
        <v>0</v>
      </c>
      <c r="AH3266" s="177">
        <f t="shared" si="151"/>
        <v>0</v>
      </c>
    </row>
    <row r="3267" spans="23:34">
      <c r="W3267" s="177">
        <f t="shared" si="152"/>
        <v>0</v>
      </c>
      <c r="AB3267" s="178">
        <f t="shared" si="153"/>
        <v>0</v>
      </c>
      <c r="AH3267" s="177">
        <f t="shared" si="151"/>
        <v>0</v>
      </c>
    </row>
    <row r="3268" spans="23:34">
      <c r="W3268" s="177">
        <f t="shared" si="152"/>
        <v>0</v>
      </c>
      <c r="AB3268" s="178">
        <f t="shared" si="153"/>
        <v>0</v>
      </c>
      <c r="AH3268" s="177">
        <f t="shared" si="151"/>
        <v>0</v>
      </c>
    </row>
    <row r="3269" spans="23:34">
      <c r="W3269" s="177">
        <f t="shared" si="152"/>
        <v>0</v>
      </c>
      <c r="AB3269" s="178">
        <f t="shared" si="153"/>
        <v>0</v>
      </c>
      <c r="AH3269" s="177">
        <f t="shared" si="151"/>
        <v>0</v>
      </c>
    </row>
    <row r="3270" spans="23:34">
      <c r="W3270" s="177">
        <f t="shared" si="152"/>
        <v>0</v>
      </c>
      <c r="AB3270" s="178">
        <f t="shared" si="153"/>
        <v>0</v>
      </c>
      <c r="AH3270" s="177">
        <f t="shared" si="151"/>
        <v>0</v>
      </c>
    </row>
    <row r="3271" spans="23:34">
      <c r="W3271" s="177">
        <f t="shared" si="152"/>
        <v>0</v>
      </c>
      <c r="AB3271" s="178">
        <f t="shared" si="153"/>
        <v>0</v>
      </c>
      <c r="AH3271" s="177">
        <f t="shared" si="151"/>
        <v>0</v>
      </c>
    </row>
    <row r="3272" spans="23:34">
      <c r="W3272" s="177">
        <f t="shared" si="152"/>
        <v>0</v>
      </c>
      <c r="AB3272" s="178">
        <f t="shared" si="153"/>
        <v>0</v>
      </c>
      <c r="AH3272" s="177">
        <f t="shared" si="151"/>
        <v>0</v>
      </c>
    </row>
    <row r="3273" spans="23:34">
      <c r="W3273" s="177">
        <f t="shared" si="152"/>
        <v>0</v>
      </c>
      <c r="AB3273" s="178">
        <f t="shared" si="153"/>
        <v>0</v>
      </c>
      <c r="AH3273" s="177">
        <f t="shared" si="151"/>
        <v>0</v>
      </c>
    </row>
    <row r="3274" spans="23:34">
      <c r="W3274" s="177">
        <f t="shared" si="152"/>
        <v>0</v>
      </c>
      <c r="AB3274" s="178">
        <f t="shared" si="153"/>
        <v>0</v>
      </c>
      <c r="AH3274" s="177">
        <f t="shared" si="151"/>
        <v>0</v>
      </c>
    </row>
    <row r="3275" spans="23:34">
      <c r="W3275" s="177">
        <f t="shared" si="152"/>
        <v>0</v>
      </c>
      <c r="AB3275" s="178">
        <f t="shared" si="153"/>
        <v>0</v>
      </c>
      <c r="AH3275" s="177">
        <f t="shared" si="151"/>
        <v>0</v>
      </c>
    </row>
    <row r="3276" spans="23:34">
      <c r="W3276" s="177">
        <f t="shared" si="152"/>
        <v>0</v>
      </c>
      <c r="AB3276" s="178">
        <f t="shared" si="153"/>
        <v>0</v>
      </c>
      <c r="AH3276" s="177">
        <f t="shared" si="151"/>
        <v>0</v>
      </c>
    </row>
    <row r="3277" spans="23:34">
      <c r="W3277" s="177">
        <f t="shared" si="152"/>
        <v>0</v>
      </c>
      <c r="AB3277" s="178">
        <f t="shared" si="153"/>
        <v>0</v>
      </c>
      <c r="AH3277" s="177">
        <f t="shared" si="151"/>
        <v>0</v>
      </c>
    </row>
    <row r="3278" spans="23:34">
      <c r="W3278" s="177">
        <f t="shared" si="152"/>
        <v>0</v>
      </c>
      <c r="AB3278" s="178">
        <f t="shared" si="153"/>
        <v>0</v>
      </c>
      <c r="AH3278" s="177">
        <f t="shared" si="151"/>
        <v>0</v>
      </c>
    </row>
    <row r="3279" spans="23:34">
      <c r="W3279" s="177">
        <f t="shared" si="152"/>
        <v>0</v>
      </c>
      <c r="AB3279" s="178">
        <f t="shared" si="153"/>
        <v>0</v>
      </c>
      <c r="AH3279" s="177">
        <f t="shared" si="151"/>
        <v>0</v>
      </c>
    </row>
    <row r="3280" spans="23:34">
      <c r="W3280" s="177">
        <f t="shared" si="152"/>
        <v>0</v>
      </c>
      <c r="AB3280" s="178">
        <f t="shared" si="153"/>
        <v>0</v>
      </c>
      <c r="AH3280" s="177">
        <f t="shared" si="151"/>
        <v>0</v>
      </c>
    </row>
    <row r="3281" spans="23:34">
      <c r="W3281" s="177">
        <f t="shared" si="152"/>
        <v>0</v>
      </c>
      <c r="AB3281" s="178">
        <f t="shared" si="153"/>
        <v>0</v>
      </c>
      <c r="AH3281" s="177">
        <f t="shared" si="151"/>
        <v>0</v>
      </c>
    </row>
    <row r="3282" spans="23:34">
      <c r="W3282" s="177">
        <f t="shared" si="152"/>
        <v>0</v>
      </c>
      <c r="AB3282" s="178">
        <f t="shared" si="153"/>
        <v>0</v>
      </c>
      <c r="AH3282" s="177">
        <f t="shared" si="151"/>
        <v>0</v>
      </c>
    </row>
    <row r="3283" spans="23:34">
      <c r="W3283" s="177">
        <f t="shared" si="152"/>
        <v>0</v>
      </c>
      <c r="AB3283" s="178">
        <f t="shared" si="153"/>
        <v>0</v>
      </c>
      <c r="AH3283" s="177">
        <f t="shared" si="151"/>
        <v>0</v>
      </c>
    </row>
    <row r="3284" spans="23:34">
      <c r="W3284" s="177">
        <f t="shared" si="152"/>
        <v>0</v>
      </c>
      <c r="AB3284" s="178">
        <f t="shared" si="153"/>
        <v>0</v>
      </c>
      <c r="AH3284" s="177">
        <f t="shared" si="151"/>
        <v>0</v>
      </c>
    </row>
    <row r="3285" spans="23:34">
      <c r="W3285" s="177">
        <f t="shared" si="152"/>
        <v>0</v>
      </c>
      <c r="AB3285" s="178">
        <f t="shared" si="153"/>
        <v>0</v>
      </c>
      <c r="AH3285" s="177">
        <f t="shared" si="151"/>
        <v>0</v>
      </c>
    </row>
    <row r="3286" spans="23:34">
      <c r="W3286" s="177">
        <f t="shared" si="152"/>
        <v>0</v>
      </c>
      <c r="AB3286" s="178">
        <f t="shared" si="153"/>
        <v>0</v>
      </c>
      <c r="AH3286" s="177">
        <f t="shared" si="151"/>
        <v>0</v>
      </c>
    </row>
    <row r="3287" spans="23:34">
      <c r="W3287" s="177">
        <f t="shared" si="152"/>
        <v>0</v>
      </c>
      <c r="AB3287" s="178">
        <f t="shared" si="153"/>
        <v>0</v>
      </c>
      <c r="AH3287" s="177">
        <f t="shared" si="151"/>
        <v>0</v>
      </c>
    </row>
    <row r="3288" spans="23:34">
      <c r="W3288" s="177">
        <f t="shared" si="152"/>
        <v>0</v>
      </c>
      <c r="AB3288" s="178">
        <f t="shared" si="153"/>
        <v>0</v>
      </c>
      <c r="AH3288" s="177">
        <f t="shared" si="151"/>
        <v>0</v>
      </c>
    </row>
    <row r="3289" spans="23:34">
      <c r="W3289" s="177">
        <f t="shared" si="152"/>
        <v>0</v>
      </c>
      <c r="AB3289" s="178">
        <f t="shared" si="153"/>
        <v>0</v>
      </c>
      <c r="AH3289" s="177">
        <f t="shared" si="151"/>
        <v>0</v>
      </c>
    </row>
    <row r="3290" spans="23:34">
      <c r="W3290" s="177">
        <f t="shared" si="152"/>
        <v>0</v>
      </c>
      <c r="AB3290" s="178">
        <f t="shared" si="153"/>
        <v>0</v>
      </c>
      <c r="AH3290" s="177">
        <f t="shared" si="151"/>
        <v>0</v>
      </c>
    </row>
    <row r="3291" spans="23:34">
      <c r="W3291" s="177">
        <f t="shared" si="152"/>
        <v>0</v>
      </c>
      <c r="AB3291" s="178">
        <f t="shared" si="153"/>
        <v>0</v>
      </c>
      <c r="AH3291" s="177">
        <f t="shared" si="151"/>
        <v>0</v>
      </c>
    </row>
    <row r="3292" spans="23:34">
      <c r="W3292" s="177">
        <f t="shared" si="152"/>
        <v>0</v>
      </c>
      <c r="AB3292" s="178">
        <f t="shared" si="153"/>
        <v>0</v>
      </c>
      <c r="AH3292" s="177">
        <f t="shared" si="151"/>
        <v>0</v>
      </c>
    </row>
    <row r="3293" spans="23:34">
      <c r="W3293" s="177">
        <f t="shared" si="152"/>
        <v>0</v>
      </c>
      <c r="AB3293" s="178">
        <f t="shared" si="153"/>
        <v>0</v>
      </c>
      <c r="AH3293" s="177">
        <f t="shared" si="151"/>
        <v>0</v>
      </c>
    </row>
    <row r="3294" spans="23:34">
      <c r="W3294" s="177">
        <f t="shared" si="152"/>
        <v>0</v>
      </c>
      <c r="AB3294" s="178">
        <f t="shared" si="153"/>
        <v>0</v>
      </c>
      <c r="AH3294" s="177">
        <f t="shared" si="151"/>
        <v>0</v>
      </c>
    </row>
    <row r="3295" spans="23:34">
      <c r="W3295" s="177">
        <f t="shared" si="152"/>
        <v>0</v>
      </c>
      <c r="AB3295" s="178">
        <f t="shared" si="153"/>
        <v>0</v>
      </c>
      <c r="AH3295" s="177">
        <f t="shared" si="151"/>
        <v>0</v>
      </c>
    </row>
    <row r="3296" spans="23:34">
      <c r="W3296" s="177">
        <f t="shared" si="152"/>
        <v>0</v>
      </c>
      <c r="AB3296" s="178">
        <f t="shared" si="153"/>
        <v>0</v>
      </c>
      <c r="AH3296" s="177">
        <f t="shared" si="151"/>
        <v>0</v>
      </c>
    </row>
    <row r="3297" spans="23:34">
      <c r="W3297" s="177">
        <f t="shared" si="152"/>
        <v>0</v>
      </c>
      <c r="AB3297" s="178">
        <f t="shared" si="153"/>
        <v>0</v>
      </c>
      <c r="AH3297" s="177">
        <f t="shared" si="151"/>
        <v>0</v>
      </c>
    </row>
    <row r="3298" spans="23:34">
      <c r="W3298" s="177">
        <f t="shared" si="152"/>
        <v>0</v>
      </c>
      <c r="AB3298" s="178">
        <f t="shared" si="153"/>
        <v>0</v>
      </c>
      <c r="AH3298" s="177">
        <f t="shared" si="151"/>
        <v>0</v>
      </c>
    </row>
    <row r="3299" spans="23:34">
      <c r="W3299" s="177">
        <f t="shared" si="152"/>
        <v>0</v>
      </c>
      <c r="AB3299" s="178">
        <f t="shared" si="153"/>
        <v>0</v>
      </c>
      <c r="AH3299" s="177">
        <f t="shared" si="151"/>
        <v>0</v>
      </c>
    </row>
    <row r="3300" spans="23:34">
      <c r="W3300" s="177">
        <f t="shared" si="152"/>
        <v>0</v>
      </c>
      <c r="AB3300" s="178">
        <f t="shared" si="153"/>
        <v>0</v>
      </c>
      <c r="AH3300" s="177">
        <f t="shared" si="151"/>
        <v>0</v>
      </c>
    </row>
    <row r="3301" spans="23:34">
      <c r="W3301" s="177">
        <f t="shared" si="152"/>
        <v>0</v>
      </c>
      <c r="AB3301" s="178">
        <f t="shared" si="153"/>
        <v>0</v>
      </c>
      <c r="AH3301" s="177">
        <f t="shared" si="151"/>
        <v>0</v>
      </c>
    </row>
    <row r="3302" spans="23:34">
      <c r="W3302" s="177">
        <f t="shared" si="152"/>
        <v>0</v>
      </c>
      <c r="AB3302" s="178">
        <f t="shared" si="153"/>
        <v>0</v>
      </c>
      <c r="AH3302" s="177">
        <f t="shared" si="151"/>
        <v>0</v>
      </c>
    </row>
    <row r="3303" spans="23:34">
      <c r="W3303" s="177">
        <f t="shared" si="152"/>
        <v>0</v>
      </c>
      <c r="AB3303" s="178">
        <f t="shared" si="153"/>
        <v>0</v>
      </c>
      <c r="AH3303" s="177">
        <f t="shared" si="151"/>
        <v>0</v>
      </c>
    </row>
    <row r="3304" spans="23:34">
      <c r="W3304" s="177">
        <f t="shared" si="152"/>
        <v>0</v>
      </c>
      <c r="AB3304" s="178">
        <f t="shared" si="153"/>
        <v>0</v>
      </c>
      <c r="AH3304" s="177">
        <f t="shared" si="151"/>
        <v>0</v>
      </c>
    </row>
    <row r="3305" spans="23:34">
      <c r="W3305" s="177">
        <f t="shared" si="152"/>
        <v>0</v>
      </c>
      <c r="AB3305" s="178">
        <f t="shared" si="153"/>
        <v>0</v>
      </c>
      <c r="AH3305" s="177">
        <f t="shared" si="151"/>
        <v>0</v>
      </c>
    </row>
    <row r="3306" spans="23:34">
      <c r="W3306" s="177">
        <f t="shared" si="152"/>
        <v>0</v>
      </c>
      <c r="AB3306" s="178">
        <f t="shared" si="153"/>
        <v>0</v>
      </c>
      <c r="AH3306" s="177">
        <f t="shared" si="151"/>
        <v>0</v>
      </c>
    </row>
    <row r="3307" spans="23:34">
      <c r="W3307" s="177">
        <f t="shared" si="152"/>
        <v>0</v>
      </c>
      <c r="AB3307" s="178">
        <f t="shared" si="153"/>
        <v>0</v>
      </c>
      <c r="AH3307" s="177">
        <f t="shared" si="151"/>
        <v>0</v>
      </c>
    </row>
    <row r="3308" spans="23:34">
      <c r="W3308" s="177">
        <f t="shared" si="152"/>
        <v>0</v>
      </c>
      <c r="AB3308" s="178">
        <f t="shared" si="153"/>
        <v>0</v>
      </c>
      <c r="AH3308" s="177">
        <f t="shared" si="151"/>
        <v>0</v>
      </c>
    </row>
    <row r="3309" spans="23:34">
      <c r="W3309" s="177">
        <f t="shared" si="152"/>
        <v>0</v>
      </c>
      <c r="AB3309" s="178">
        <f t="shared" si="153"/>
        <v>0</v>
      </c>
      <c r="AH3309" s="177">
        <f t="shared" si="151"/>
        <v>0</v>
      </c>
    </row>
    <row r="3310" spans="23:34">
      <c r="W3310" s="177">
        <f t="shared" si="152"/>
        <v>0</v>
      </c>
      <c r="AB3310" s="178">
        <f t="shared" si="153"/>
        <v>0</v>
      </c>
      <c r="AH3310" s="177">
        <f t="shared" si="151"/>
        <v>0</v>
      </c>
    </row>
    <row r="3311" spans="23:34">
      <c r="W3311" s="177">
        <f t="shared" si="152"/>
        <v>0</v>
      </c>
      <c r="AB3311" s="178">
        <f t="shared" si="153"/>
        <v>0</v>
      </c>
      <c r="AH3311" s="177">
        <f t="shared" si="151"/>
        <v>0</v>
      </c>
    </row>
    <row r="3312" spans="23:34">
      <c r="W3312" s="177">
        <f t="shared" si="152"/>
        <v>0</v>
      </c>
      <c r="AB3312" s="178">
        <f t="shared" si="153"/>
        <v>0</v>
      </c>
      <c r="AH3312" s="177">
        <f t="shared" ref="AH3312:AH3375" si="154">SUM(AF3312:AG3312)</f>
        <v>0</v>
      </c>
    </row>
    <row r="3313" spans="23:34">
      <c r="W3313" s="177">
        <f t="shared" si="152"/>
        <v>0</v>
      </c>
      <c r="AB3313" s="178">
        <f t="shared" si="153"/>
        <v>0</v>
      </c>
      <c r="AH3313" s="177">
        <f t="shared" si="154"/>
        <v>0</v>
      </c>
    </row>
    <row r="3314" spans="23:34">
      <c r="W3314" s="177">
        <f t="shared" si="152"/>
        <v>0</v>
      </c>
      <c r="AB3314" s="178">
        <f t="shared" si="153"/>
        <v>0</v>
      </c>
      <c r="AH3314" s="177">
        <f t="shared" si="154"/>
        <v>0</v>
      </c>
    </row>
    <row r="3315" spans="23:34">
      <c r="W3315" s="177">
        <f t="shared" ref="W3315:W3378" si="155">SUM(Q3315:T3315)</f>
        <v>0</v>
      </c>
      <c r="AB3315" s="178">
        <f t="shared" si="153"/>
        <v>0</v>
      </c>
      <c r="AH3315" s="177">
        <f t="shared" si="154"/>
        <v>0</v>
      </c>
    </row>
    <row r="3316" spans="23:34">
      <c r="W3316" s="177">
        <f t="shared" si="155"/>
        <v>0</v>
      </c>
      <c r="AB3316" s="178">
        <f t="shared" si="153"/>
        <v>0</v>
      </c>
      <c r="AH3316" s="177">
        <f t="shared" si="154"/>
        <v>0</v>
      </c>
    </row>
    <row r="3317" spans="23:34">
      <c r="W3317" s="177">
        <f t="shared" si="155"/>
        <v>0</v>
      </c>
      <c r="AB3317" s="178">
        <f t="shared" si="153"/>
        <v>0</v>
      </c>
      <c r="AH3317" s="177">
        <f t="shared" si="154"/>
        <v>0</v>
      </c>
    </row>
    <row r="3318" spans="23:34">
      <c r="W3318" s="177">
        <f t="shared" si="155"/>
        <v>0</v>
      </c>
      <c r="AB3318" s="178">
        <f t="shared" si="153"/>
        <v>0</v>
      </c>
      <c r="AH3318" s="177">
        <f t="shared" si="154"/>
        <v>0</v>
      </c>
    </row>
    <row r="3319" spans="23:34">
      <c r="W3319" s="177">
        <f t="shared" si="155"/>
        <v>0</v>
      </c>
      <c r="AB3319" s="178">
        <f t="shared" si="153"/>
        <v>0</v>
      </c>
      <c r="AH3319" s="177">
        <f t="shared" si="154"/>
        <v>0</v>
      </c>
    </row>
    <row r="3320" spans="23:34">
      <c r="W3320" s="177">
        <f t="shared" si="155"/>
        <v>0</v>
      </c>
      <c r="AB3320" s="178">
        <f t="shared" si="153"/>
        <v>0</v>
      </c>
      <c r="AH3320" s="177">
        <f t="shared" si="154"/>
        <v>0</v>
      </c>
    </row>
    <row r="3321" spans="23:34">
      <c r="W3321" s="177">
        <f t="shared" si="155"/>
        <v>0</v>
      </c>
      <c r="AB3321" s="178">
        <f t="shared" si="153"/>
        <v>0</v>
      </c>
      <c r="AH3321" s="177">
        <f t="shared" si="154"/>
        <v>0</v>
      </c>
    </row>
    <row r="3322" spans="23:34">
      <c r="W3322" s="177">
        <f t="shared" si="155"/>
        <v>0</v>
      </c>
      <c r="AB3322" s="178">
        <f t="shared" si="153"/>
        <v>0</v>
      </c>
      <c r="AH3322" s="177">
        <f t="shared" si="154"/>
        <v>0</v>
      </c>
    </row>
    <row r="3323" spans="23:34">
      <c r="W3323" s="177">
        <f t="shared" si="155"/>
        <v>0</v>
      </c>
      <c r="AB3323" s="178">
        <f t="shared" ref="AB3323:AB3386" si="156">SUM(Z3323:AA3323)</f>
        <v>0</v>
      </c>
      <c r="AH3323" s="177">
        <f t="shared" si="154"/>
        <v>0</v>
      </c>
    </row>
    <row r="3324" spans="23:34">
      <c r="W3324" s="177">
        <f t="shared" si="155"/>
        <v>0</v>
      </c>
      <c r="AB3324" s="178">
        <f t="shared" si="156"/>
        <v>0</v>
      </c>
      <c r="AH3324" s="177">
        <f t="shared" si="154"/>
        <v>0</v>
      </c>
    </row>
    <row r="3325" spans="23:34">
      <c r="W3325" s="177">
        <f t="shared" si="155"/>
        <v>0</v>
      </c>
      <c r="AB3325" s="178">
        <f t="shared" si="156"/>
        <v>0</v>
      </c>
      <c r="AH3325" s="177">
        <f t="shared" si="154"/>
        <v>0</v>
      </c>
    </row>
    <row r="3326" spans="23:34">
      <c r="W3326" s="177">
        <f t="shared" si="155"/>
        <v>0</v>
      </c>
      <c r="AB3326" s="178">
        <f t="shared" si="156"/>
        <v>0</v>
      </c>
      <c r="AH3326" s="177">
        <f t="shared" si="154"/>
        <v>0</v>
      </c>
    </row>
    <row r="3327" spans="23:34">
      <c r="W3327" s="177">
        <f t="shared" si="155"/>
        <v>0</v>
      </c>
      <c r="AB3327" s="178">
        <f t="shared" si="156"/>
        <v>0</v>
      </c>
      <c r="AH3327" s="177">
        <f t="shared" si="154"/>
        <v>0</v>
      </c>
    </row>
    <row r="3328" spans="23:34">
      <c r="W3328" s="177">
        <f t="shared" si="155"/>
        <v>0</v>
      </c>
      <c r="AB3328" s="178">
        <f t="shared" si="156"/>
        <v>0</v>
      </c>
      <c r="AH3328" s="177">
        <f t="shared" si="154"/>
        <v>0</v>
      </c>
    </row>
    <row r="3329" spans="23:34">
      <c r="W3329" s="177">
        <f t="shared" si="155"/>
        <v>0</v>
      </c>
      <c r="AB3329" s="178">
        <f t="shared" si="156"/>
        <v>0</v>
      </c>
      <c r="AH3329" s="177">
        <f t="shared" si="154"/>
        <v>0</v>
      </c>
    </row>
    <row r="3330" spans="23:34">
      <c r="W3330" s="177">
        <f t="shared" si="155"/>
        <v>0</v>
      </c>
      <c r="AB3330" s="178">
        <f t="shared" si="156"/>
        <v>0</v>
      </c>
      <c r="AH3330" s="177">
        <f t="shared" si="154"/>
        <v>0</v>
      </c>
    </row>
    <row r="3331" spans="23:34">
      <c r="W3331" s="177">
        <f t="shared" si="155"/>
        <v>0</v>
      </c>
      <c r="AB3331" s="178">
        <f t="shared" si="156"/>
        <v>0</v>
      </c>
      <c r="AH3331" s="177">
        <f t="shared" si="154"/>
        <v>0</v>
      </c>
    </row>
    <row r="3332" spans="23:34">
      <c r="W3332" s="177">
        <f t="shared" si="155"/>
        <v>0</v>
      </c>
      <c r="AB3332" s="178">
        <f t="shared" si="156"/>
        <v>0</v>
      </c>
      <c r="AH3332" s="177">
        <f t="shared" si="154"/>
        <v>0</v>
      </c>
    </row>
    <row r="3333" spans="23:34">
      <c r="W3333" s="177">
        <f t="shared" si="155"/>
        <v>0</v>
      </c>
      <c r="AB3333" s="178">
        <f t="shared" si="156"/>
        <v>0</v>
      </c>
      <c r="AH3333" s="177">
        <f t="shared" si="154"/>
        <v>0</v>
      </c>
    </row>
    <row r="3334" spans="23:34">
      <c r="W3334" s="177">
        <f t="shared" si="155"/>
        <v>0</v>
      </c>
      <c r="AB3334" s="178">
        <f t="shared" si="156"/>
        <v>0</v>
      </c>
      <c r="AH3334" s="177">
        <f t="shared" si="154"/>
        <v>0</v>
      </c>
    </row>
    <row r="3335" spans="23:34">
      <c r="W3335" s="177">
        <f t="shared" si="155"/>
        <v>0</v>
      </c>
      <c r="AB3335" s="178">
        <f t="shared" si="156"/>
        <v>0</v>
      </c>
      <c r="AH3335" s="177">
        <f t="shared" si="154"/>
        <v>0</v>
      </c>
    </row>
    <row r="3336" spans="23:34">
      <c r="W3336" s="177">
        <f t="shared" si="155"/>
        <v>0</v>
      </c>
      <c r="AB3336" s="178">
        <f t="shared" si="156"/>
        <v>0</v>
      </c>
      <c r="AH3336" s="177">
        <f t="shared" si="154"/>
        <v>0</v>
      </c>
    </row>
    <row r="3337" spans="23:34">
      <c r="W3337" s="177">
        <f t="shared" si="155"/>
        <v>0</v>
      </c>
      <c r="AB3337" s="178">
        <f t="shared" si="156"/>
        <v>0</v>
      </c>
      <c r="AH3337" s="177">
        <f t="shared" si="154"/>
        <v>0</v>
      </c>
    </row>
    <row r="3338" spans="23:34">
      <c r="W3338" s="177">
        <f t="shared" si="155"/>
        <v>0</v>
      </c>
      <c r="AB3338" s="178">
        <f t="shared" si="156"/>
        <v>0</v>
      </c>
      <c r="AH3338" s="177">
        <f t="shared" si="154"/>
        <v>0</v>
      </c>
    </row>
    <row r="3339" spans="23:34">
      <c r="W3339" s="177">
        <f t="shared" si="155"/>
        <v>0</v>
      </c>
      <c r="AB3339" s="178">
        <f t="shared" si="156"/>
        <v>0</v>
      </c>
      <c r="AH3339" s="177">
        <f t="shared" si="154"/>
        <v>0</v>
      </c>
    </row>
    <row r="3340" spans="23:34">
      <c r="W3340" s="177">
        <f t="shared" si="155"/>
        <v>0</v>
      </c>
      <c r="AB3340" s="178">
        <f t="shared" si="156"/>
        <v>0</v>
      </c>
      <c r="AH3340" s="177">
        <f t="shared" si="154"/>
        <v>0</v>
      </c>
    </row>
    <row r="3341" spans="23:34">
      <c r="W3341" s="177">
        <f t="shared" si="155"/>
        <v>0</v>
      </c>
      <c r="AB3341" s="178">
        <f t="shared" si="156"/>
        <v>0</v>
      </c>
      <c r="AH3341" s="177">
        <f t="shared" si="154"/>
        <v>0</v>
      </c>
    </row>
    <row r="3342" spans="23:34">
      <c r="W3342" s="177">
        <f t="shared" si="155"/>
        <v>0</v>
      </c>
      <c r="AB3342" s="178">
        <f t="shared" si="156"/>
        <v>0</v>
      </c>
      <c r="AH3342" s="177">
        <f t="shared" si="154"/>
        <v>0</v>
      </c>
    </row>
    <row r="3343" spans="23:34">
      <c r="W3343" s="177">
        <f t="shared" si="155"/>
        <v>0</v>
      </c>
      <c r="AB3343" s="178">
        <f t="shared" si="156"/>
        <v>0</v>
      </c>
      <c r="AH3343" s="177">
        <f t="shared" si="154"/>
        <v>0</v>
      </c>
    </row>
    <row r="3344" spans="23:34">
      <c r="W3344" s="177">
        <f t="shared" si="155"/>
        <v>0</v>
      </c>
      <c r="AB3344" s="178">
        <f t="shared" si="156"/>
        <v>0</v>
      </c>
      <c r="AH3344" s="177">
        <f t="shared" si="154"/>
        <v>0</v>
      </c>
    </row>
    <row r="3345" spans="23:34">
      <c r="W3345" s="177">
        <f t="shared" si="155"/>
        <v>0</v>
      </c>
      <c r="AB3345" s="178">
        <f t="shared" si="156"/>
        <v>0</v>
      </c>
      <c r="AH3345" s="177">
        <f t="shared" si="154"/>
        <v>0</v>
      </c>
    </row>
    <row r="3346" spans="23:34">
      <c r="W3346" s="177">
        <f t="shared" si="155"/>
        <v>0</v>
      </c>
      <c r="AB3346" s="178">
        <f t="shared" si="156"/>
        <v>0</v>
      </c>
      <c r="AH3346" s="177">
        <f t="shared" si="154"/>
        <v>0</v>
      </c>
    </row>
    <row r="3347" spans="23:34">
      <c r="W3347" s="177">
        <f t="shared" si="155"/>
        <v>0</v>
      </c>
      <c r="AB3347" s="178">
        <f t="shared" si="156"/>
        <v>0</v>
      </c>
      <c r="AH3347" s="177">
        <f t="shared" si="154"/>
        <v>0</v>
      </c>
    </row>
    <row r="3348" spans="23:34">
      <c r="W3348" s="177">
        <f t="shared" si="155"/>
        <v>0</v>
      </c>
      <c r="AB3348" s="178">
        <f t="shared" si="156"/>
        <v>0</v>
      </c>
      <c r="AH3348" s="177">
        <f t="shared" si="154"/>
        <v>0</v>
      </c>
    </row>
    <row r="3349" spans="23:34">
      <c r="W3349" s="177">
        <f t="shared" si="155"/>
        <v>0</v>
      </c>
      <c r="AB3349" s="178">
        <f t="shared" si="156"/>
        <v>0</v>
      </c>
      <c r="AH3349" s="177">
        <f t="shared" si="154"/>
        <v>0</v>
      </c>
    </row>
    <row r="3350" spans="23:34">
      <c r="W3350" s="177">
        <f t="shared" si="155"/>
        <v>0</v>
      </c>
      <c r="AB3350" s="178">
        <f t="shared" si="156"/>
        <v>0</v>
      </c>
      <c r="AH3350" s="177">
        <f t="shared" si="154"/>
        <v>0</v>
      </c>
    </row>
    <row r="3351" spans="23:34">
      <c r="W3351" s="177">
        <f t="shared" si="155"/>
        <v>0</v>
      </c>
      <c r="AB3351" s="178">
        <f t="shared" si="156"/>
        <v>0</v>
      </c>
      <c r="AH3351" s="177">
        <f t="shared" si="154"/>
        <v>0</v>
      </c>
    </row>
    <row r="3352" spans="23:34">
      <c r="W3352" s="177">
        <f t="shared" si="155"/>
        <v>0</v>
      </c>
      <c r="AB3352" s="178">
        <f t="shared" si="156"/>
        <v>0</v>
      </c>
      <c r="AH3352" s="177">
        <f t="shared" si="154"/>
        <v>0</v>
      </c>
    </row>
    <row r="3353" spans="23:34">
      <c r="W3353" s="177">
        <f t="shared" si="155"/>
        <v>0</v>
      </c>
      <c r="AB3353" s="178">
        <f t="shared" si="156"/>
        <v>0</v>
      </c>
      <c r="AH3353" s="177">
        <f t="shared" si="154"/>
        <v>0</v>
      </c>
    </row>
    <row r="3354" spans="23:34">
      <c r="W3354" s="177">
        <f t="shared" si="155"/>
        <v>0</v>
      </c>
      <c r="AB3354" s="178">
        <f t="shared" si="156"/>
        <v>0</v>
      </c>
      <c r="AH3354" s="177">
        <f t="shared" si="154"/>
        <v>0</v>
      </c>
    </row>
    <row r="3355" spans="23:34">
      <c r="W3355" s="177">
        <f t="shared" si="155"/>
        <v>0</v>
      </c>
      <c r="AB3355" s="178">
        <f t="shared" si="156"/>
        <v>0</v>
      </c>
      <c r="AH3355" s="177">
        <f t="shared" si="154"/>
        <v>0</v>
      </c>
    </row>
    <row r="3356" spans="23:34">
      <c r="W3356" s="177">
        <f t="shared" si="155"/>
        <v>0</v>
      </c>
      <c r="AB3356" s="178">
        <f t="shared" si="156"/>
        <v>0</v>
      </c>
      <c r="AH3356" s="177">
        <f t="shared" si="154"/>
        <v>0</v>
      </c>
    </row>
    <row r="3357" spans="23:34">
      <c r="W3357" s="177">
        <f t="shared" si="155"/>
        <v>0</v>
      </c>
      <c r="AB3357" s="178">
        <f t="shared" si="156"/>
        <v>0</v>
      </c>
      <c r="AH3357" s="177">
        <f t="shared" si="154"/>
        <v>0</v>
      </c>
    </row>
    <row r="3358" spans="23:34">
      <c r="W3358" s="177">
        <f t="shared" si="155"/>
        <v>0</v>
      </c>
      <c r="AB3358" s="178">
        <f t="shared" si="156"/>
        <v>0</v>
      </c>
      <c r="AH3358" s="177">
        <f t="shared" si="154"/>
        <v>0</v>
      </c>
    </row>
    <row r="3359" spans="23:34">
      <c r="W3359" s="177">
        <f t="shared" si="155"/>
        <v>0</v>
      </c>
      <c r="AB3359" s="178">
        <f t="shared" si="156"/>
        <v>0</v>
      </c>
      <c r="AH3359" s="177">
        <f t="shared" si="154"/>
        <v>0</v>
      </c>
    </row>
    <row r="3360" spans="23:34">
      <c r="W3360" s="177">
        <f t="shared" si="155"/>
        <v>0</v>
      </c>
      <c r="AB3360" s="178">
        <f t="shared" si="156"/>
        <v>0</v>
      </c>
      <c r="AH3360" s="177">
        <f t="shared" si="154"/>
        <v>0</v>
      </c>
    </row>
    <row r="3361" spans="23:34">
      <c r="W3361" s="177">
        <f t="shared" si="155"/>
        <v>0</v>
      </c>
      <c r="AB3361" s="178">
        <f t="shared" si="156"/>
        <v>0</v>
      </c>
      <c r="AH3361" s="177">
        <f t="shared" si="154"/>
        <v>0</v>
      </c>
    </row>
    <row r="3362" spans="23:34">
      <c r="W3362" s="177">
        <f t="shared" si="155"/>
        <v>0</v>
      </c>
      <c r="AB3362" s="178">
        <f t="shared" si="156"/>
        <v>0</v>
      </c>
      <c r="AH3362" s="177">
        <f t="shared" si="154"/>
        <v>0</v>
      </c>
    </row>
    <row r="3363" spans="23:34">
      <c r="W3363" s="177">
        <f t="shared" si="155"/>
        <v>0</v>
      </c>
      <c r="AB3363" s="178">
        <f t="shared" si="156"/>
        <v>0</v>
      </c>
      <c r="AH3363" s="177">
        <f t="shared" si="154"/>
        <v>0</v>
      </c>
    </row>
    <row r="3364" spans="23:34">
      <c r="W3364" s="177">
        <f t="shared" si="155"/>
        <v>0</v>
      </c>
      <c r="AB3364" s="178">
        <f t="shared" si="156"/>
        <v>0</v>
      </c>
      <c r="AH3364" s="177">
        <f t="shared" si="154"/>
        <v>0</v>
      </c>
    </row>
    <row r="3365" spans="23:34">
      <c r="W3365" s="177">
        <f t="shared" si="155"/>
        <v>0</v>
      </c>
      <c r="AB3365" s="178">
        <f t="shared" si="156"/>
        <v>0</v>
      </c>
      <c r="AH3365" s="177">
        <f t="shared" si="154"/>
        <v>0</v>
      </c>
    </row>
    <row r="3366" spans="23:34">
      <c r="W3366" s="177">
        <f t="shared" si="155"/>
        <v>0</v>
      </c>
      <c r="AB3366" s="178">
        <f t="shared" si="156"/>
        <v>0</v>
      </c>
      <c r="AH3366" s="177">
        <f t="shared" si="154"/>
        <v>0</v>
      </c>
    </row>
    <row r="3367" spans="23:34">
      <c r="W3367" s="177">
        <f t="shared" si="155"/>
        <v>0</v>
      </c>
      <c r="AB3367" s="178">
        <f t="shared" si="156"/>
        <v>0</v>
      </c>
      <c r="AH3367" s="177">
        <f t="shared" si="154"/>
        <v>0</v>
      </c>
    </row>
    <row r="3368" spans="23:34">
      <c r="W3368" s="177">
        <f t="shared" si="155"/>
        <v>0</v>
      </c>
      <c r="AB3368" s="178">
        <f t="shared" si="156"/>
        <v>0</v>
      </c>
      <c r="AH3368" s="177">
        <f t="shared" si="154"/>
        <v>0</v>
      </c>
    </row>
    <row r="3369" spans="23:34">
      <c r="W3369" s="177">
        <f t="shared" si="155"/>
        <v>0</v>
      </c>
      <c r="AB3369" s="178">
        <f t="shared" si="156"/>
        <v>0</v>
      </c>
      <c r="AH3369" s="177">
        <f t="shared" si="154"/>
        <v>0</v>
      </c>
    </row>
    <row r="3370" spans="23:34">
      <c r="W3370" s="177">
        <f t="shared" si="155"/>
        <v>0</v>
      </c>
      <c r="AB3370" s="178">
        <f t="shared" si="156"/>
        <v>0</v>
      </c>
      <c r="AH3370" s="177">
        <f t="shared" si="154"/>
        <v>0</v>
      </c>
    </row>
    <row r="3371" spans="23:34">
      <c r="W3371" s="177">
        <f t="shared" si="155"/>
        <v>0</v>
      </c>
      <c r="AB3371" s="178">
        <f t="shared" si="156"/>
        <v>0</v>
      </c>
      <c r="AH3371" s="177">
        <f t="shared" si="154"/>
        <v>0</v>
      </c>
    </row>
    <row r="3372" spans="23:34">
      <c r="W3372" s="177">
        <f t="shared" si="155"/>
        <v>0</v>
      </c>
      <c r="AB3372" s="178">
        <f t="shared" si="156"/>
        <v>0</v>
      </c>
      <c r="AH3372" s="177">
        <f t="shared" si="154"/>
        <v>0</v>
      </c>
    </row>
    <row r="3373" spans="23:34">
      <c r="W3373" s="177">
        <f t="shared" si="155"/>
        <v>0</v>
      </c>
      <c r="AB3373" s="178">
        <f t="shared" si="156"/>
        <v>0</v>
      </c>
      <c r="AH3373" s="177">
        <f t="shared" si="154"/>
        <v>0</v>
      </c>
    </row>
    <row r="3374" spans="23:34">
      <c r="W3374" s="177">
        <f t="shared" si="155"/>
        <v>0</v>
      </c>
      <c r="AB3374" s="178">
        <f t="shared" si="156"/>
        <v>0</v>
      </c>
      <c r="AH3374" s="177">
        <f t="shared" si="154"/>
        <v>0</v>
      </c>
    </row>
    <row r="3375" spans="23:34">
      <c r="W3375" s="177">
        <f t="shared" si="155"/>
        <v>0</v>
      </c>
      <c r="AB3375" s="178">
        <f t="shared" si="156"/>
        <v>0</v>
      </c>
      <c r="AH3375" s="177">
        <f t="shared" si="154"/>
        <v>0</v>
      </c>
    </row>
    <row r="3376" spans="23:34">
      <c r="W3376" s="177">
        <f t="shared" si="155"/>
        <v>0</v>
      </c>
      <c r="AB3376" s="178">
        <f t="shared" si="156"/>
        <v>0</v>
      </c>
      <c r="AH3376" s="177">
        <f t="shared" ref="AH3376:AH3439" si="157">SUM(AF3376:AG3376)</f>
        <v>0</v>
      </c>
    </row>
    <row r="3377" spans="23:34">
      <c r="W3377" s="177">
        <f t="shared" si="155"/>
        <v>0</v>
      </c>
      <c r="AB3377" s="178">
        <f t="shared" si="156"/>
        <v>0</v>
      </c>
      <c r="AH3377" s="177">
        <f t="shared" si="157"/>
        <v>0</v>
      </c>
    </row>
    <row r="3378" spans="23:34">
      <c r="W3378" s="177">
        <f t="shared" si="155"/>
        <v>0</v>
      </c>
      <c r="AB3378" s="178">
        <f t="shared" si="156"/>
        <v>0</v>
      </c>
      <c r="AH3378" s="177">
        <f t="shared" si="157"/>
        <v>0</v>
      </c>
    </row>
    <row r="3379" spans="23:34">
      <c r="W3379" s="177">
        <f t="shared" ref="W3379:W3442" si="158">SUM(Q3379:T3379)</f>
        <v>0</v>
      </c>
      <c r="AB3379" s="178">
        <f t="shared" si="156"/>
        <v>0</v>
      </c>
      <c r="AH3379" s="177">
        <f t="shared" si="157"/>
        <v>0</v>
      </c>
    </row>
    <row r="3380" spans="23:34">
      <c r="W3380" s="177">
        <f t="shared" si="158"/>
        <v>0</v>
      </c>
      <c r="AB3380" s="178">
        <f t="shared" si="156"/>
        <v>0</v>
      </c>
      <c r="AH3380" s="177">
        <f t="shared" si="157"/>
        <v>0</v>
      </c>
    </row>
    <row r="3381" spans="23:34">
      <c r="W3381" s="177">
        <f t="shared" si="158"/>
        <v>0</v>
      </c>
      <c r="AB3381" s="178">
        <f t="shared" si="156"/>
        <v>0</v>
      </c>
      <c r="AH3381" s="177">
        <f t="shared" si="157"/>
        <v>0</v>
      </c>
    </row>
    <row r="3382" spans="23:34">
      <c r="W3382" s="177">
        <f t="shared" si="158"/>
        <v>0</v>
      </c>
      <c r="AB3382" s="178">
        <f t="shared" si="156"/>
        <v>0</v>
      </c>
      <c r="AH3382" s="177">
        <f t="shared" si="157"/>
        <v>0</v>
      </c>
    </row>
    <row r="3383" spans="23:34">
      <c r="W3383" s="177">
        <f t="shared" si="158"/>
        <v>0</v>
      </c>
      <c r="AB3383" s="178">
        <f t="shared" si="156"/>
        <v>0</v>
      </c>
      <c r="AH3383" s="177">
        <f t="shared" si="157"/>
        <v>0</v>
      </c>
    </row>
    <row r="3384" spans="23:34">
      <c r="W3384" s="177">
        <f t="shared" si="158"/>
        <v>0</v>
      </c>
      <c r="AB3384" s="178">
        <f t="shared" si="156"/>
        <v>0</v>
      </c>
      <c r="AH3384" s="177">
        <f t="shared" si="157"/>
        <v>0</v>
      </c>
    </row>
    <row r="3385" spans="23:34">
      <c r="W3385" s="177">
        <f t="shared" si="158"/>
        <v>0</v>
      </c>
      <c r="AB3385" s="178">
        <f t="shared" si="156"/>
        <v>0</v>
      </c>
      <c r="AH3385" s="177">
        <f t="shared" si="157"/>
        <v>0</v>
      </c>
    </row>
    <row r="3386" spans="23:34">
      <c r="W3386" s="177">
        <f t="shared" si="158"/>
        <v>0</v>
      </c>
      <c r="AB3386" s="178">
        <f t="shared" si="156"/>
        <v>0</v>
      </c>
      <c r="AH3386" s="177">
        <f t="shared" si="157"/>
        <v>0</v>
      </c>
    </row>
    <row r="3387" spans="23:34">
      <c r="W3387" s="177">
        <f t="shared" si="158"/>
        <v>0</v>
      </c>
      <c r="AB3387" s="178">
        <f t="shared" ref="AB3387:AB3450" si="159">SUM(Z3387:AA3387)</f>
        <v>0</v>
      </c>
      <c r="AH3387" s="177">
        <f t="shared" si="157"/>
        <v>0</v>
      </c>
    </row>
    <row r="3388" spans="23:34">
      <c r="W3388" s="177">
        <f t="shared" si="158"/>
        <v>0</v>
      </c>
      <c r="AB3388" s="178">
        <f t="shared" si="159"/>
        <v>0</v>
      </c>
      <c r="AH3388" s="177">
        <f t="shared" si="157"/>
        <v>0</v>
      </c>
    </row>
    <row r="3389" spans="23:34">
      <c r="W3389" s="177">
        <f t="shared" si="158"/>
        <v>0</v>
      </c>
      <c r="AB3389" s="178">
        <f t="shared" si="159"/>
        <v>0</v>
      </c>
      <c r="AH3389" s="177">
        <f t="shared" si="157"/>
        <v>0</v>
      </c>
    </row>
    <row r="3390" spans="23:34">
      <c r="W3390" s="177">
        <f t="shared" si="158"/>
        <v>0</v>
      </c>
      <c r="AB3390" s="178">
        <f t="shared" si="159"/>
        <v>0</v>
      </c>
      <c r="AH3390" s="177">
        <f t="shared" si="157"/>
        <v>0</v>
      </c>
    </row>
    <row r="3391" spans="23:34">
      <c r="W3391" s="177">
        <f t="shared" si="158"/>
        <v>0</v>
      </c>
      <c r="AB3391" s="178">
        <f t="shared" si="159"/>
        <v>0</v>
      </c>
      <c r="AH3391" s="177">
        <f t="shared" si="157"/>
        <v>0</v>
      </c>
    </row>
    <row r="3392" spans="23:34">
      <c r="W3392" s="177">
        <f t="shared" si="158"/>
        <v>0</v>
      </c>
      <c r="AB3392" s="178">
        <f t="shared" si="159"/>
        <v>0</v>
      </c>
      <c r="AH3392" s="177">
        <f t="shared" si="157"/>
        <v>0</v>
      </c>
    </row>
    <row r="3393" spans="23:34">
      <c r="W3393" s="177">
        <f t="shared" si="158"/>
        <v>0</v>
      </c>
      <c r="AB3393" s="178">
        <f t="shared" si="159"/>
        <v>0</v>
      </c>
      <c r="AH3393" s="177">
        <f t="shared" si="157"/>
        <v>0</v>
      </c>
    </row>
    <row r="3394" spans="23:34">
      <c r="W3394" s="177">
        <f t="shared" si="158"/>
        <v>0</v>
      </c>
      <c r="AB3394" s="178">
        <f t="shared" si="159"/>
        <v>0</v>
      </c>
      <c r="AH3394" s="177">
        <f t="shared" si="157"/>
        <v>0</v>
      </c>
    </row>
    <row r="3395" spans="23:34">
      <c r="W3395" s="177">
        <f t="shared" si="158"/>
        <v>0</v>
      </c>
      <c r="AB3395" s="178">
        <f t="shared" si="159"/>
        <v>0</v>
      </c>
      <c r="AH3395" s="177">
        <f t="shared" si="157"/>
        <v>0</v>
      </c>
    </row>
    <row r="3396" spans="23:34">
      <c r="W3396" s="177">
        <f t="shared" si="158"/>
        <v>0</v>
      </c>
      <c r="AB3396" s="178">
        <f t="shared" si="159"/>
        <v>0</v>
      </c>
      <c r="AH3396" s="177">
        <f t="shared" si="157"/>
        <v>0</v>
      </c>
    </row>
    <row r="3397" spans="23:34">
      <c r="W3397" s="177">
        <f t="shared" si="158"/>
        <v>0</v>
      </c>
      <c r="AB3397" s="178">
        <f t="shared" si="159"/>
        <v>0</v>
      </c>
      <c r="AH3397" s="177">
        <f t="shared" si="157"/>
        <v>0</v>
      </c>
    </row>
    <row r="3398" spans="23:34">
      <c r="W3398" s="177">
        <f t="shared" si="158"/>
        <v>0</v>
      </c>
      <c r="AB3398" s="178">
        <f t="shared" si="159"/>
        <v>0</v>
      </c>
      <c r="AH3398" s="177">
        <f t="shared" si="157"/>
        <v>0</v>
      </c>
    </row>
    <row r="3399" spans="23:34">
      <c r="W3399" s="177">
        <f t="shared" si="158"/>
        <v>0</v>
      </c>
      <c r="AB3399" s="178">
        <f t="shared" si="159"/>
        <v>0</v>
      </c>
      <c r="AH3399" s="177">
        <f t="shared" si="157"/>
        <v>0</v>
      </c>
    </row>
    <row r="3400" spans="23:34">
      <c r="W3400" s="177">
        <f t="shared" si="158"/>
        <v>0</v>
      </c>
      <c r="AB3400" s="178">
        <f t="shared" si="159"/>
        <v>0</v>
      </c>
      <c r="AH3400" s="177">
        <f t="shared" si="157"/>
        <v>0</v>
      </c>
    </row>
    <row r="3401" spans="23:34">
      <c r="W3401" s="177">
        <f t="shared" si="158"/>
        <v>0</v>
      </c>
      <c r="AB3401" s="178">
        <f t="shared" si="159"/>
        <v>0</v>
      </c>
      <c r="AH3401" s="177">
        <f t="shared" si="157"/>
        <v>0</v>
      </c>
    </row>
    <row r="3402" spans="23:34">
      <c r="W3402" s="177">
        <f t="shared" si="158"/>
        <v>0</v>
      </c>
      <c r="AB3402" s="178">
        <f t="shared" si="159"/>
        <v>0</v>
      </c>
      <c r="AH3402" s="177">
        <f t="shared" si="157"/>
        <v>0</v>
      </c>
    </row>
    <row r="3403" spans="23:34">
      <c r="W3403" s="177">
        <f t="shared" si="158"/>
        <v>0</v>
      </c>
      <c r="AB3403" s="178">
        <f t="shared" si="159"/>
        <v>0</v>
      </c>
      <c r="AH3403" s="177">
        <f t="shared" si="157"/>
        <v>0</v>
      </c>
    </row>
    <row r="3404" spans="23:34">
      <c r="W3404" s="177">
        <f t="shared" si="158"/>
        <v>0</v>
      </c>
      <c r="AB3404" s="178">
        <f t="shared" si="159"/>
        <v>0</v>
      </c>
      <c r="AH3404" s="177">
        <f t="shared" si="157"/>
        <v>0</v>
      </c>
    </row>
    <row r="3405" spans="23:34">
      <c r="W3405" s="177">
        <f t="shared" si="158"/>
        <v>0</v>
      </c>
      <c r="AB3405" s="178">
        <f t="shared" si="159"/>
        <v>0</v>
      </c>
      <c r="AH3405" s="177">
        <f t="shared" si="157"/>
        <v>0</v>
      </c>
    </row>
    <row r="3406" spans="23:34">
      <c r="W3406" s="177">
        <f t="shared" si="158"/>
        <v>0</v>
      </c>
      <c r="AB3406" s="178">
        <f t="shared" si="159"/>
        <v>0</v>
      </c>
      <c r="AH3406" s="177">
        <f t="shared" si="157"/>
        <v>0</v>
      </c>
    </row>
    <row r="3407" spans="23:34">
      <c r="W3407" s="177">
        <f t="shared" si="158"/>
        <v>0</v>
      </c>
      <c r="AB3407" s="178">
        <f t="shared" si="159"/>
        <v>0</v>
      </c>
      <c r="AH3407" s="177">
        <f t="shared" si="157"/>
        <v>0</v>
      </c>
    </row>
    <row r="3408" spans="23:34">
      <c r="W3408" s="177">
        <f t="shared" si="158"/>
        <v>0</v>
      </c>
      <c r="AB3408" s="178">
        <f t="shared" si="159"/>
        <v>0</v>
      </c>
      <c r="AH3408" s="177">
        <f t="shared" si="157"/>
        <v>0</v>
      </c>
    </row>
    <row r="3409" spans="23:34">
      <c r="W3409" s="177">
        <f t="shared" si="158"/>
        <v>0</v>
      </c>
      <c r="AB3409" s="178">
        <f t="shared" si="159"/>
        <v>0</v>
      </c>
      <c r="AH3409" s="177">
        <f t="shared" si="157"/>
        <v>0</v>
      </c>
    </row>
    <row r="3410" spans="23:34">
      <c r="W3410" s="177">
        <f t="shared" si="158"/>
        <v>0</v>
      </c>
      <c r="AB3410" s="178">
        <f t="shared" si="159"/>
        <v>0</v>
      </c>
      <c r="AH3410" s="177">
        <f t="shared" si="157"/>
        <v>0</v>
      </c>
    </row>
    <row r="3411" spans="23:34">
      <c r="W3411" s="177">
        <f t="shared" si="158"/>
        <v>0</v>
      </c>
      <c r="AB3411" s="178">
        <f t="shared" si="159"/>
        <v>0</v>
      </c>
      <c r="AH3411" s="177">
        <f t="shared" si="157"/>
        <v>0</v>
      </c>
    </row>
    <row r="3412" spans="23:34">
      <c r="W3412" s="177">
        <f t="shared" si="158"/>
        <v>0</v>
      </c>
      <c r="AB3412" s="178">
        <f t="shared" si="159"/>
        <v>0</v>
      </c>
      <c r="AH3412" s="177">
        <f t="shared" si="157"/>
        <v>0</v>
      </c>
    </row>
    <row r="3413" spans="23:34">
      <c r="W3413" s="177">
        <f t="shared" si="158"/>
        <v>0</v>
      </c>
      <c r="AB3413" s="178">
        <f t="shared" si="159"/>
        <v>0</v>
      </c>
      <c r="AH3413" s="177">
        <f t="shared" si="157"/>
        <v>0</v>
      </c>
    </row>
    <row r="3414" spans="23:34">
      <c r="W3414" s="177">
        <f t="shared" si="158"/>
        <v>0</v>
      </c>
      <c r="AB3414" s="178">
        <f t="shared" si="159"/>
        <v>0</v>
      </c>
      <c r="AH3414" s="177">
        <f t="shared" si="157"/>
        <v>0</v>
      </c>
    </row>
    <row r="3415" spans="23:34">
      <c r="W3415" s="177">
        <f t="shared" si="158"/>
        <v>0</v>
      </c>
      <c r="AB3415" s="178">
        <f t="shared" si="159"/>
        <v>0</v>
      </c>
      <c r="AH3415" s="177">
        <f t="shared" si="157"/>
        <v>0</v>
      </c>
    </row>
    <row r="3416" spans="23:34">
      <c r="W3416" s="177">
        <f t="shared" si="158"/>
        <v>0</v>
      </c>
      <c r="AB3416" s="178">
        <f t="shared" si="159"/>
        <v>0</v>
      </c>
      <c r="AH3416" s="177">
        <f t="shared" si="157"/>
        <v>0</v>
      </c>
    </row>
    <row r="3417" spans="23:34">
      <c r="W3417" s="177">
        <f t="shared" si="158"/>
        <v>0</v>
      </c>
      <c r="AB3417" s="178">
        <f t="shared" si="159"/>
        <v>0</v>
      </c>
      <c r="AH3417" s="177">
        <f t="shared" si="157"/>
        <v>0</v>
      </c>
    </row>
    <row r="3418" spans="23:34">
      <c r="W3418" s="177">
        <f t="shared" si="158"/>
        <v>0</v>
      </c>
      <c r="AB3418" s="178">
        <f t="shared" si="159"/>
        <v>0</v>
      </c>
      <c r="AH3418" s="177">
        <f t="shared" si="157"/>
        <v>0</v>
      </c>
    </row>
    <row r="3419" spans="23:34">
      <c r="W3419" s="177">
        <f t="shared" si="158"/>
        <v>0</v>
      </c>
      <c r="AB3419" s="178">
        <f t="shared" si="159"/>
        <v>0</v>
      </c>
      <c r="AH3419" s="177">
        <f t="shared" si="157"/>
        <v>0</v>
      </c>
    </row>
    <row r="3420" spans="23:34">
      <c r="W3420" s="177">
        <f t="shared" si="158"/>
        <v>0</v>
      </c>
      <c r="AB3420" s="178">
        <f t="shared" si="159"/>
        <v>0</v>
      </c>
      <c r="AH3420" s="177">
        <f t="shared" si="157"/>
        <v>0</v>
      </c>
    </row>
    <row r="3421" spans="23:34">
      <c r="W3421" s="177">
        <f t="shared" si="158"/>
        <v>0</v>
      </c>
      <c r="AB3421" s="178">
        <f t="shared" si="159"/>
        <v>0</v>
      </c>
      <c r="AH3421" s="177">
        <f t="shared" si="157"/>
        <v>0</v>
      </c>
    </row>
    <row r="3422" spans="23:34">
      <c r="W3422" s="177">
        <f t="shared" si="158"/>
        <v>0</v>
      </c>
      <c r="AB3422" s="178">
        <f t="shared" si="159"/>
        <v>0</v>
      </c>
      <c r="AH3422" s="177">
        <f t="shared" si="157"/>
        <v>0</v>
      </c>
    </row>
    <row r="3423" spans="23:34">
      <c r="W3423" s="177">
        <f t="shared" si="158"/>
        <v>0</v>
      </c>
      <c r="AB3423" s="178">
        <f t="shared" si="159"/>
        <v>0</v>
      </c>
      <c r="AH3423" s="177">
        <f t="shared" si="157"/>
        <v>0</v>
      </c>
    </row>
    <row r="3424" spans="23:34">
      <c r="W3424" s="177">
        <f t="shared" si="158"/>
        <v>0</v>
      </c>
      <c r="AB3424" s="178">
        <f t="shared" si="159"/>
        <v>0</v>
      </c>
      <c r="AH3424" s="177">
        <f t="shared" si="157"/>
        <v>0</v>
      </c>
    </row>
    <row r="3425" spans="23:34">
      <c r="W3425" s="177">
        <f t="shared" si="158"/>
        <v>0</v>
      </c>
      <c r="AB3425" s="178">
        <f t="shared" si="159"/>
        <v>0</v>
      </c>
      <c r="AH3425" s="177">
        <f t="shared" si="157"/>
        <v>0</v>
      </c>
    </row>
    <row r="3426" spans="23:34">
      <c r="W3426" s="177">
        <f t="shared" si="158"/>
        <v>0</v>
      </c>
      <c r="AB3426" s="178">
        <f t="shared" si="159"/>
        <v>0</v>
      </c>
      <c r="AH3426" s="177">
        <f t="shared" si="157"/>
        <v>0</v>
      </c>
    </row>
    <row r="3427" spans="23:34">
      <c r="W3427" s="177">
        <f t="shared" si="158"/>
        <v>0</v>
      </c>
      <c r="AB3427" s="178">
        <f t="shared" si="159"/>
        <v>0</v>
      </c>
      <c r="AH3427" s="177">
        <f t="shared" si="157"/>
        <v>0</v>
      </c>
    </row>
    <row r="3428" spans="23:34">
      <c r="W3428" s="177">
        <f t="shared" si="158"/>
        <v>0</v>
      </c>
      <c r="AB3428" s="178">
        <f t="shared" si="159"/>
        <v>0</v>
      </c>
      <c r="AH3428" s="177">
        <f t="shared" si="157"/>
        <v>0</v>
      </c>
    </row>
    <row r="3429" spans="23:34">
      <c r="W3429" s="177">
        <f t="shared" si="158"/>
        <v>0</v>
      </c>
      <c r="AB3429" s="178">
        <f t="shared" si="159"/>
        <v>0</v>
      </c>
      <c r="AH3429" s="177">
        <f t="shared" si="157"/>
        <v>0</v>
      </c>
    </row>
    <row r="3430" spans="23:34">
      <c r="W3430" s="177">
        <f t="shared" si="158"/>
        <v>0</v>
      </c>
      <c r="AB3430" s="178">
        <f t="shared" si="159"/>
        <v>0</v>
      </c>
      <c r="AH3430" s="177">
        <f t="shared" si="157"/>
        <v>0</v>
      </c>
    </row>
    <row r="3431" spans="23:34">
      <c r="W3431" s="177">
        <f t="shared" si="158"/>
        <v>0</v>
      </c>
      <c r="AB3431" s="178">
        <f t="shared" si="159"/>
        <v>0</v>
      </c>
      <c r="AH3431" s="177">
        <f t="shared" si="157"/>
        <v>0</v>
      </c>
    </row>
    <row r="3432" spans="23:34">
      <c r="W3432" s="177">
        <f t="shared" si="158"/>
        <v>0</v>
      </c>
      <c r="AB3432" s="178">
        <f t="shared" si="159"/>
        <v>0</v>
      </c>
      <c r="AH3432" s="177">
        <f t="shared" si="157"/>
        <v>0</v>
      </c>
    </row>
    <row r="3433" spans="23:34">
      <c r="W3433" s="177">
        <f t="shared" si="158"/>
        <v>0</v>
      </c>
      <c r="AB3433" s="178">
        <f t="shared" si="159"/>
        <v>0</v>
      </c>
      <c r="AH3433" s="177">
        <f t="shared" si="157"/>
        <v>0</v>
      </c>
    </row>
    <row r="3434" spans="23:34">
      <c r="W3434" s="177">
        <f t="shared" si="158"/>
        <v>0</v>
      </c>
      <c r="AB3434" s="178">
        <f t="shared" si="159"/>
        <v>0</v>
      </c>
      <c r="AH3434" s="177">
        <f t="shared" si="157"/>
        <v>0</v>
      </c>
    </row>
    <row r="3435" spans="23:34">
      <c r="W3435" s="177">
        <f t="shared" si="158"/>
        <v>0</v>
      </c>
      <c r="AB3435" s="178">
        <f t="shared" si="159"/>
        <v>0</v>
      </c>
      <c r="AH3435" s="177">
        <f t="shared" si="157"/>
        <v>0</v>
      </c>
    </row>
    <row r="3436" spans="23:34">
      <c r="W3436" s="177">
        <f t="shared" si="158"/>
        <v>0</v>
      </c>
      <c r="AB3436" s="178">
        <f t="shared" si="159"/>
        <v>0</v>
      </c>
      <c r="AH3436" s="177">
        <f t="shared" si="157"/>
        <v>0</v>
      </c>
    </row>
    <row r="3437" spans="23:34">
      <c r="W3437" s="177">
        <f t="shared" si="158"/>
        <v>0</v>
      </c>
      <c r="AB3437" s="178">
        <f t="shared" si="159"/>
        <v>0</v>
      </c>
      <c r="AH3437" s="177">
        <f t="shared" si="157"/>
        <v>0</v>
      </c>
    </row>
    <row r="3438" spans="23:34">
      <c r="W3438" s="177">
        <f t="shared" si="158"/>
        <v>0</v>
      </c>
      <c r="AB3438" s="178">
        <f t="shared" si="159"/>
        <v>0</v>
      </c>
      <c r="AH3438" s="177">
        <f t="shared" si="157"/>
        <v>0</v>
      </c>
    </row>
    <row r="3439" spans="23:34">
      <c r="W3439" s="177">
        <f t="shared" si="158"/>
        <v>0</v>
      </c>
      <c r="AB3439" s="178">
        <f t="shared" si="159"/>
        <v>0</v>
      </c>
      <c r="AH3439" s="177">
        <f t="shared" si="157"/>
        <v>0</v>
      </c>
    </row>
    <row r="3440" spans="23:34">
      <c r="W3440" s="177">
        <f t="shared" si="158"/>
        <v>0</v>
      </c>
      <c r="AB3440" s="178">
        <f t="shared" si="159"/>
        <v>0</v>
      </c>
      <c r="AH3440" s="177">
        <f t="shared" ref="AH3440:AH3503" si="160">SUM(AF3440:AG3440)</f>
        <v>0</v>
      </c>
    </row>
    <row r="3441" spans="23:34">
      <c r="W3441" s="177">
        <f t="shared" si="158"/>
        <v>0</v>
      </c>
      <c r="AB3441" s="178">
        <f t="shared" si="159"/>
        <v>0</v>
      </c>
      <c r="AH3441" s="177">
        <f t="shared" si="160"/>
        <v>0</v>
      </c>
    </row>
    <row r="3442" spans="23:34">
      <c r="W3442" s="177">
        <f t="shared" si="158"/>
        <v>0</v>
      </c>
      <c r="AB3442" s="178">
        <f t="shared" si="159"/>
        <v>0</v>
      </c>
      <c r="AH3442" s="177">
        <f t="shared" si="160"/>
        <v>0</v>
      </c>
    </row>
    <row r="3443" spans="23:34">
      <c r="W3443" s="177">
        <f t="shared" ref="W3443:W3506" si="161">SUM(Q3443:T3443)</f>
        <v>0</v>
      </c>
      <c r="AB3443" s="178">
        <f t="shared" si="159"/>
        <v>0</v>
      </c>
      <c r="AH3443" s="177">
        <f t="shared" si="160"/>
        <v>0</v>
      </c>
    </row>
    <row r="3444" spans="23:34">
      <c r="W3444" s="177">
        <f t="shared" si="161"/>
        <v>0</v>
      </c>
      <c r="AB3444" s="178">
        <f t="shared" si="159"/>
        <v>0</v>
      </c>
      <c r="AH3444" s="177">
        <f t="shared" si="160"/>
        <v>0</v>
      </c>
    </row>
    <row r="3445" spans="23:34">
      <c r="W3445" s="177">
        <f t="shared" si="161"/>
        <v>0</v>
      </c>
      <c r="AB3445" s="178">
        <f t="shared" si="159"/>
        <v>0</v>
      </c>
      <c r="AH3445" s="177">
        <f t="shared" si="160"/>
        <v>0</v>
      </c>
    </row>
    <row r="3446" spans="23:34">
      <c r="W3446" s="177">
        <f t="shared" si="161"/>
        <v>0</v>
      </c>
      <c r="AB3446" s="178">
        <f t="shared" si="159"/>
        <v>0</v>
      </c>
      <c r="AH3446" s="177">
        <f t="shared" si="160"/>
        <v>0</v>
      </c>
    </row>
    <row r="3447" spans="23:34">
      <c r="W3447" s="177">
        <f t="shared" si="161"/>
        <v>0</v>
      </c>
      <c r="AB3447" s="178">
        <f t="shared" si="159"/>
        <v>0</v>
      </c>
      <c r="AH3447" s="177">
        <f t="shared" si="160"/>
        <v>0</v>
      </c>
    </row>
    <row r="3448" spans="23:34">
      <c r="W3448" s="177">
        <f t="shared" si="161"/>
        <v>0</v>
      </c>
      <c r="AB3448" s="178">
        <f t="shared" si="159"/>
        <v>0</v>
      </c>
      <c r="AH3448" s="177">
        <f t="shared" si="160"/>
        <v>0</v>
      </c>
    </row>
    <row r="3449" spans="23:34">
      <c r="W3449" s="177">
        <f t="shared" si="161"/>
        <v>0</v>
      </c>
      <c r="AB3449" s="178">
        <f t="shared" si="159"/>
        <v>0</v>
      </c>
      <c r="AH3449" s="177">
        <f t="shared" si="160"/>
        <v>0</v>
      </c>
    </row>
    <row r="3450" spans="23:34">
      <c r="W3450" s="177">
        <f t="shared" si="161"/>
        <v>0</v>
      </c>
      <c r="AB3450" s="178">
        <f t="shared" si="159"/>
        <v>0</v>
      </c>
      <c r="AH3450" s="177">
        <f t="shared" si="160"/>
        <v>0</v>
      </c>
    </row>
    <row r="3451" spans="23:34">
      <c r="W3451" s="177">
        <f t="shared" si="161"/>
        <v>0</v>
      </c>
      <c r="AB3451" s="178">
        <f t="shared" ref="AB3451:AB3514" si="162">SUM(Z3451:AA3451)</f>
        <v>0</v>
      </c>
      <c r="AH3451" s="177">
        <f t="shared" si="160"/>
        <v>0</v>
      </c>
    </row>
    <row r="3452" spans="23:34">
      <c r="W3452" s="177">
        <f t="shared" si="161"/>
        <v>0</v>
      </c>
      <c r="AB3452" s="178">
        <f t="shared" si="162"/>
        <v>0</v>
      </c>
      <c r="AH3452" s="177">
        <f t="shared" si="160"/>
        <v>0</v>
      </c>
    </row>
    <row r="3453" spans="23:34">
      <c r="W3453" s="177">
        <f t="shared" si="161"/>
        <v>0</v>
      </c>
      <c r="AB3453" s="178">
        <f t="shared" si="162"/>
        <v>0</v>
      </c>
      <c r="AH3453" s="177">
        <f t="shared" si="160"/>
        <v>0</v>
      </c>
    </row>
    <row r="3454" spans="23:34">
      <c r="W3454" s="177">
        <f t="shared" si="161"/>
        <v>0</v>
      </c>
      <c r="AB3454" s="178">
        <f t="shared" si="162"/>
        <v>0</v>
      </c>
      <c r="AH3454" s="177">
        <f t="shared" si="160"/>
        <v>0</v>
      </c>
    </row>
    <row r="3455" spans="23:34">
      <c r="W3455" s="177">
        <f t="shared" si="161"/>
        <v>0</v>
      </c>
      <c r="AB3455" s="178">
        <f t="shared" si="162"/>
        <v>0</v>
      </c>
      <c r="AH3455" s="177">
        <f t="shared" si="160"/>
        <v>0</v>
      </c>
    </row>
    <row r="3456" spans="23:34">
      <c r="W3456" s="177">
        <f t="shared" si="161"/>
        <v>0</v>
      </c>
      <c r="AB3456" s="178">
        <f t="shared" si="162"/>
        <v>0</v>
      </c>
      <c r="AH3456" s="177">
        <f t="shared" si="160"/>
        <v>0</v>
      </c>
    </row>
    <row r="3457" spans="23:34">
      <c r="W3457" s="177">
        <f t="shared" si="161"/>
        <v>0</v>
      </c>
      <c r="AB3457" s="178">
        <f t="shared" si="162"/>
        <v>0</v>
      </c>
      <c r="AH3457" s="177">
        <f t="shared" si="160"/>
        <v>0</v>
      </c>
    </row>
    <row r="3458" spans="23:34">
      <c r="W3458" s="177">
        <f t="shared" si="161"/>
        <v>0</v>
      </c>
      <c r="AB3458" s="178">
        <f t="shared" si="162"/>
        <v>0</v>
      </c>
      <c r="AH3458" s="177">
        <f t="shared" si="160"/>
        <v>0</v>
      </c>
    </row>
    <row r="3459" spans="23:34">
      <c r="W3459" s="177">
        <f t="shared" si="161"/>
        <v>0</v>
      </c>
      <c r="AB3459" s="178">
        <f t="shared" si="162"/>
        <v>0</v>
      </c>
      <c r="AH3459" s="177">
        <f t="shared" si="160"/>
        <v>0</v>
      </c>
    </row>
    <row r="3460" spans="23:34">
      <c r="W3460" s="177">
        <f t="shared" si="161"/>
        <v>0</v>
      </c>
      <c r="AB3460" s="178">
        <f t="shared" si="162"/>
        <v>0</v>
      </c>
      <c r="AH3460" s="177">
        <f t="shared" si="160"/>
        <v>0</v>
      </c>
    </row>
    <row r="3461" spans="23:34">
      <c r="W3461" s="177">
        <f t="shared" si="161"/>
        <v>0</v>
      </c>
      <c r="AB3461" s="178">
        <f t="shared" si="162"/>
        <v>0</v>
      </c>
      <c r="AH3461" s="177">
        <f t="shared" si="160"/>
        <v>0</v>
      </c>
    </row>
    <row r="3462" spans="23:34">
      <c r="W3462" s="177">
        <f t="shared" si="161"/>
        <v>0</v>
      </c>
      <c r="AB3462" s="178">
        <f t="shared" si="162"/>
        <v>0</v>
      </c>
      <c r="AH3462" s="177">
        <f t="shared" si="160"/>
        <v>0</v>
      </c>
    </row>
    <row r="3463" spans="23:34">
      <c r="W3463" s="177">
        <f t="shared" si="161"/>
        <v>0</v>
      </c>
      <c r="AB3463" s="178">
        <f t="shared" si="162"/>
        <v>0</v>
      </c>
      <c r="AH3463" s="177">
        <f t="shared" si="160"/>
        <v>0</v>
      </c>
    </row>
    <row r="3464" spans="23:34">
      <c r="W3464" s="177">
        <f t="shared" si="161"/>
        <v>0</v>
      </c>
      <c r="AB3464" s="178">
        <f t="shared" si="162"/>
        <v>0</v>
      </c>
      <c r="AH3464" s="177">
        <f t="shared" si="160"/>
        <v>0</v>
      </c>
    </row>
    <row r="3465" spans="23:34">
      <c r="W3465" s="177">
        <f t="shared" si="161"/>
        <v>0</v>
      </c>
      <c r="AB3465" s="178">
        <f t="shared" si="162"/>
        <v>0</v>
      </c>
      <c r="AH3465" s="177">
        <f t="shared" si="160"/>
        <v>0</v>
      </c>
    </row>
    <row r="3466" spans="23:34">
      <c r="W3466" s="177">
        <f t="shared" si="161"/>
        <v>0</v>
      </c>
      <c r="AB3466" s="178">
        <f t="shared" si="162"/>
        <v>0</v>
      </c>
      <c r="AH3466" s="177">
        <f t="shared" si="160"/>
        <v>0</v>
      </c>
    </row>
    <row r="3467" spans="23:34">
      <c r="W3467" s="177">
        <f t="shared" si="161"/>
        <v>0</v>
      </c>
      <c r="AB3467" s="178">
        <f t="shared" si="162"/>
        <v>0</v>
      </c>
      <c r="AH3467" s="177">
        <f t="shared" si="160"/>
        <v>0</v>
      </c>
    </row>
    <row r="3468" spans="23:34">
      <c r="W3468" s="177">
        <f t="shared" si="161"/>
        <v>0</v>
      </c>
      <c r="AB3468" s="178">
        <f t="shared" si="162"/>
        <v>0</v>
      </c>
      <c r="AH3468" s="177">
        <f t="shared" si="160"/>
        <v>0</v>
      </c>
    </row>
    <row r="3469" spans="23:34">
      <c r="W3469" s="177">
        <f t="shared" si="161"/>
        <v>0</v>
      </c>
      <c r="AB3469" s="178">
        <f t="shared" si="162"/>
        <v>0</v>
      </c>
      <c r="AH3469" s="177">
        <f t="shared" si="160"/>
        <v>0</v>
      </c>
    </row>
    <row r="3470" spans="23:34">
      <c r="W3470" s="177">
        <f t="shared" si="161"/>
        <v>0</v>
      </c>
      <c r="AB3470" s="178">
        <f t="shared" si="162"/>
        <v>0</v>
      </c>
      <c r="AH3470" s="177">
        <f t="shared" si="160"/>
        <v>0</v>
      </c>
    </row>
    <row r="3471" spans="23:34">
      <c r="W3471" s="177">
        <f t="shared" si="161"/>
        <v>0</v>
      </c>
      <c r="AB3471" s="178">
        <f t="shared" si="162"/>
        <v>0</v>
      </c>
      <c r="AH3471" s="177">
        <f t="shared" si="160"/>
        <v>0</v>
      </c>
    </row>
    <row r="3472" spans="23:34">
      <c r="W3472" s="177">
        <f t="shared" si="161"/>
        <v>0</v>
      </c>
      <c r="AB3472" s="178">
        <f t="shared" si="162"/>
        <v>0</v>
      </c>
      <c r="AH3472" s="177">
        <f t="shared" si="160"/>
        <v>0</v>
      </c>
    </row>
    <row r="3473" spans="23:34">
      <c r="W3473" s="177">
        <f t="shared" si="161"/>
        <v>0</v>
      </c>
      <c r="AB3473" s="178">
        <f t="shared" si="162"/>
        <v>0</v>
      </c>
      <c r="AH3473" s="177">
        <f t="shared" si="160"/>
        <v>0</v>
      </c>
    </row>
    <row r="3474" spans="23:34">
      <c r="W3474" s="177">
        <f t="shared" si="161"/>
        <v>0</v>
      </c>
      <c r="AB3474" s="178">
        <f t="shared" si="162"/>
        <v>0</v>
      </c>
      <c r="AH3474" s="177">
        <f t="shared" si="160"/>
        <v>0</v>
      </c>
    </row>
    <row r="3475" spans="23:34">
      <c r="W3475" s="177">
        <f t="shared" si="161"/>
        <v>0</v>
      </c>
      <c r="AB3475" s="178">
        <f t="shared" si="162"/>
        <v>0</v>
      </c>
      <c r="AH3475" s="177">
        <f t="shared" si="160"/>
        <v>0</v>
      </c>
    </row>
    <row r="3476" spans="23:34">
      <c r="W3476" s="177">
        <f t="shared" si="161"/>
        <v>0</v>
      </c>
      <c r="AB3476" s="178">
        <f t="shared" si="162"/>
        <v>0</v>
      </c>
      <c r="AH3476" s="177">
        <f t="shared" si="160"/>
        <v>0</v>
      </c>
    </row>
    <row r="3477" spans="23:34">
      <c r="W3477" s="177">
        <f t="shared" si="161"/>
        <v>0</v>
      </c>
      <c r="AB3477" s="178">
        <f t="shared" si="162"/>
        <v>0</v>
      </c>
      <c r="AH3477" s="177">
        <f t="shared" si="160"/>
        <v>0</v>
      </c>
    </row>
    <row r="3478" spans="23:34">
      <c r="W3478" s="177">
        <f t="shared" si="161"/>
        <v>0</v>
      </c>
      <c r="AB3478" s="178">
        <f t="shared" si="162"/>
        <v>0</v>
      </c>
      <c r="AH3478" s="177">
        <f t="shared" si="160"/>
        <v>0</v>
      </c>
    </row>
    <row r="3479" spans="23:34">
      <c r="W3479" s="177">
        <f t="shared" si="161"/>
        <v>0</v>
      </c>
      <c r="AB3479" s="178">
        <f t="shared" si="162"/>
        <v>0</v>
      </c>
      <c r="AH3479" s="177">
        <f t="shared" si="160"/>
        <v>0</v>
      </c>
    </row>
    <row r="3480" spans="23:34">
      <c r="W3480" s="177">
        <f t="shared" si="161"/>
        <v>0</v>
      </c>
      <c r="AB3480" s="178">
        <f t="shared" si="162"/>
        <v>0</v>
      </c>
      <c r="AH3480" s="177">
        <f t="shared" si="160"/>
        <v>0</v>
      </c>
    </row>
    <row r="3481" spans="23:34">
      <c r="W3481" s="177">
        <f t="shared" si="161"/>
        <v>0</v>
      </c>
      <c r="AB3481" s="178">
        <f t="shared" si="162"/>
        <v>0</v>
      </c>
      <c r="AH3481" s="177">
        <f t="shared" si="160"/>
        <v>0</v>
      </c>
    </row>
    <row r="3482" spans="23:34">
      <c r="W3482" s="177">
        <f t="shared" si="161"/>
        <v>0</v>
      </c>
      <c r="AB3482" s="178">
        <f t="shared" si="162"/>
        <v>0</v>
      </c>
      <c r="AH3482" s="177">
        <f t="shared" si="160"/>
        <v>0</v>
      </c>
    </row>
    <row r="3483" spans="23:34">
      <c r="W3483" s="177">
        <f t="shared" si="161"/>
        <v>0</v>
      </c>
      <c r="AB3483" s="178">
        <f t="shared" si="162"/>
        <v>0</v>
      </c>
      <c r="AH3483" s="177">
        <f t="shared" si="160"/>
        <v>0</v>
      </c>
    </row>
    <row r="3484" spans="23:34">
      <c r="W3484" s="177">
        <f t="shared" si="161"/>
        <v>0</v>
      </c>
      <c r="AB3484" s="178">
        <f t="shared" si="162"/>
        <v>0</v>
      </c>
      <c r="AH3484" s="177">
        <f t="shared" si="160"/>
        <v>0</v>
      </c>
    </row>
    <row r="3485" spans="23:34">
      <c r="W3485" s="177">
        <f t="shared" si="161"/>
        <v>0</v>
      </c>
      <c r="AB3485" s="178">
        <f t="shared" si="162"/>
        <v>0</v>
      </c>
      <c r="AH3485" s="177">
        <f t="shared" si="160"/>
        <v>0</v>
      </c>
    </row>
    <row r="3486" spans="23:34">
      <c r="W3486" s="177">
        <f t="shared" si="161"/>
        <v>0</v>
      </c>
      <c r="AB3486" s="178">
        <f t="shared" si="162"/>
        <v>0</v>
      </c>
      <c r="AH3486" s="177">
        <f t="shared" si="160"/>
        <v>0</v>
      </c>
    </row>
    <row r="3487" spans="23:34">
      <c r="W3487" s="177">
        <f t="shared" si="161"/>
        <v>0</v>
      </c>
      <c r="AB3487" s="178">
        <f t="shared" si="162"/>
        <v>0</v>
      </c>
      <c r="AH3487" s="177">
        <f t="shared" si="160"/>
        <v>0</v>
      </c>
    </row>
    <row r="3488" spans="23:34">
      <c r="W3488" s="177">
        <f t="shared" si="161"/>
        <v>0</v>
      </c>
      <c r="AB3488" s="178">
        <f t="shared" si="162"/>
        <v>0</v>
      </c>
      <c r="AH3488" s="177">
        <f t="shared" si="160"/>
        <v>0</v>
      </c>
    </row>
    <row r="3489" spans="23:34">
      <c r="W3489" s="177">
        <f t="shared" si="161"/>
        <v>0</v>
      </c>
      <c r="AB3489" s="178">
        <f t="shared" si="162"/>
        <v>0</v>
      </c>
      <c r="AH3489" s="177">
        <f t="shared" si="160"/>
        <v>0</v>
      </c>
    </row>
    <row r="3490" spans="23:34">
      <c r="W3490" s="177">
        <f t="shared" si="161"/>
        <v>0</v>
      </c>
      <c r="AB3490" s="178">
        <f t="shared" si="162"/>
        <v>0</v>
      </c>
      <c r="AH3490" s="177">
        <f t="shared" si="160"/>
        <v>0</v>
      </c>
    </row>
    <row r="3491" spans="23:34">
      <c r="W3491" s="177">
        <f t="shared" si="161"/>
        <v>0</v>
      </c>
      <c r="AB3491" s="178">
        <f t="shared" si="162"/>
        <v>0</v>
      </c>
      <c r="AH3491" s="177">
        <f t="shared" si="160"/>
        <v>0</v>
      </c>
    </row>
    <row r="3492" spans="23:34">
      <c r="W3492" s="177">
        <f t="shared" si="161"/>
        <v>0</v>
      </c>
      <c r="AB3492" s="178">
        <f t="shared" si="162"/>
        <v>0</v>
      </c>
      <c r="AH3492" s="177">
        <f t="shared" si="160"/>
        <v>0</v>
      </c>
    </row>
    <row r="3493" spans="23:34">
      <c r="W3493" s="177">
        <f t="shared" si="161"/>
        <v>0</v>
      </c>
      <c r="AB3493" s="178">
        <f t="shared" si="162"/>
        <v>0</v>
      </c>
      <c r="AH3493" s="177">
        <f t="shared" si="160"/>
        <v>0</v>
      </c>
    </row>
    <row r="3494" spans="23:34">
      <c r="W3494" s="177">
        <f t="shared" si="161"/>
        <v>0</v>
      </c>
      <c r="AB3494" s="178">
        <f t="shared" si="162"/>
        <v>0</v>
      </c>
      <c r="AH3494" s="177">
        <f t="shared" si="160"/>
        <v>0</v>
      </c>
    </row>
    <row r="3495" spans="23:34">
      <c r="W3495" s="177">
        <f t="shared" si="161"/>
        <v>0</v>
      </c>
      <c r="AB3495" s="178">
        <f t="shared" si="162"/>
        <v>0</v>
      </c>
      <c r="AH3495" s="177">
        <f t="shared" si="160"/>
        <v>0</v>
      </c>
    </row>
    <row r="3496" spans="23:34">
      <c r="W3496" s="177">
        <f t="shared" si="161"/>
        <v>0</v>
      </c>
      <c r="AB3496" s="178">
        <f t="shared" si="162"/>
        <v>0</v>
      </c>
      <c r="AH3496" s="177">
        <f t="shared" si="160"/>
        <v>0</v>
      </c>
    </row>
    <row r="3497" spans="23:34">
      <c r="W3497" s="177">
        <f t="shared" si="161"/>
        <v>0</v>
      </c>
      <c r="AB3497" s="178">
        <f t="shared" si="162"/>
        <v>0</v>
      </c>
      <c r="AH3497" s="177">
        <f t="shared" si="160"/>
        <v>0</v>
      </c>
    </row>
    <row r="3498" spans="23:34">
      <c r="W3498" s="177">
        <f t="shared" si="161"/>
        <v>0</v>
      </c>
      <c r="AB3498" s="178">
        <f t="shared" si="162"/>
        <v>0</v>
      </c>
      <c r="AH3498" s="177">
        <f t="shared" si="160"/>
        <v>0</v>
      </c>
    </row>
    <row r="3499" spans="23:34">
      <c r="W3499" s="177">
        <f t="shared" si="161"/>
        <v>0</v>
      </c>
      <c r="AB3499" s="178">
        <f t="shared" si="162"/>
        <v>0</v>
      </c>
      <c r="AH3499" s="177">
        <f t="shared" si="160"/>
        <v>0</v>
      </c>
    </row>
    <row r="3500" spans="23:34">
      <c r="W3500" s="177">
        <f t="shared" si="161"/>
        <v>0</v>
      </c>
      <c r="AB3500" s="178">
        <f t="shared" si="162"/>
        <v>0</v>
      </c>
      <c r="AH3500" s="177">
        <f t="shared" si="160"/>
        <v>0</v>
      </c>
    </row>
    <row r="3501" spans="23:34">
      <c r="W3501" s="177">
        <f t="shared" si="161"/>
        <v>0</v>
      </c>
      <c r="AB3501" s="178">
        <f t="shared" si="162"/>
        <v>0</v>
      </c>
      <c r="AH3501" s="177">
        <f t="shared" si="160"/>
        <v>0</v>
      </c>
    </row>
    <row r="3502" spans="23:34">
      <c r="W3502" s="177">
        <f t="shared" si="161"/>
        <v>0</v>
      </c>
      <c r="AB3502" s="178">
        <f t="shared" si="162"/>
        <v>0</v>
      </c>
      <c r="AH3502" s="177">
        <f t="shared" si="160"/>
        <v>0</v>
      </c>
    </row>
    <row r="3503" spans="23:34">
      <c r="W3503" s="177">
        <f t="shared" si="161"/>
        <v>0</v>
      </c>
      <c r="AB3503" s="178">
        <f t="shared" si="162"/>
        <v>0</v>
      </c>
      <c r="AH3503" s="177">
        <f t="shared" si="160"/>
        <v>0</v>
      </c>
    </row>
    <row r="3504" spans="23:34">
      <c r="W3504" s="177">
        <f t="shared" si="161"/>
        <v>0</v>
      </c>
      <c r="AB3504" s="178">
        <f t="shared" si="162"/>
        <v>0</v>
      </c>
      <c r="AH3504" s="177">
        <f t="shared" ref="AH3504:AH3567" si="163">SUM(AF3504:AG3504)</f>
        <v>0</v>
      </c>
    </row>
    <row r="3505" spans="23:34">
      <c r="W3505" s="177">
        <f t="shared" si="161"/>
        <v>0</v>
      </c>
      <c r="AB3505" s="178">
        <f t="shared" si="162"/>
        <v>0</v>
      </c>
      <c r="AH3505" s="177">
        <f t="shared" si="163"/>
        <v>0</v>
      </c>
    </row>
    <row r="3506" spans="23:34">
      <c r="W3506" s="177">
        <f t="shared" si="161"/>
        <v>0</v>
      </c>
      <c r="AB3506" s="178">
        <f t="shared" si="162"/>
        <v>0</v>
      </c>
      <c r="AH3506" s="177">
        <f t="shared" si="163"/>
        <v>0</v>
      </c>
    </row>
    <row r="3507" spans="23:34">
      <c r="W3507" s="177">
        <f t="shared" ref="W3507:W3570" si="164">SUM(Q3507:T3507)</f>
        <v>0</v>
      </c>
      <c r="AB3507" s="178">
        <f t="shared" si="162"/>
        <v>0</v>
      </c>
      <c r="AH3507" s="177">
        <f t="shared" si="163"/>
        <v>0</v>
      </c>
    </row>
    <row r="3508" spans="23:34">
      <c r="W3508" s="177">
        <f t="shared" si="164"/>
        <v>0</v>
      </c>
      <c r="AB3508" s="178">
        <f t="shared" si="162"/>
        <v>0</v>
      </c>
      <c r="AH3508" s="177">
        <f t="shared" si="163"/>
        <v>0</v>
      </c>
    </row>
    <row r="3509" spans="23:34">
      <c r="W3509" s="177">
        <f t="shared" si="164"/>
        <v>0</v>
      </c>
      <c r="AB3509" s="178">
        <f t="shared" si="162"/>
        <v>0</v>
      </c>
      <c r="AH3509" s="177">
        <f t="shared" si="163"/>
        <v>0</v>
      </c>
    </row>
    <row r="3510" spans="23:34">
      <c r="W3510" s="177">
        <f t="shared" si="164"/>
        <v>0</v>
      </c>
      <c r="AB3510" s="178">
        <f t="shared" si="162"/>
        <v>0</v>
      </c>
      <c r="AH3510" s="177">
        <f t="shared" si="163"/>
        <v>0</v>
      </c>
    </row>
    <row r="3511" spans="23:34">
      <c r="W3511" s="177">
        <f t="shared" si="164"/>
        <v>0</v>
      </c>
      <c r="AB3511" s="178">
        <f t="shared" si="162"/>
        <v>0</v>
      </c>
      <c r="AH3511" s="177">
        <f t="shared" si="163"/>
        <v>0</v>
      </c>
    </row>
    <row r="3512" spans="23:34">
      <c r="W3512" s="177">
        <f t="shared" si="164"/>
        <v>0</v>
      </c>
      <c r="AB3512" s="178">
        <f t="shared" si="162"/>
        <v>0</v>
      </c>
      <c r="AH3512" s="177">
        <f t="shared" si="163"/>
        <v>0</v>
      </c>
    </row>
    <row r="3513" spans="23:34">
      <c r="W3513" s="177">
        <f t="shared" si="164"/>
        <v>0</v>
      </c>
      <c r="AB3513" s="178">
        <f t="shared" si="162"/>
        <v>0</v>
      </c>
      <c r="AH3513" s="177">
        <f t="shared" si="163"/>
        <v>0</v>
      </c>
    </row>
    <row r="3514" spans="23:34">
      <c r="W3514" s="177">
        <f t="shared" si="164"/>
        <v>0</v>
      </c>
      <c r="AB3514" s="178">
        <f t="shared" si="162"/>
        <v>0</v>
      </c>
      <c r="AH3514" s="177">
        <f t="shared" si="163"/>
        <v>0</v>
      </c>
    </row>
    <row r="3515" spans="23:34">
      <c r="W3515" s="177">
        <f t="shared" si="164"/>
        <v>0</v>
      </c>
      <c r="AB3515" s="178">
        <f t="shared" ref="AB3515:AB3578" si="165">SUM(Z3515:AA3515)</f>
        <v>0</v>
      </c>
      <c r="AH3515" s="177">
        <f t="shared" si="163"/>
        <v>0</v>
      </c>
    </row>
    <row r="3516" spans="23:34">
      <c r="W3516" s="177">
        <f t="shared" si="164"/>
        <v>0</v>
      </c>
      <c r="AB3516" s="178">
        <f t="shared" si="165"/>
        <v>0</v>
      </c>
      <c r="AH3516" s="177">
        <f t="shared" si="163"/>
        <v>0</v>
      </c>
    </row>
    <row r="3517" spans="23:34">
      <c r="W3517" s="177">
        <f t="shared" si="164"/>
        <v>0</v>
      </c>
      <c r="AB3517" s="178">
        <f t="shared" si="165"/>
        <v>0</v>
      </c>
      <c r="AH3517" s="177">
        <f t="shared" si="163"/>
        <v>0</v>
      </c>
    </row>
    <row r="3518" spans="23:34">
      <c r="W3518" s="177">
        <f t="shared" si="164"/>
        <v>0</v>
      </c>
      <c r="AB3518" s="178">
        <f t="shared" si="165"/>
        <v>0</v>
      </c>
      <c r="AH3518" s="177">
        <f t="shared" si="163"/>
        <v>0</v>
      </c>
    </row>
    <row r="3519" spans="23:34">
      <c r="W3519" s="177">
        <f t="shared" si="164"/>
        <v>0</v>
      </c>
      <c r="AB3519" s="178">
        <f t="shared" si="165"/>
        <v>0</v>
      </c>
      <c r="AH3519" s="177">
        <f t="shared" si="163"/>
        <v>0</v>
      </c>
    </row>
    <row r="3520" spans="23:34">
      <c r="W3520" s="177">
        <f t="shared" si="164"/>
        <v>0</v>
      </c>
      <c r="AB3520" s="178">
        <f t="shared" si="165"/>
        <v>0</v>
      </c>
      <c r="AH3520" s="177">
        <f t="shared" si="163"/>
        <v>0</v>
      </c>
    </row>
    <row r="3521" spans="23:34">
      <c r="W3521" s="177">
        <f t="shared" si="164"/>
        <v>0</v>
      </c>
      <c r="AB3521" s="178">
        <f t="shared" si="165"/>
        <v>0</v>
      </c>
      <c r="AH3521" s="177">
        <f t="shared" si="163"/>
        <v>0</v>
      </c>
    </row>
    <row r="3522" spans="23:34">
      <c r="W3522" s="177">
        <f t="shared" si="164"/>
        <v>0</v>
      </c>
      <c r="AB3522" s="178">
        <f t="shared" si="165"/>
        <v>0</v>
      </c>
      <c r="AH3522" s="177">
        <f t="shared" si="163"/>
        <v>0</v>
      </c>
    </row>
    <row r="3523" spans="23:34">
      <c r="W3523" s="177">
        <f t="shared" si="164"/>
        <v>0</v>
      </c>
      <c r="AB3523" s="178">
        <f t="shared" si="165"/>
        <v>0</v>
      </c>
      <c r="AH3523" s="177">
        <f t="shared" si="163"/>
        <v>0</v>
      </c>
    </row>
    <row r="3524" spans="23:34">
      <c r="W3524" s="177">
        <f t="shared" si="164"/>
        <v>0</v>
      </c>
      <c r="AB3524" s="178">
        <f t="shared" si="165"/>
        <v>0</v>
      </c>
      <c r="AH3524" s="177">
        <f t="shared" si="163"/>
        <v>0</v>
      </c>
    </row>
    <row r="3525" spans="23:34">
      <c r="W3525" s="177">
        <f t="shared" si="164"/>
        <v>0</v>
      </c>
      <c r="AB3525" s="178">
        <f t="shared" si="165"/>
        <v>0</v>
      </c>
      <c r="AH3525" s="177">
        <f t="shared" si="163"/>
        <v>0</v>
      </c>
    </row>
    <row r="3526" spans="23:34">
      <c r="W3526" s="177">
        <f t="shared" si="164"/>
        <v>0</v>
      </c>
      <c r="AB3526" s="178">
        <f t="shared" si="165"/>
        <v>0</v>
      </c>
      <c r="AH3526" s="177">
        <f t="shared" si="163"/>
        <v>0</v>
      </c>
    </row>
    <row r="3527" spans="23:34">
      <c r="W3527" s="177">
        <f t="shared" si="164"/>
        <v>0</v>
      </c>
      <c r="AB3527" s="178">
        <f t="shared" si="165"/>
        <v>0</v>
      </c>
      <c r="AH3527" s="177">
        <f t="shared" si="163"/>
        <v>0</v>
      </c>
    </row>
    <row r="3528" spans="23:34">
      <c r="W3528" s="177">
        <f t="shared" si="164"/>
        <v>0</v>
      </c>
      <c r="AB3528" s="178">
        <f t="shared" si="165"/>
        <v>0</v>
      </c>
      <c r="AH3528" s="177">
        <f t="shared" si="163"/>
        <v>0</v>
      </c>
    </row>
    <row r="3529" spans="23:34">
      <c r="W3529" s="177">
        <f t="shared" si="164"/>
        <v>0</v>
      </c>
      <c r="AB3529" s="178">
        <f t="shared" si="165"/>
        <v>0</v>
      </c>
      <c r="AH3529" s="177">
        <f t="shared" si="163"/>
        <v>0</v>
      </c>
    </row>
    <row r="3530" spans="23:34">
      <c r="W3530" s="177">
        <f t="shared" si="164"/>
        <v>0</v>
      </c>
      <c r="AB3530" s="178">
        <f t="shared" si="165"/>
        <v>0</v>
      </c>
      <c r="AH3530" s="177">
        <f t="shared" si="163"/>
        <v>0</v>
      </c>
    </row>
    <row r="3531" spans="23:34">
      <c r="W3531" s="177">
        <f t="shared" si="164"/>
        <v>0</v>
      </c>
      <c r="AB3531" s="178">
        <f t="shared" si="165"/>
        <v>0</v>
      </c>
      <c r="AH3531" s="177">
        <f t="shared" si="163"/>
        <v>0</v>
      </c>
    </row>
    <row r="3532" spans="23:34">
      <c r="W3532" s="177">
        <f t="shared" si="164"/>
        <v>0</v>
      </c>
      <c r="AB3532" s="178">
        <f t="shared" si="165"/>
        <v>0</v>
      </c>
      <c r="AH3532" s="177">
        <f t="shared" si="163"/>
        <v>0</v>
      </c>
    </row>
    <row r="3533" spans="23:34">
      <c r="W3533" s="177">
        <f t="shared" si="164"/>
        <v>0</v>
      </c>
      <c r="AB3533" s="178">
        <f t="shared" si="165"/>
        <v>0</v>
      </c>
      <c r="AH3533" s="177">
        <f t="shared" si="163"/>
        <v>0</v>
      </c>
    </row>
    <row r="3534" spans="23:34">
      <c r="W3534" s="177">
        <f t="shared" si="164"/>
        <v>0</v>
      </c>
      <c r="AB3534" s="178">
        <f t="shared" si="165"/>
        <v>0</v>
      </c>
      <c r="AH3534" s="177">
        <f t="shared" si="163"/>
        <v>0</v>
      </c>
    </row>
    <row r="3535" spans="23:34">
      <c r="W3535" s="177">
        <f t="shared" si="164"/>
        <v>0</v>
      </c>
      <c r="AB3535" s="178">
        <f t="shared" si="165"/>
        <v>0</v>
      </c>
      <c r="AH3535" s="177">
        <f t="shared" si="163"/>
        <v>0</v>
      </c>
    </row>
    <row r="3536" spans="23:34">
      <c r="W3536" s="177">
        <f t="shared" si="164"/>
        <v>0</v>
      </c>
      <c r="AB3536" s="178">
        <f t="shared" si="165"/>
        <v>0</v>
      </c>
      <c r="AH3536" s="177">
        <f t="shared" si="163"/>
        <v>0</v>
      </c>
    </row>
    <row r="3537" spans="23:34">
      <c r="W3537" s="177">
        <f t="shared" si="164"/>
        <v>0</v>
      </c>
      <c r="AB3537" s="178">
        <f t="shared" si="165"/>
        <v>0</v>
      </c>
      <c r="AH3537" s="177">
        <f t="shared" si="163"/>
        <v>0</v>
      </c>
    </row>
    <row r="3538" spans="23:34">
      <c r="W3538" s="177">
        <f t="shared" si="164"/>
        <v>0</v>
      </c>
      <c r="AB3538" s="178">
        <f t="shared" si="165"/>
        <v>0</v>
      </c>
      <c r="AH3538" s="177">
        <f t="shared" si="163"/>
        <v>0</v>
      </c>
    </row>
    <row r="3539" spans="23:34">
      <c r="W3539" s="177">
        <f t="shared" si="164"/>
        <v>0</v>
      </c>
      <c r="AB3539" s="178">
        <f t="shared" si="165"/>
        <v>0</v>
      </c>
      <c r="AH3539" s="177">
        <f t="shared" si="163"/>
        <v>0</v>
      </c>
    </row>
    <row r="3540" spans="23:34">
      <c r="W3540" s="177">
        <f t="shared" si="164"/>
        <v>0</v>
      </c>
      <c r="AB3540" s="178">
        <f t="shared" si="165"/>
        <v>0</v>
      </c>
      <c r="AH3540" s="177">
        <f t="shared" si="163"/>
        <v>0</v>
      </c>
    </row>
    <row r="3541" spans="23:34">
      <c r="W3541" s="177">
        <f t="shared" si="164"/>
        <v>0</v>
      </c>
      <c r="AB3541" s="178">
        <f t="shared" si="165"/>
        <v>0</v>
      </c>
      <c r="AH3541" s="177">
        <f t="shared" si="163"/>
        <v>0</v>
      </c>
    </row>
    <row r="3542" spans="23:34">
      <c r="W3542" s="177">
        <f t="shared" si="164"/>
        <v>0</v>
      </c>
      <c r="AB3542" s="178">
        <f t="shared" si="165"/>
        <v>0</v>
      </c>
      <c r="AH3542" s="177">
        <f t="shared" si="163"/>
        <v>0</v>
      </c>
    </row>
    <row r="3543" spans="23:34">
      <c r="W3543" s="177">
        <f t="shared" si="164"/>
        <v>0</v>
      </c>
      <c r="AB3543" s="178">
        <f t="shared" si="165"/>
        <v>0</v>
      </c>
      <c r="AH3543" s="177">
        <f t="shared" si="163"/>
        <v>0</v>
      </c>
    </row>
    <row r="3544" spans="23:34">
      <c r="W3544" s="177">
        <f t="shared" si="164"/>
        <v>0</v>
      </c>
      <c r="AB3544" s="178">
        <f t="shared" si="165"/>
        <v>0</v>
      </c>
      <c r="AH3544" s="177">
        <f t="shared" si="163"/>
        <v>0</v>
      </c>
    </row>
    <row r="3545" spans="23:34">
      <c r="W3545" s="177">
        <f t="shared" si="164"/>
        <v>0</v>
      </c>
      <c r="AB3545" s="178">
        <f t="shared" si="165"/>
        <v>0</v>
      </c>
      <c r="AH3545" s="177">
        <f t="shared" si="163"/>
        <v>0</v>
      </c>
    </row>
    <row r="3546" spans="23:34">
      <c r="W3546" s="177">
        <f t="shared" si="164"/>
        <v>0</v>
      </c>
      <c r="AB3546" s="178">
        <f t="shared" si="165"/>
        <v>0</v>
      </c>
      <c r="AH3546" s="177">
        <f t="shared" si="163"/>
        <v>0</v>
      </c>
    </row>
    <row r="3547" spans="23:34">
      <c r="W3547" s="177">
        <f t="shared" si="164"/>
        <v>0</v>
      </c>
      <c r="AB3547" s="178">
        <f t="shared" si="165"/>
        <v>0</v>
      </c>
      <c r="AH3547" s="177">
        <f t="shared" si="163"/>
        <v>0</v>
      </c>
    </row>
    <row r="3548" spans="23:34">
      <c r="W3548" s="177">
        <f t="shared" si="164"/>
        <v>0</v>
      </c>
      <c r="AB3548" s="178">
        <f t="shared" si="165"/>
        <v>0</v>
      </c>
      <c r="AH3548" s="177">
        <f t="shared" si="163"/>
        <v>0</v>
      </c>
    </row>
    <row r="3549" spans="23:34">
      <c r="W3549" s="177">
        <f t="shared" si="164"/>
        <v>0</v>
      </c>
      <c r="AB3549" s="178">
        <f t="shared" si="165"/>
        <v>0</v>
      </c>
      <c r="AH3549" s="177">
        <f t="shared" si="163"/>
        <v>0</v>
      </c>
    </row>
    <row r="3550" spans="23:34">
      <c r="W3550" s="177">
        <f t="shared" si="164"/>
        <v>0</v>
      </c>
      <c r="AB3550" s="178">
        <f t="shared" si="165"/>
        <v>0</v>
      </c>
      <c r="AH3550" s="177">
        <f t="shared" si="163"/>
        <v>0</v>
      </c>
    </row>
    <row r="3551" spans="23:34">
      <c r="W3551" s="177">
        <f t="shared" si="164"/>
        <v>0</v>
      </c>
      <c r="AB3551" s="178">
        <f t="shared" si="165"/>
        <v>0</v>
      </c>
      <c r="AH3551" s="177">
        <f t="shared" si="163"/>
        <v>0</v>
      </c>
    </row>
    <row r="3552" spans="23:34">
      <c r="W3552" s="177">
        <f t="shared" si="164"/>
        <v>0</v>
      </c>
      <c r="AB3552" s="178">
        <f t="shared" si="165"/>
        <v>0</v>
      </c>
      <c r="AH3552" s="177">
        <f t="shared" si="163"/>
        <v>0</v>
      </c>
    </row>
    <row r="3553" spans="23:34">
      <c r="W3553" s="177">
        <f t="shared" si="164"/>
        <v>0</v>
      </c>
      <c r="AB3553" s="178">
        <f t="shared" si="165"/>
        <v>0</v>
      </c>
      <c r="AH3553" s="177">
        <f t="shared" si="163"/>
        <v>0</v>
      </c>
    </row>
    <row r="3554" spans="23:34">
      <c r="W3554" s="177">
        <f t="shared" si="164"/>
        <v>0</v>
      </c>
      <c r="AB3554" s="178">
        <f t="shared" si="165"/>
        <v>0</v>
      </c>
      <c r="AH3554" s="177">
        <f t="shared" si="163"/>
        <v>0</v>
      </c>
    </row>
    <row r="3555" spans="23:34">
      <c r="W3555" s="177">
        <f t="shared" si="164"/>
        <v>0</v>
      </c>
      <c r="AB3555" s="178">
        <f t="shared" si="165"/>
        <v>0</v>
      </c>
      <c r="AH3555" s="177">
        <f t="shared" si="163"/>
        <v>0</v>
      </c>
    </row>
    <row r="3556" spans="23:34">
      <c r="W3556" s="177">
        <f t="shared" si="164"/>
        <v>0</v>
      </c>
      <c r="AB3556" s="178">
        <f t="shared" si="165"/>
        <v>0</v>
      </c>
      <c r="AH3556" s="177">
        <f t="shared" si="163"/>
        <v>0</v>
      </c>
    </row>
    <row r="3557" spans="23:34">
      <c r="W3557" s="177">
        <f t="shared" si="164"/>
        <v>0</v>
      </c>
      <c r="AB3557" s="178">
        <f t="shared" si="165"/>
        <v>0</v>
      </c>
      <c r="AH3557" s="177">
        <f t="shared" si="163"/>
        <v>0</v>
      </c>
    </row>
    <row r="3558" spans="23:34">
      <c r="W3558" s="177">
        <f t="shared" si="164"/>
        <v>0</v>
      </c>
      <c r="AB3558" s="178">
        <f t="shared" si="165"/>
        <v>0</v>
      </c>
      <c r="AH3558" s="177">
        <f t="shared" si="163"/>
        <v>0</v>
      </c>
    </row>
    <row r="3559" spans="23:34">
      <c r="W3559" s="177">
        <f t="shared" si="164"/>
        <v>0</v>
      </c>
      <c r="AB3559" s="178">
        <f t="shared" si="165"/>
        <v>0</v>
      </c>
      <c r="AH3559" s="177">
        <f t="shared" si="163"/>
        <v>0</v>
      </c>
    </row>
    <row r="3560" spans="23:34">
      <c r="W3560" s="177">
        <f t="shared" si="164"/>
        <v>0</v>
      </c>
      <c r="AB3560" s="178">
        <f t="shared" si="165"/>
        <v>0</v>
      </c>
      <c r="AH3560" s="177">
        <f t="shared" si="163"/>
        <v>0</v>
      </c>
    </row>
    <row r="3561" spans="23:34">
      <c r="W3561" s="177">
        <f t="shared" si="164"/>
        <v>0</v>
      </c>
      <c r="AB3561" s="178">
        <f t="shared" si="165"/>
        <v>0</v>
      </c>
      <c r="AH3561" s="177">
        <f t="shared" si="163"/>
        <v>0</v>
      </c>
    </row>
    <row r="3562" spans="23:34">
      <c r="W3562" s="177">
        <f t="shared" si="164"/>
        <v>0</v>
      </c>
      <c r="AB3562" s="178">
        <f t="shared" si="165"/>
        <v>0</v>
      </c>
      <c r="AH3562" s="177">
        <f t="shared" si="163"/>
        <v>0</v>
      </c>
    </row>
    <row r="3563" spans="23:34">
      <c r="W3563" s="177">
        <f t="shared" si="164"/>
        <v>0</v>
      </c>
      <c r="AB3563" s="178">
        <f t="shared" si="165"/>
        <v>0</v>
      </c>
      <c r="AH3563" s="177">
        <f t="shared" si="163"/>
        <v>0</v>
      </c>
    </row>
    <row r="3564" spans="23:34">
      <c r="W3564" s="177">
        <f t="shared" si="164"/>
        <v>0</v>
      </c>
      <c r="AB3564" s="178">
        <f t="shared" si="165"/>
        <v>0</v>
      </c>
      <c r="AH3564" s="177">
        <f t="shared" si="163"/>
        <v>0</v>
      </c>
    </row>
    <row r="3565" spans="23:34">
      <c r="W3565" s="177">
        <f t="shared" si="164"/>
        <v>0</v>
      </c>
      <c r="AB3565" s="178">
        <f t="shared" si="165"/>
        <v>0</v>
      </c>
      <c r="AH3565" s="177">
        <f t="shared" si="163"/>
        <v>0</v>
      </c>
    </row>
    <row r="3566" spans="23:34">
      <c r="W3566" s="177">
        <f t="shared" si="164"/>
        <v>0</v>
      </c>
      <c r="AB3566" s="178">
        <f t="shared" si="165"/>
        <v>0</v>
      </c>
      <c r="AH3566" s="177">
        <f t="shared" si="163"/>
        <v>0</v>
      </c>
    </row>
    <row r="3567" spans="23:34">
      <c r="W3567" s="177">
        <f t="shared" si="164"/>
        <v>0</v>
      </c>
      <c r="AB3567" s="178">
        <f t="shared" si="165"/>
        <v>0</v>
      </c>
      <c r="AH3567" s="177">
        <f t="shared" si="163"/>
        <v>0</v>
      </c>
    </row>
    <row r="3568" spans="23:34">
      <c r="W3568" s="177">
        <f t="shared" si="164"/>
        <v>0</v>
      </c>
      <c r="AB3568" s="178">
        <f t="shared" si="165"/>
        <v>0</v>
      </c>
      <c r="AH3568" s="177">
        <f t="shared" ref="AH3568:AH3631" si="166">SUM(AF3568:AG3568)</f>
        <v>0</v>
      </c>
    </row>
    <row r="3569" spans="23:34">
      <c r="W3569" s="177">
        <f t="shared" si="164"/>
        <v>0</v>
      </c>
      <c r="AB3569" s="178">
        <f t="shared" si="165"/>
        <v>0</v>
      </c>
      <c r="AH3569" s="177">
        <f t="shared" si="166"/>
        <v>0</v>
      </c>
    </row>
    <row r="3570" spans="23:34">
      <c r="W3570" s="177">
        <f t="shared" si="164"/>
        <v>0</v>
      </c>
      <c r="AB3570" s="178">
        <f t="shared" si="165"/>
        <v>0</v>
      </c>
      <c r="AH3570" s="177">
        <f t="shared" si="166"/>
        <v>0</v>
      </c>
    </row>
    <row r="3571" spans="23:34">
      <c r="W3571" s="177">
        <f t="shared" ref="W3571:W3634" si="167">SUM(Q3571:T3571)</f>
        <v>0</v>
      </c>
      <c r="AB3571" s="178">
        <f t="shared" si="165"/>
        <v>0</v>
      </c>
      <c r="AH3571" s="177">
        <f t="shared" si="166"/>
        <v>0</v>
      </c>
    </row>
    <row r="3572" spans="23:34">
      <c r="W3572" s="177">
        <f t="shared" si="167"/>
        <v>0</v>
      </c>
      <c r="AB3572" s="178">
        <f t="shared" si="165"/>
        <v>0</v>
      </c>
      <c r="AH3572" s="177">
        <f t="shared" si="166"/>
        <v>0</v>
      </c>
    </row>
    <row r="3573" spans="23:34">
      <c r="W3573" s="177">
        <f t="shared" si="167"/>
        <v>0</v>
      </c>
      <c r="AB3573" s="178">
        <f t="shared" si="165"/>
        <v>0</v>
      </c>
      <c r="AH3573" s="177">
        <f t="shared" si="166"/>
        <v>0</v>
      </c>
    </row>
    <row r="3574" spans="23:34">
      <c r="W3574" s="177">
        <f t="shared" si="167"/>
        <v>0</v>
      </c>
      <c r="AB3574" s="178">
        <f t="shared" si="165"/>
        <v>0</v>
      </c>
      <c r="AH3574" s="177">
        <f t="shared" si="166"/>
        <v>0</v>
      </c>
    </row>
    <row r="3575" spans="23:34">
      <c r="W3575" s="177">
        <f t="shared" si="167"/>
        <v>0</v>
      </c>
      <c r="AB3575" s="178">
        <f t="shared" si="165"/>
        <v>0</v>
      </c>
      <c r="AH3575" s="177">
        <f t="shared" si="166"/>
        <v>0</v>
      </c>
    </row>
    <row r="3576" spans="23:34">
      <c r="W3576" s="177">
        <f t="shared" si="167"/>
        <v>0</v>
      </c>
      <c r="AB3576" s="178">
        <f t="shared" si="165"/>
        <v>0</v>
      </c>
      <c r="AH3576" s="177">
        <f t="shared" si="166"/>
        <v>0</v>
      </c>
    </row>
    <row r="3577" spans="23:34">
      <c r="W3577" s="177">
        <f t="shared" si="167"/>
        <v>0</v>
      </c>
      <c r="AB3577" s="178">
        <f t="shared" si="165"/>
        <v>0</v>
      </c>
      <c r="AH3577" s="177">
        <f t="shared" si="166"/>
        <v>0</v>
      </c>
    </row>
    <row r="3578" spans="23:34">
      <c r="W3578" s="177">
        <f t="shared" si="167"/>
        <v>0</v>
      </c>
      <c r="AB3578" s="178">
        <f t="shared" si="165"/>
        <v>0</v>
      </c>
      <c r="AH3578" s="177">
        <f t="shared" si="166"/>
        <v>0</v>
      </c>
    </row>
    <row r="3579" spans="23:34">
      <c r="W3579" s="177">
        <f t="shared" si="167"/>
        <v>0</v>
      </c>
      <c r="AB3579" s="178">
        <f t="shared" ref="AB3579:AB3642" si="168">SUM(Z3579:AA3579)</f>
        <v>0</v>
      </c>
      <c r="AH3579" s="177">
        <f t="shared" si="166"/>
        <v>0</v>
      </c>
    </row>
    <row r="3580" spans="23:34">
      <c r="W3580" s="177">
        <f t="shared" si="167"/>
        <v>0</v>
      </c>
      <c r="AB3580" s="178">
        <f t="shared" si="168"/>
        <v>0</v>
      </c>
      <c r="AH3580" s="177">
        <f t="shared" si="166"/>
        <v>0</v>
      </c>
    </row>
    <row r="3581" spans="23:34">
      <c r="W3581" s="177">
        <f t="shared" si="167"/>
        <v>0</v>
      </c>
      <c r="AB3581" s="178">
        <f t="shared" si="168"/>
        <v>0</v>
      </c>
      <c r="AH3581" s="177">
        <f t="shared" si="166"/>
        <v>0</v>
      </c>
    </row>
    <row r="3582" spans="23:34">
      <c r="W3582" s="177">
        <f t="shared" si="167"/>
        <v>0</v>
      </c>
      <c r="AB3582" s="178">
        <f t="shared" si="168"/>
        <v>0</v>
      </c>
      <c r="AH3582" s="177">
        <f t="shared" si="166"/>
        <v>0</v>
      </c>
    </row>
    <row r="3583" spans="23:34">
      <c r="W3583" s="177">
        <f t="shared" si="167"/>
        <v>0</v>
      </c>
      <c r="AB3583" s="178">
        <f t="shared" si="168"/>
        <v>0</v>
      </c>
      <c r="AH3583" s="177">
        <f t="shared" si="166"/>
        <v>0</v>
      </c>
    </row>
    <row r="3584" spans="23:34">
      <c r="W3584" s="177">
        <f t="shared" si="167"/>
        <v>0</v>
      </c>
      <c r="AB3584" s="178">
        <f t="shared" si="168"/>
        <v>0</v>
      </c>
      <c r="AH3584" s="177">
        <f t="shared" si="166"/>
        <v>0</v>
      </c>
    </row>
    <row r="3585" spans="23:34">
      <c r="W3585" s="177">
        <f t="shared" si="167"/>
        <v>0</v>
      </c>
      <c r="AB3585" s="178">
        <f t="shared" si="168"/>
        <v>0</v>
      </c>
      <c r="AH3585" s="177">
        <f t="shared" si="166"/>
        <v>0</v>
      </c>
    </row>
    <row r="3586" spans="23:34">
      <c r="W3586" s="177">
        <f t="shared" si="167"/>
        <v>0</v>
      </c>
      <c r="AB3586" s="178">
        <f t="shared" si="168"/>
        <v>0</v>
      </c>
      <c r="AH3586" s="177">
        <f t="shared" si="166"/>
        <v>0</v>
      </c>
    </row>
    <row r="3587" spans="23:34">
      <c r="W3587" s="177">
        <f t="shared" si="167"/>
        <v>0</v>
      </c>
      <c r="AB3587" s="178">
        <f t="shared" si="168"/>
        <v>0</v>
      </c>
      <c r="AH3587" s="177">
        <f t="shared" si="166"/>
        <v>0</v>
      </c>
    </row>
    <row r="3588" spans="23:34">
      <c r="W3588" s="177">
        <f t="shared" si="167"/>
        <v>0</v>
      </c>
      <c r="AB3588" s="178">
        <f t="shared" si="168"/>
        <v>0</v>
      </c>
      <c r="AH3588" s="177">
        <f t="shared" si="166"/>
        <v>0</v>
      </c>
    </row>
    <row r="3589" spans="23:34">
      <c r="W3589" s="177">
        <f t="shared" si="167"/>
        <v>0</v>
      </c>
      <c r="AB3589" s="178">
        <f t="shared" si="168"/>
        <v>0</v>
      </c>
      <c r="AH3589" s="177">
        <f t="shared" si="166"/>
        <v>0</v>
      </c>
    </row>
    <row r="3590" spans="23:34">
      <c r="W3590" s="177">
        <f t="shared" si="167"/>
        <v>0</v>
      </c>
      <c r="AB3590" s="178">
        <f t="shared" si="168"/>
        <v>0</v>
      </c>
      <c r="AH3590" s="177">
        <f t="shared" si="166"/>
        <v>0</v>
      </c>
    </row>
    <row r="3591" spans="23:34">
      <c r="W3591" s="177">
        <f t="shared" si="167"/>
        <v>0</v>
      </c>
      <c r="AB3591" s="178">
        <f t="shared" si="168"/>
        <v>0</v>
      </c>
      <c r="AH3591" s="177">
        <f t="shared" si="166"/>
        <v>0</v>
      </c>
    </row>
    <row r="3592" spans="23:34">
      <c r="W3592" s="177">
        <f t="shared" si="167"/>
        <v>0</v>
      </c>
      <c r="AB3592" s="178">
        <f t="shared" si="168"/>
        <v>0</v>
      </c>
      <c r="AH3592" s="177">
        <f t="shared" si="166"/>
        <v>0</v>
      </c>
    </row>
    <row r="3593" spans="23:34">
      <c r="W3593" s="177">
        <f t="shared" si="167"/>
        <v>0</v>
      </c>
      <c r="AB3593" s="178">
        <f t="shared" si="168"/>
        <v>0</v>
      </c>
      <c r="AH3593" s="177">
        <f t="shared" si="166"/>
        <v>0</v>
      </c>
    </row>
    <row r="3594" spans="23:34">
      <c r="W3594" s="177">
        <f t="shared" si="167"/>
        <v>0</v>
      </c>
      <c r="AB3594" s="178">
        <f t="shared" si="168"/>
        <v>0</v>
      </c>
      <c r="AH3594" s="177">
        <f t="shared" si="166"/>
        <v>0</v>
      </c>
    </row>
    <row r="3595" spans="23:34">
      <c r="W3595" s="177">
        <f t="shared" si="167"/>
        <v>0</v>
      </c>
      <c r="AB3595" s="178">
        <f t="shared" si="168"/>
        <v>0</v>
      </c>
      <c r="AH3595" s="177">
        <f t="shared" si="166"/>
        <v>0</v>
      </c>
    </row>
    <row r="3596" spans="23:34">
      <c r="W3596" s="177">
        <f t="shared" si="167"/>
        <v>0</v>
      </c>
      <c r="AB3596" s="178">
        <f t="shared" si="168"/>
        <v>0</v>
      </c>
      <c r="AH3596" s="177">
        <f t="shared" si="166"/>
        <v>0</v>
      </c>
    </row>
    <row r="3597" spans="23:34">
      <c r="W3597" s="177">
        <f t="shared" si="167"/>
        <v>0</v>
      </c>
      <c r="AB3597" s="178">
        <f t="shared" si="168"/>
        <v>0</v>
      </c>
      <c r="AH3597" s="177">
        <f t="shared" si="166"/>
        <v>0</v>
      </c>
    </row>
    <row r="3598" spans="23:34">
      <c r="W3598" s="177">
        <f t="shared" si="167"/>
        <v>0</v>
      </c>
      <c r="AB3598" s="178">
        <f t="shared" si="168"/>
        <v>0</v>
      </c>
      <c r="AH3598" s="177">
        <f t="shared" si="166"/>
        <v>0</v>
      </c>
    </row>
    <row r="3599" spans="23:34">
      <c r="W3599" s="177">
        <f t="shared" si="167"/>
        <v>0</v>
      </c>
      <c r="AB3599" s="178">
        <f t="shared" si="168"/>
        <v>0</v>
      </c>
      <c r="AH3599" s="177">
        <f t="shared" si="166"/>
        <v>0</v>
      </c>
    </row>
    <row r="3600" spans="23:34">
      <c r="W3600" s="177">
        <f t="shared" si="167"/>
        <v>0</v>
      </c>
      <c r="AB3600" s="178">
        <f t="shared" si="168"/>
        <v>0</v>
      </c>
      <c r="AH3600" s="177">
        <f t="shared" si="166"/>
        <v>0</v>
      </c>
    </row>
    <row r="3601" spans="23:34">
      <c r="W3601" s="177">
        <f t="shared" si="167"/>
        <v>0</v>
      </c>
      <c r="AB3601" s="178">
        <f t="shared" si="168"/>
        <v>0</v>
      </c>
      <c r="AH3601" s="177">
        <f t="shared" si="166"/>
        <v>0</v>
      </c>
    </row>
    <row r="3602" spans="23:34">
      <c r="W3602" s="177">
        <f t="shared" si="167"/>
        <v>0</v>
      </c>
      <c r="AB3602" s="178">
        <f t="shared" si="168"/>
        <v>0</v>
      </c>
      <c r="AH3602" s="177">
        <f t="shared" si="166"/>
        <v>0</v>
      </c>
    </row>
    <row r="3603" spans="23:34">
      <c r="W3603" s="177">
        <f t="shared" si="167"/>
        <v>0</v>
      </c>
      <c r="AB3603" s="178">
        <f t="shared" si="168"/>
        <v>0</v>
      </c>
      <c r="AH3603" s="177">
        <f t="shared" si="166"/>
        <v>0</v>
      </c>
    </row>
    <row r="3604" spans="23:34">
      <c r="W3604" s="177">
        <f t="shared" si="167"/>
        <v>0</v>
      </c>
      <c r="AB3604" s="178">
        <f t="shared" si="168"/>
        <v>0</v>
      </c>
      <c r="AH3604" s="177">
        <f t="shared" si="166"/>
        <v>0</v>
      </c>
    </row>
    <row r="3605" spans="23:34">
      <c r="W3605" s="177">
        <f t="shared" si="167"/>
        <v>0</v>
      </c>
      <c r="AB3605" s="178">
        <f t="shared" si="168"/>
        <v>0</v>
      </c>
      <c r="AH3605" s="177">
        <f t="shared" si="166"/>
        <v>0</v>
      </c>
    </row>
    <row r="3606" spans="23:34">
      <c r="W3606" s="177">
        <f t="shared" si="167"/>
        <v>0</v>
      </c>
      <c r="AB3606" s="178">
        <f t="shared" si="168"/>
        <v>0</v>
      </c>
      <c r="AH3606" s="177">
        <f t="shared" si="166"/>
        <v>0</v>
      </c>
    </row>
    <row r="3607" spans="23:34">
      <c r="W3607" s="177">
        <f t="shared" si="167"/>
        <v>0</v>
      </c>
      <c r="AB3607" s="178">
        <f t="shared" si="168"/>
        <v>0</v>
      </c>
      <c r="AH3607" s="177">
        <f t="shared" si="166"/>
        <v>0</v>
      </c>
    </row>
    <row r="3608" spans="23:34">
      <c r="W3608" s="177">
        <f t="shared" si="167"/>
        <v>0</v>
      </c>
      <c r="AB3608" s="178">
        <f t="shared" si="168"/>
        <v>0</v>
      </c>
      <c r="AH3608" s="177">
        <f t="shared" si="166"/>
        <v>0</v>
      </c>
    </row>
    <row r="3609" spans="23:34">
      <c r="W3609" s="177">
        <f t="shared" si="167"/>
        <v>0</v>
      </c>
      <c r="AB3609" s="178">
        <f t="shared" si="168"/>
        <v>0</v>
      </c>
      <c r="AH3609" s="177">
        <f t="shared" si="166"/>
        <v>0</v>
      </c>
    </row>
    <row r="3610" spans="23:34">
      <c r="W3610" s="177">
        <f t="shared" si="167"/>
        <v>0</v>
      </c>
      <c r="AB3610" s="178">
        <f t="shared" si="168"/>
        <v>0</v>
      </c>
      <c r="AH3610" s="177">
        <f t="shared" si="166"/>
        <v>0</v>
      </c>
    </row>
    <row r="3611" spans="23:34">
      <c r="W3611" s="177">
        <f t="shared" si="167"/>
        <v>0</v>
      </c>
      <c r="AB3611" s="178">
        <f t="shared" si="168"/>
        <v>0</v>
      </c>
      <c r="AH3611" s="177">
        <f t="shared" si="166"/>
        <v>0</v>
      </c>
    </row>
    <row r="3612" spans="23:34">
      <c r="W3612" s="177">
        <f t="shared" si="167"/>
        <v>0</v>
      </c>
      <c r="AB3612" s="178">
        <f t="shared" si="168"/>
        <v>0</v>
      </c>
      <c r="AH3612" s="177">
        <f t="shared" si="166"/>
        <v>0</v>
      </c>
    </row>
    <row r="3613" spans="23:34">
      <c r="W3613" s="177">
        <f t="shared" si="167"/>
        <v>0</v>
      </c>
      <c r="AB3613" s="178">
        <f t="shared" si="168"/>
        <v>0</v>
      </c>
      <c r="AH3613" s="177">
        <f t="shared" si="166"/>
        <v>0</v>
      </c>
    </row>
    <row r="3614" spans="23:34">
      <c r="W3614" s="177">
        <f t="shared" si="167"/>
        <v>0</v>
      </c>
      <c r="AB3614" s="178">
        <f t="shared" si="168"/>
        <v>0</v>
      </c>
      <c r="AH3614" s="177">
        <f t="shared" si="166"/>
        <v>0</v>
      </c>
    </row>
    <row r="3615" spans="23:34">
      <c r="W3615" s="177">
        <f t="shared" si="167"/>
        <v>0</v>
      </c>
      <c r="AB3615" s="178">
        <f t="shared" si="168"/>
        <v>0</v>
      </c>
      <c r="AH3615" s="177">
        <f t="shared" si="166"/>
        <v>0</v>
      </c>
    </row>
    <row r="3616" spans="23:34">
      <c r="W3616" s="177">
        <f t="shared" si="167"/>
        <v>0</v>
      </c>
      <c r="AB3616" s="178">
        <f t="shared" si="168"/>
        <v>0</v>
      </c>
      <c r="AH3616" s="177">
        <f t="shared" si="166"/>
        <v>0</v>
      </c>
    </row>
    <row r="3617" spans="23:34">
      <c r="W3617" s="177">
        <f t="shared" si="167"/>
        <v>0</v>
      </c>
      <c r="AB3617" s="178">
        <f t="shared" si="168"/>
        <v>0</v>
      </c>
      <c r="AH3617" s="177">
        <f t="shared" si="166"/>
        <v>0</v>
      </c>
    </row>
    <row r="3618" spans="23:34">
      <c r="W3618" s="177">
        <f t="shared" si="167"/>
        <v>0</v>
      </c>
      <c r="AB3618" s="178">
        <f t="shared" si="168"/>
        <v>0</v>
      </c>
      <c r="AH3618" s="177">
        <f t="shared" si="166"/>
        <v>0</v>
      </c>
    </row>
    <row r="3619" spans="23:34">
      <c r="W3619" s="177">
        <f t="shared" si="167"/>
        <v>0</v>
      </c>
      <c r="AB3619" s="178">
        <f t="shared" si="168"/>
        <v>0</v>
      </c>
      <c r="AH3619" s="177">
        <f t="shared" si="166"/>
        <v>0</v>
      </c>
    </row>
    <row r="3620" spans="23:34">
      <c r="W3620" s="177">
        <f t="shared" si="167"/>
        <v>0</v>
      </c>
      <c r="AB3620" s="178">
        <f t="shared" si="168"/>
        <v>0</v>
      </c>
      <c r="AH3620" s="177">
        <f t="shared" si="166"/>
        <v>0</v>
      </c>
    </row>
    <row r="3621" spans="23:34">
      <c r="W3621" s="177">
        <f t="shared" si="167"/>
        <v>0</v>
      </c>
      <c r="AB3621" s="178">
        <f t="shared" si="168"/>
        <v>0</v>
      </c>
      <c r="AH3621" s="177">
        <f t="shared" si="166"/>
        <v>0</v>
      </c>
    </row>
    <row r="3622" spans="23:34">
      <c r="W3622" s="177">
        <f t="shared" si="167"/>
        <v>0</v>
      </c>
      <c r="AB3622" s="178">
        <f t="shared" si="168"/>
        <v>0</v>
      </c>
      <c r="AH3622" s="177">
        <f t="shared" si="166"/>
        <v>0</v>
      </c>
    </row>
    <row r="3623" spans="23:34">
      <c r="W3623" s="177">
        <f t="shared" si="167"/>
        <v>0</v>
      </c>
      <c r="AB3623" s="178">
        <f t="shared" si="168"/>
        <v>0</v>
      </c>
      <c r="AH3623" s="177">
        <f t="shared" si="166"/>
        <v>0</v>
      </c>
    </row>
    <row r="3624" spans="23:34">
      <c r="W3624" s="177">
        <f t="shared" si="167"/>
        <v>0</v>
      </c>
      <c r="AB3624" s="178">
        <f t="shared" si="168"/>
        <v>0</v>
      </c>
      <c r="AH3624" s="177">
        <f t="shared" si="166"/>
        <v>0</v>
      </c>
    </row>
    <row r="3625" spans="23:34">
      <c r="W3625" s="177">
        <f t="shared" si="167"/>
        <v>0</v>
      </c>
      <c r="AB3625" s="178">
        <f t="shared" si="168"/>
        <v>0</v>
      </c>
      <c r="AH3625" s="177">
        <f t="shared" si="166"/>
        <v>0</v>
      </c>
    </row>
    <row r="3626" spans="23:34">
      <c r="W3626" s="177">
        <f t="shared" si="167"/>
        <v>0</v>
      </c>
      <c r="AB3626" s="178">
        <f t="shared" si="168"/>
        <v>0</v>
      </c>
      <c r="AH3626" s="177">
        <f t="shared" si="166"/>
        <v>0</v>
      </c>
    </row>
    <row r="3627" spans="23:34">
      <c r="W3627" s="177">
        <f t="shared" si="167"/>
        <v>0</v>
      </c>
      <c r="AB3627" s="178">
        <f t="shared" si="168"/>
        <v>0</v>
      </c>
      <c r="AH3627" s="177">
        <f t="shared" si="166"/>
        <v>0</v>
      </c>
    </row>
    <row r="3628" spans="23:34">
      <c r="W3628" s="177">
        <f t="shared" si="167"/>
        <v>0</v>
      </c>
      <c r="AB3628" s="178">
        <f t="shared" si="168"/>
        <v>0</v>
      </c>
      <c r="AH3628" s="177">
        <f t="shared" si="166"/>
        <v>0</v>
      </c>
    </row>
    <row r="3629" spans="23:34">
      <c r="W3629" s="177">
        <f t="shared" si="167"/>
        <v>0</v>
      </c>
      <c r="AB3629" s="178">
        <f t="shared" si="168"/>
        <v>0</v>
      </c>
      <c r="AH3629" s="177">
        <f t="shared" si="166"/>
        <v>0</v>
      </c>
    </row>
    <row r="3630" spans="23:34">
      <c r="W3630" s="177">
        <f t="shared" si="167"/>
        <v>0</v>
      </c>
      <c r="AB3630" s="178">
        <f t="shared" si="168"/>
        <v>0</v>
      </c>
      <c r="AH3630" s="177">
        <f t="shared" si="166"/>
        <v>0</v>
      </c>
    </row>
    <row r="3631" spans="23:34">
      <c r="W3631" s="177">
        <f t="shared" si="167"/>
        <v>0</v>
      </c>
      <c r="AB3631" s="178">
        <f t="shared" si="168"/>
        <v>0</v>
      </c>
      <c r="AH3631" s="177">
        <f t="shared" si="166"/>
        <v>0</v>
      </c>
    </row>
    <row r="3632" spans="23:34">
      <c r="W3632" s="177">
        <f t="shared" si="167"/>
        <v>0</v>
      </c>
      <c r="AB3632" s="178">
        <f t="shared" si="168"/>
        <v>0</v>
      </c>
      <c r="AH3632" s="177">
        <f t="shared" ref="AH3632:AH3695" si="169">SUM(AF3632:AG3632)</f>
        <v>0</v>
      </c>
    </row>
    <row r="3633" spans="23:34">
      <c r="W3633" s="177">
        <f t="shared" si="167"/>
        <v>0</v>
      </c>
      <c r="AB3633" s="178">
        <f t="shared" si="168"/>
        <v>0</v>
      </c>
      <c r="AH3633" s="177">
        <f t="shared" si="169"/>
        <v>0</v>
      </c>
    </row>
    <row r="3634" spans="23:34">
      <c r="W3634" s="177">
        <f t="shared" si="167"/>
        <v>0</v>
      </c>
      <c r="AB3634" s="178">
        <f t="shared" si="168"/>
        <v>0</v>
      </c>
      <c r="AH3634" s="177">
        <f t="shared" si="169"/>
        <v>0</v>
      </c>
    </row>
    <row r="3635" spans="23:34">
      <c r="W3635" s="177">
        <f t="shared" ref="W3635:W3698" si="170">SUM(Q3635:T3635)</f>
        <v>0</v>
      </c>
      <c r="AB3635" s="178">
        <f t="shared" si="168"/>
        <v>0</v>
      </c>
      <c r="AH3635" s="177">
        <f t="shared" si="169"/>
        <v>0</v>
      </c>
    </row>
    <row r="3636" spans="23:34">
      <c r="W3636" s="177">
        <f t="shared" si="170"/>
        <v>0</v>
      </c>
      <c r="AB3636" s="178">
        <f t="shared" si="168"/>
        <v>0</v>
      </c>
      <c r="AH3636" s="177">
        <f t="shared" si="169"/>
        <v>0</v>
      </c>
    </row>
    <row r="3637" spans="23:34">
      <c r="W3637" s="177">
        <f t="shared" si="170"/>
        <v>0</v>
      </c>
      <c r="AB3637" s="178">
        <f t="shared" si="168"/>
        <v>0</v>
      </c>
      <c r="AH3637" s="177">
        <f t="shared" si="169"/>
        <v>0</v>
      </c>
    </row>
    <row r="3638" spans="23:34">
      <c r="W3638" s="177">
        <f t="shared" si="170"/>
        <v>0</v>
      </c>
      <c r="AB3638" s="178">
        <f t="shared" si="168"/>
        <v>0</v>
      </c>
      <c r="AH3638" s="177">
        <f t="shared" si="169"/>
        <v>0</v>
      </c>
    </row>
    <row r="3639" spans="23:34">
      <c r="W3639" s="177">
        <f t="shared" si="170"/>
        <v>0</v>
      </c>
      <c r="AB3639" s="178">
        <f t="shared" si="168"/>
        <v>0</v>
      </c>
      <c r="AH3639" s="177">
        <f t="shared" si="169"/>
        <v>0</v>
      </c>
    </row>
    <row r="3640" spans="23:34">
      <c r="W3640" s="177">
        <f t="shared" si="170"/>
        <v>0</v>
      </c>
      <c r="AB3640" s="178">
        <f t="shared" si="168"/>
        <v>0</v>
      </c>
      <c r="AH3640" s="177">
        <f t="shared" si="169"/>
        <v>0</v>
      </c>
    </row>
    <row r="3641" spans="23:34">
      <c r="W3641" s="177">
        <f t="shared" si="170"/>
        <v>0</v>
      </c>
      <c r="AB3641" s="178">
        <f t="shared" si="168"/>
        <v>0</v>
      </c>
      <c r="AH3641" s="177">
        <f t="shared" si="169"/>
        <v>0</v>
      </c>
    </row>
    <row r="3642" spans="23:34">
      <c r="W3642" s="177">
        <f t="shared" si="170"/>
        <v>0</v>
      </c>
      <c r="AB3642" s="178">
        <f t="shared" si="168"/>
        <v>0</v>
      </c>
      <c r="AH3642" s="177">
        <f t="shared" si="169"/>
        <v>0</v>
      </c>
    </row>
    <row r="3643" spans="23:34">
      <c r="W3643" s="177">
        <f t="shared" si="170"/>
        <v>0</v>
      </c>
      <c r="AB3643" s="178">
        <f t="shared" ref="AB3643:AB3706" si="171">SUM(Z3643:AA3643)</f>
        <v>0</v>
      </c>
      <c r="AH3643" s="177">
        <f t="shared" si="169"/>
        <v>0</v>
      </c>
    </row>
    <row r="3644" spans="23:34">
      <c r="W3644" s="177">
        <f t="shared" si="170"/>
        <v>0</v>
      </c>
      <c r="AB3644" s="178">
        <f t="shared" si="171"/>
        <v>0</v>
      </c>
      <c r="AH3644" s="177">
        <f t="shared" si="169"/>
        <v>0</v>
      </c>
    </row>
    <row r="3645" spans="23:34">
      <c r="W3645" s="177">
        <f t="shared" si="170"/>
        <v>0</v>
      </c>
      <c r="AB3645" s="178">
        <f t="shared" si="171"/>
        <v>0</v>
      </c>
      <c r="AH3645" s="177">
        <f t="shared" si="169"/>
        <v>0</v>
      </c>
    </row>
    <row r="3646" spans="23:34">
      <c r="W3646" s="177">
        <f t="shared" si="170"/>
        <v>0</v>
      </c>
      <c r="AB3646" s="178">
        <f t="shared" si="171"/>
        <v>0</v>
      </c>
      <c r="AH3646" s="177">
        <f t="shared" si="169"/>
        <v>0</v>
      </c>
    </row>
    <row r="3647" spans="23:34">
      <c r="W3647" s="177">
        <f t="shared" si="170"/>
        <v>0</v>
      </c>
      <c r="AB3647" s="178">
        <f t="shared" si="171"/>
        <v>0</v>
      </c>
      <c r="AH3647" s="177">
        <f t="shared" si="169"/>
        <v>0</v>
      </c>
    </row>
    <row r="3648" spans="23:34">
      <c r="W3648" s="177">
        <f t="shared" si="170"/>
        <v>0</v>
      </c>
      <c r="AB3648" s="178">
        <f t="shared" si="171"/>
        <v>0</v>
      </c>
      <c r="AH3648" s="177">
        <f t="shared" si="169"/>
        <v>0</v>
      </c>
    </row>
    <row r="3649" spans="23:34">
      <c r="W3649" s="177">
        <f t="shared" si="170"/>
        <v>0</v>
      </c>
      <c r="AB3649" s="178">
        <f t="shared" si="171"/>
        <v>0</v>
      </c>
      <c r="AH3649" s="177">
        <f t="shared" si="169"/>
        <v>0</v>
      </c>
    </row>
    <row r="3650" spans="23:34">
      <c r="W3650" s="177">
        <f t="shared" si="170"/>
        <v>0</v>
      </c>
      <c r="AB3650" s="178">
        <f t="shared" si="171"/>
        <v>0</v>
      </c>
      <c r="AH3650" s="177">
        <f t="shared" si="169"/>
        <v>0</v>
      </c>
    </row>
    <row r="3651" spans="23:34">
      <c r="W3651" s="177">
        <f t="shared" si="170"/>
        <v>0</v>
      </c>
      <c r="AB3651" s="178">
        <f t="shared" si="171"/>
        <v>0</v>
      </c>
      <c r="AH3651" s="177">
        <f t="shared" si="169"/>
        <v>0</v>
      </c>
    </row>
    <row r="3652" spans="23:34">
      <c r="W3652" s="177">
        <f t="shared" si="170"/>
        <v>0</v>
      </c>
      <c r="AB3652" s="178">
        <f t="shared" si="171"/>
        <v>0</v>
      </c>
      <c r="AH3652" s="177">
        <f t="shared" si="169"/>
        <v>0</v>
      </c>
    </row>
    <row r="3653" spans="23:34">
      <c r="W3653" s="177">
        <f t="shared" si="170"/>
        <v>0</v>
      </c>
      <c r="AB3653" s="178">
        <f t="shared" si="171"/>
        <v>0</v>
      </c>
      <c r="AH3653" s="177">
        <f t="shared" si="169"/>
        <v>0</v>
      </c>
    </row>
    <row r="3654" spans="23:34">
      <c r="W3654" s="177">
        <f t="shared" si="170"/>
        <v>0</v>
      </c>
      <c r="AB3654" s="178">
        <f t="shared" si="171"/>
        <v>0</v>
      </c>
      <c r="AH3654" s="177">
        <f t="shared" si="169"/>
        <v>0</v>
      </c>
    </row>
    <row r="3655" spans="23:34">
      <c r="W3655" s="177">
        <f t="shared" si="170"/>
        <v>0</v>
      </c>
      <c r="AB3655" s="178">
        <f t="shared" si="171"/>
        <v>0</v>
      </c>
      <c r="AH3655" s="177">
        <f t="shared" si="169"/>
        <v>0</v>
      </c>
    </row>
    <row r="3656" spans="23:34">
      <c r="W3656" s="177">
        <f t="shared" si="170"/>
        <v>0</v>
      </c>
      <c r="AB3656" s="178">
        <f t="shared" si="171"/>
        <v>0</v>
      </c>
      <c r="AH3656" s="177">
        <f t="shared" si="169"/>
        <v>0</v>
      </c>
    </row>
    <row r="3657" spans="23:34">
      <c r="W3657" s="177">
        <f t="shared" si="170"/>
        <v>0</v>
      </c>
      <c r="AB3657" s="178">
        <f t="shared" si="171"/>
        <v>0</v>
      </c>
      <c r="AH3657" s="177">
        <f t="shared" si="169"/>
        <v>0</v>
      </c>
    </row>
    <row r="3658" spans="23:34">
      <c r="W3658" s="177">
        <f t="shared" si="170"/>
        <v>0</v>
      </c>
      <c r="AB3658" s="178">
        <f t="shared" si="171"/>
        <v>0</v>
      </c>
      <c r="AH3658" s="177">
        <f t="shared" si="169"/>
        <v>0</v>
      </c>
    </row>
    <row r="3659" spans="23:34">
      <c r="W3659" s="177">
        <f t="shared" si="170"/>
        <v>0</v>
      </c>
      <c r="AB3659" s="178">
        <f t="shared" si="171"/>
        <v>0</v>
      </c>
      <c r="AH3659" s="177">
        <f t="shared" si="169"/>
        <v>0</v>
      </c>
    </row>
    <row r="3660" spans="23:34">
      <c r="W3660" s="177">
        <f t="shared" si="170"/>
        <v>0</v>
      </c>
      <c r="AB3660" s="178">
        <f t="shared" si="171"/>
        <v>0</v>
      </c>
      <c r="AH3660" s="177">
        <f t="shared" si="169"/>
        <v>0</v>
      </c>
    </row>
    <row r="3661" spans="23:34">
      <c r="W3661" s="177">
        <f t="shared" si="170"/>
        <v>0</v>
      </c>
      <c r="AB3661" s="178">
        <f t="shared" si="171"/>
        <v>0</v>
      </c>
      <c r="AH3661" s="177">
        <f t="shared" si="169"/>
        <v>0</v>
      </c>
    </row>
    <row r="3662" spans="23:34">
      <c r="W3662" s="177">
        <f t="shared" si="170"/>
        <v>0</v>
      </c>
      <c r="AB3662" s="178">
        <f t="shared" si="171"/>
        <v>0</v>
      </c>
      <c r="AH3662" s="177">
        <f t="shared" si="169"/>
        <v>0</v>
      </c>
    </row>
    <row r="3663" spans="23:34">
      <c r="W3663" s="177">
        <f t="shared" si="170"/>
        <v>0</v>
      </c>
      <c r="AB3663" s="178">
        <f t="shared" si="171"/>
        <v>0</v>
      </c>
      <c r="AH3663" s="177">
        <f t="shared" si="169"/>
        <v>0</v>
      </c>
    </row>
    <row r="3664" spans="23:34">
      <c r="W3664" s="177">
        <f t="shared" si="170"/>
        <v>0</v>
      </c>
      <c r="AB3664" s="178">
        <f t="shared" si="171"/>
        <v>0</v>
      </c>
      <c r="AH3664" s="177">
        <f t="shared" si="169"/>
        <v>0</v>
      </c>
    </row>
    <row r="3665" spans="23:34">
      <c r="W3665" s="177">
        <f t="shared" si="170"/>
        <v>0</v>
      </c>
      <c r="AB3665" s="178">
        <f t="shared" si="171"/>
        <v>0</v>
      </c>
      <c r="AH3665" s="177">
        <f t="shared" si="169"/>
        <v>0</v>
      </c>
    </row>
    <row r="3666" spans="23:34">
      <c r="W3666" s="177">
        <f t="shared" si="170"/>
        <v>0</v>
      </c>
      <c r="AB3666" s="178">
        <f t="shared" si="171"/>
        <v>0</v>
      </c>
      <c r="AH3666" s="177">
        <f t="shared" si="169"/>
        <v>0</v>
      </c>
    </row>
    <row r="3667" spans="23:34">
      <c r="W3667" s="177">
        <f t="shared" si="170"/>
        <v>0</v>
      </c>
      <c r="AB3667" s="178">
        <f t="shared" si="171"/>
        <v>0</v>
      </c>
      <c r="AH3667" s="177">
        <f t="shared" si="169"/>
        <v>0</v>
      </c>
    </row>
    <row r="3668" spans="23:34">
      <c r="W3668" s="177">
        <f t="shared" si="170"/>
        <v>0</v>
      </c>
      <c r="AB3668" s="178">
        <f t="shared" si="171"/>
        <v>0</v>
      </c>
      <c r="AH3668" s="177">
        <f t="shared" si="169"/>
        <v>0</v>
      </c>
    </row>
    <row r="3669" spans="23:34">
      <c r="W3669" s="177">
        <f t="shared" si="170"/>
        <v>0</v>
      </c>
      <c r="AB3669" s="178">
        <f t="shared" si="171"/>
        <v>0</v>
      </c>
      <c r="AH3669" s="177">
        <f t="shared" si="169"/>
        <v>0</v>
      </c>
    </row>
    <row r="3670" spans="23:34">
      <c r="W3670" s="177">
        <f t="shared" si="170"/>
        <v>0</v>
      </c>
      <c r="AB3670" s="178">
        <f t="shared" si="171"/>
        <v>0</v>
      </c>
      <c r="AH3670" s="177">
        <f t="shared" si="169"/>
        <v>0</v>
      </c>
    </row>
    <row r="3671" spans="23:34">
      <c r="W3671" s="177">
        <f t="shared" si="170"/>
        <v>0</v>
      </c>
      <c r="AB3671" s="178">
        <f t="shared" si="171"/>
        <v>0</v>
      </c>
      <c r="AH3671" s="177">
        <f t="shared" si="169"/>
        <v>0</v>
      </c>
    </row>
    <row r="3672" spans="23:34">
      <c r="W3672" s="177">
        <f t="shared" si="170"/>
        <v>0</v>
      </c>
      <c r="AB3672" s="178">
        <f t="shared" si="171"/>
        <v>0</v>
      </c>
      <c r="AH3672" s="177">
        <f t="shared" si="169"/>
        <v>0</v>
      </c>
    </row>
    <row r="3673" spans="23:34">
      <c r="W3673" s="177">
        <f t="shared" si="170"/>
        <v>0</v>
      </c>
      <c r="AB3673" s="178">
        <f t="shared" si="171"/>
        <v>0</v>
      </c>
      <c r="AH3673" s="177">
        <f t="shared" si="169"/>
        <v>0</v>
      </c>
    </row>
    <row r="3674" spans="23:34">
      <c r="W3674" s="177">
        <f t="shared" si="170"/>
        <v>0</v>
      </c>
      <c r="AB3674" s="178">
        <f t="shared" si="171"/>
        <v>0</v>
      </c>
      <c r="AH3674" s="177">
        <f t="shared" si="169"/>
        <v>0</v>
      </c>
    </row>
    <row r="3675" spans="23:34">
      <c r="W3675" s="177">
        <f t="shared" si="170"/>
        <v>0</v>
      </c>
      <c r="AB3675" s="178">
        <f t="shared" si="171"/>
        <v>0</v>
      </c>
      <c r="AH3675" s="177">
        <f t="shared" si="169"/>
        <v>0</v>
      </c>
    </row>
    <row r="3676" spans="23:34">
      <c r="W3676" s="177">
        <f t="shared" si="170"/>
        <v>0</v>
      </c>
      <c r="AB3676" s="178">
        <f t="shared" si="171"/>
        <v>0</v>
      </c>
      <c r="AH3676" s="177">
        <f t="shared" si="169"/>
        <v>0</v>
      </c>
    </row>
    <row r="3677" spans="23:34">
      <c r="W3677" s="177">
        <f t="shared" si="170"/>
        <v>0</v>
      </c>
      <c r="AB3677" s="178">
        <f t="shared" si="171"/>
        <v>0</v>
      </c>
      <c r="AH3677" s="177">
        <f t="shared" si="169"/>
        <v>0</v>
      </c>
    </row>
    <row r="3678" spans="23:34">
      <c r="W3678" s="177">
        <f t="shared" si="170"/>
        <v>0</v>
      </c>
      <c r="AB3678" s="178">
        <f t="shared" si="171"/>
        <v>0</v>
      </c>
      <c r="AH3678" s="177">
        <f t="shared" si="169"/>
        <v>0</v>
      </c>
    </row>
    <row r="3679" spans="23:34">
      <c r="W3679" s="177">
        <f t="shared" si="170"/>
        <v>0</v>
      </c>
      <c r="AB3679" s="178">
        <f t="shared" si="171"/>
        <v>0</v>
      </c>
      <c r="AH3679" s="177">
        <f t="shared" si="169"/>
        <v>0</v>
      </c>
    </row>
    <row r="3680" spans="23:34">
      <c r="W3680" s="177">
        <f t="shared" si="170"/>
        <v>0</v>
      </c>
      <c r="AB3680" s="178">
        <f t="shared" si="171"/>
        <v>0</v>
      </c>
      <c r="AH3680" s="177">
        <f t="shared" si="169"/>
        <v>0</v>
      </c>
    </row>
    <row r="3681" spans="23:34">
      <c r="W3681" s="177">
        <f t="shared" si="170"/>
        <v>0</v>
      </c>
      <c r="AB3681" s="178">
        <f t="shared" si="171"/>
        <v>0</v>
      </c>
      <c r="AH3681" s="177">
        <f t="shared" si="169"/>
        <v>0</v>
      </c>
    </row>
    <row r="3682" spans="23:34">
      <c r="W3682" s="177">
        <f t="shared" si="170"/>
        <v>0</v>
      </c>
      <c r="AB3682" s="178">
        <f t="shared" si="171"/>
        <v>0</v>
      </c>
      <c r="AH3682" s="177">
        <f t="shared" si="169"/>
        <v>0</v>
      </c>
    </row>
    <row r="3683" spans="23:34">
      <c r="W3683" s="177">
        <f t="shared" si="170"/>
        <v>0</v>
      </c>
      <c r="AB3683" s="178">
        <f t="shared" si="171"/>
        <v>0</v>
      </c>
      <c r="AH3683" s="177">
        <f t="shared" si="169"/>
        <v>0</v>
      </c>
    </row>
    <row r="3684" spans="23:34">
      <c r="W3684" s="177">
        <f t="shared" si="170"/>
        <v>0</v>
      </c>
      <c r="AB3684" s="178">
        <f t="shared" si="171"/>
        <v>0</v>
      </c>
      <c r="AH3684" s="177">
        <f t="shared" si="169"/>
        <v>0</v>
      </c>
    </row>
    <row r="3685" spans="23:34">
      <c r="W3685" s="177">
        <f t="shared" si="170"/>
        <v>0</v>
      </c>
      <c r="AB3685" s="178">
        <f t="shared" si="171"/>
        <v>0</v>
      </c>
      <c r="AH3685" s="177">
        <f t="shared" si="169"/>
        <v>0</v>
      </c>
    </row>
    <row r="3686" spans="23:34">
      <c r="W3686" s="177">
        <f t="shared" si="170"/>
        <v>0</v>
      </c>
      <c r="AB3686" s="178">
        <f t="shared" si="171"/>
        <v>0</v>
      </c>
      <c r="AH3686" s="177">
        <f t="shared" si="169"/>
        <v>0</v>
      </c>
    </row>
    <row r="3687" spans="23:34">
      <c r="W3687" s="177">
        <f t="shared" si="170"/>
        <v>0</v>
      </c>
      <c r="AB3687" s="178">
        <f t="shared" si="171"/>
        <v>0</v>
      </c>
      <c r="AH3687" s="177">
        <f t="shared" si="169"/>
        <v>0</v>
      </c>
    </row>
    <row r="3688" spans="23:34">
      <c r="W3688" s="177">
        <f t="shared" si="170"/>
        <v>0</v>
      </c>
      <c r="AB3688" s="178">
        <f t="shared" si="171"/>
        <v>0</v>
      </c>
      <c r="AH3688" s="177">
        <f t="shared" si="169"/>
        <v>0</v>
      </c>
    </row>
    <row r="3689" spans="23:34">
      <c r="W3689" s="177">
        <f t="shared" si="170"/>
        <v>0</v>
      </c>
      <c r="AB3689" s="178">
        <f t="shared" si="171"/>
        <v>0</v>
      </c>
      <c r="AH3689" s="177">
        <f t="shared" si="169"/>
        <v>0</v>
      </c>
    </row>
    <row r="3690" spans="23:34">
      <c r="W3690" s="177">
        <f t="shared" si="170"/>
        <v>0</v>
      </c>
      <c r="AB3690" s="178">
        <f t="shared" si="171"/>
        <v>0</v>
      </c>
      <c r="AH3690" s="177">
        <f t="shared" si="169"/>
        <v>0</v>
      </c>
    </row>
    <row r="3691" spans="23:34">
      <c r="W3691" s="177">
        <f t="shared" si="170"/>
        <v>0</v>
      </c>
      <c r="AB3691" s="178">
        <f t="shared" si="171"/>
        <v>0</v>
      </c>
      <c r="AH3691" s="177">
        <f t="shared" si="169"/>
        <v>0</v>
      </c>
    </row>
    <row r="3692" spans="23:34">
      <c r="W3692" s="177">
        <f t="shared" si="170"/>
        <v>0</v>
      </c>
      <c r="AB3692" s="178">
        <f t="shared" si="171"/>
        <v>0</v>
      </c>
      <c r="AH3692" s="177">
        <f t="shared" si="169"/>
        <v>0</v>
      </c>
    </row>
    <row r="3693" spans="23:34">
      <c r="W3693" s="177">
        <f t="shared" si="170"/>
        <v>0</v>
      </c>
      <c r="AB3693" s="178">
        <f t="shared" si="171"/>
        <v>0</v>
      </c>
      <c r="AH3693" s="177">
        <f t="shared" si="169"/>
        <v>0</v>
      </c>
    </row>
    <row r="3694" spans="23:34">
      <c r="W3694" s="177">
        <f t="shared" si="170"/>
        <v>0</v>
      </c>
      <c r="AB3694" s="178">
        <f t="shared" si="171"/>
        <v>0</v>
      </c>
      <c r="AH3694" s="177">
        <f t="shared" si="169"/>
        <v>0</v>
      </c>
    </row>
    <row r="3695" spans="23:34">
      <c r="W3695" s="177">
        <f t="shared" si="170"/>
        <v>0</v>
      </c>
      <c r="AB3695" s="178">
        <f t="shared" si="171"/>
        <v>0</v>
      </c>
      <c r="AH3695" s="177">
        <f t="shared" si="169"/>
        <v>0</v>
      </c>
    </row>
    <row r="3696" spans="23:34">
      <c r="W3696" s="177">
        <f t="shared" si="170"/>
        <v>0</v>
      </c>
      <c r="AB3696" s="178">
        <f t="shared" si="171"/>
        <v>0</v>
      </c>
      <c r="AH3696" s="177">
        <f t="shared" ref="AH3696:AH3759" si="172">SUM(AF3696:AG3696)</f>
        <v>0</v>
      </c>
    </row>
    <row r="3697" spans="23:34">
      <c r="W3697" s="177">
        <f t="shared" si="170"/>
        <v>0</v>
      </c>
      <c r="AB3697" s="178">
        <f t="shared" si="171"/>
        <v>0</v>
      </c>
      <c r="AH3697" s="177">
        <f t="shared" si="172"/>
        <v>0</v>
      </c>
    </row>
    <row r="3698" spans="23:34">
      <c r="W3698" s="177">
        <f t="shared" si="170"/>
        <v>0</v>
      </c>
      <c r="AB3698" s="178">
        <f t="shared" si="171"/>
        <v>0</v>
      </c>
      <c r="AH3698" s="177">
        <f t="shared" si="172"/>
        <v>0</v>
      </c>
    </row>
    <row r="3699" spans="23:34">
      <c r="W3699" s="177">
        <f t="shared" ref="W3699:W3762" si="173">SUM(Q3699:T3699)</f>
        <v>0</v>
      </c>
      <c r="AB3699" s="178">
        <f t="shared" si="171"/>
        <v>0</v>
      </c>
      <c r="AH3699" s="177">
        <f t="shared" si="172"/>
        <v>0</v>
      </c>
    </row>
    <row r="3700" spans="23:34">
      <c r="W3700" s="177">
        <f t="shared" si="173"/>
        <v>0</v>
      </c>
      <c r="AB3700" s="178">
        <f t="shared" si="171"/>
        <v>0</v>
      </c>
      <c r="AH3700" s="177">
        <f t="shared" si="172"/>
        <v>0</v>
      </c>
    </row>
    <row r="3701" spans="23:34">
      <c r="W3701" s="177">
        <f t="shared" si="173"/>
        <v>0</v>
      </c>
      <c r="AB3701" s="178">
        <f t="shared" si="171"/>
        <v>0</v>
      </c>
      <c r="AH3701" s="177">
        <f t="shared" si="172"/>
        <v>0</v>
      </c>
    </row>
    <row r="3702" spans="23:34">
      <c r="W3702" s="177">
        <f t="shared" si="173"/>
        <v>0</v>
      </c>
      <c r="AB3702" s="178">
        <f t="shared" si="171"/>
        <v>0</v>
      </c>
      <c r="AH3702" s="177">
        <f t="shared" si="172"/>
        <v>0</v>
      </c>
    </row>
    <row r="3703" spans="23:34">
      <c r="W3703" s="177">
        <f t="shared" si="173"/>
        <v>0</v>
      </c>
      <c r="AB3703" s="178">
        <f t="shared" si="171"/>
        <v>0</v>
      </c>
      <c r="AH3703" s="177">
        <f t="shared" si="172"/>
        <v>0</v>
      </c>
    </row>
    <row r="3704" spans="23:34">
      <c r="W3704" s="177">
        <f t="shared" si="173"/>
        <v>0</v>
      </c>
      <c r="AB3704" s="178">
        <f t="shared" si="171"/>
        <v>0</v>
      </c>
      <c r="AH3704" s="177">
        <f t="shared" si="172"/>
        <v>0</v>
      </c>
    </row>
    <row r="3705" spans="23:34">
      <c r="W3705" s="177">
        <f t="shared" si="173"/>
        <v>0</v>
      </c>
      <c r="AB3705" s="178">
        <f t="shared" si="171"/>
        <v>0</v>
      </c>
      <c r="AH3705" s="177">
        <f t="shared" si="172"/>
        <v>0</v>
      </c>
    </row>
    <row r="3706" spans="23:34">
      <c r="W3706" s="177">
        <f t="shared" si="173"/>
        <v>0</v>
      </c>
      <c r="AB3706" s="178">
        <f t="shared" si="171"/>
        <v>0</v>
      </c>
      <c r="AH3706" s="177">
        <f t="shared" si="172"/>
        <v>0</v>
      </c>
    </row>
    <row r="3707" spans="23:34">
      <c r="W3707" s="177">
        <f t="shared" si="173"/>
        <v>0</v>
      </c>
      <c r="AB3707" s="178">
        <f t="shared" ref="AB3707:AB3770" si="174">SUM(Z3707:AA3707)</f>
        <v>0</v>
      </c>
      <c r="AH3707" s="177">
        <f t="shared" si="172"/>
        <v>0</v>
      </c>
    </row>
    <row r="3708" spans="23:34">
      <c r="W3708" s="177">
        <f t="shared" si="173"/>
        <v>0</v>
      </c>
      <c r="AB3708" s="178">
        <f t="shared" si="174"/>
        <v>0</v>
      </c>
      <c r="AH3708" s="177">
        <f t="shared" si="172"/>
        <v>0</v>
      </c>
    </row>
    <row r="3709" spans="23:34">
      <c r="W3709" s="177">
        <f t="shared" si="173"/>
        <v>0</v>
      </c>
      <c r="AB3709" s="178">
        <f t="shared" si="174"/>
        <v>0</v>
      </c>
      <c r="AH3709" s="177">
        <f t="shared" si="172"/>
        <v>0</v>
      </c>
    </row>
    <row r="3710" spans="23:34">
      <c r="W3710" s="177">
        <f t="shared" si="173"/>
        <v>0</v>
      </c>
      <c r="AB3710" s="178">
        <f t="shared" si="174"/>
        <v>0</v>
      </c>
      <c r="AH3710" s="177">
        <f t="shared" si="172"/>
        <v>0</v>
      </c>
    </row>
    <row r="3711" spans="23:34">
      <c r="W3711" s="177">
        <f t="shared" si="173"/>
        <v>0</v>
      </c>
      <c r="AB3711" s="178">
        <f t="shared" si="174"/>
        <v>0</v>
      </c>
      <c r="AH3711" s="177">
        <f t="shared" si="172"/>
        <v>0</v>
      </c>
    </row>
    <row r="3712" spans="23:34">
      <c r="W3712" s="177">
        <f t="shared" si="173"/>
        <v>0</v>
      </c>
      <c r="AB3712" s="178">
        <f t="shared" si="174"/>
        <v>0</v>
      </c>
      <c r="AH3712" s="177">
        <f t="shared" si="172"/>
        <v>0</v>
      </c>
    </row>
    <row r="3713" spans="23:34">
      <c r="W3713" s="177">
        <f t="shared" si="173"/>
        <v>0</v>
      </c>
      <c r="AB3713" s="178">
        <f t="shared" si="174"/>
        <v>0</v>
      </c>
      <c r="AH3713" s="177">
        <f t="shared" si="172"/>
        <v>0</v>
      </c>
    </row>
    <row r="3714" spans="23:34">
      <c r="W3714" s="177">
        <f t="shared" si="173"/>
        <v>0</v>
      </c>
      <c r="AB3714" s="178">
        <f t="shared" si="174"/>
        <v>0</v>
      </c>
      <c r="AH3714" s="177">
        <f t="shared" si="172"/>
        <v>0</v>
      </c>
    </row>
    <row r="3715" spans="23:34">
      <c r="W3715" s="177">
        <f t="shared" si="173"/>
        <v>0</v>
      </c>
      <c r="AB3715" s="178">
        <f t="shared" si="174"/>
        <v>0</v>
      </c>
      <c r="AH3715" s="177">
        <f t="shared" si="172"/>
        <v>0</v>
      </c>
    </row>
    <row r="3716" spans="23:34">
      <c r="W3716" s="177">
        <f t="shared" si="173"/>
        <v>0</v>
      </c>
      <c r="AB3716" s="178">
        <f t="shared" si="174"/>
        <v>0</v>
      </c>
      <c r="AH3716" s="177">
        <f t="shared" si="172"/>
        <v>0</v>
      </c>
    </row>
    <row r="3717" spans="23:34">
      <c r="W3717" s="177">
        <f t="shared" si="173"/>
        <v>0</v>
      </c>
      <c r="AB3717" s="178">
        <f t="shared" si="174"/>
        <v>0</v>
      </c>
      <c r="AH3717" s="177">
        <f t="shared" si="172"/>
        <v>0</v>
      </c>
    </row>
    <row r="3718" spans="23:34">
      <c r="W3718" s="177">
        <f t="shared" si="173"/>
        <v>0</v>
      </c>
      <c r="AB3718" s="178">
        <f t="shared" si="174"/>
        <v>0</v>
      </c>
      <c r="AH3718" s="177">
        <f t="shared" si="172"/>
        <v>0</v>
      </c>
    </row>
    <row r="3719" spans="23:34">
      <c r="W3719" s="177">
        <f t="shared" si="173"/>
        <v>0</v>
      </c>
      <c r="AB3719" s="178">
        <f t="shared" si="174"/>
        <v>0</v>
      </c>
      <c r="AH3719" s="177">
        <f t="shared" si="172"/>
        <v>0</v>
      </c>
    </row>
    <row r="3720" spans="23:34">
      <c r="W3720" s="177">
        <f t="shared" si="173"/>
        <v>0</v>
      </c>
      <c r="AB3720" s="178">
        <f t="shared" si="174"/>
        <v>0</v>
      </c>
      <c r="AH3720" s="177">
        <f t="shared" si="172"/>
        <v>0</v>
      </c>
    </row>
    <row r="3721" spans="23:34">
      <c r="W3721" s="177">
        <f t="shared" si="173"/>
        <v>0</v>
      </c>
      <c r="AB3721" s="178">
        <f t="shared" si="174"/>
        <v>0</v>
      </c>
      <c r="AH3721" s="177">
        <f t="shared" si="172"/>
        <v>0</v>
      </c>
    </row>
    <row r="3722" spans="23:34">
      <c r="W3722" s="177">
        <f t="shared" si="173"/>
        <v>0</v>
      </c>
      <c r="AB3722" s="178">
        <f t="shared" si="174"/>
        <v>0</v>
      </c>
      <c r="AH3722" s="177">
        <f t="shared" si="172"/>
        <v>0</v>
      </c>
    </row>
    <row r="3723" spans="23:34">
      <c r="W3723" s="177">
        <f t="shared" si="173"/>
        <v>0</v>
      </c>
      <c r="AB3723" s="178">
        <f t="shared" si="174"/>
        <v>0</v>
      </c>
      <c r="AH3723" s="177">
        <f t="shared" si="172"/>
        <v>0</v>
      </c>
    </row>
    <row r="3724" spans="23:34">
      <c r="W3724" s="177">
        <f t="shared" si="173"/>
        <v>0</v>
      </c>
      <c r="AB3724" s="178">
        <f t="shared" si="174"/>
        <v>0</v>
      </c>
      <c r="AH3724" s="177">
        <f t="shared" si="172"/>
        <v>0</v>
      </c>
    </row>
    <row r="3725" spans="23:34">
      <c r="W3725" s="177">
        <f t="shared" si="173"/>
        <v>0</v>
      </c>
      <c r="AB3725" s="178">
        <f t="shared" si="174"/>
        <v>0</v>
      </c>
      <c r="AH3725" s="177">
        <f t="shared" si="172"/>
        <v>0</v>
      </c>
    </row>
    <row r="3726" spans="23:34">
      <c r="W3726" s="177">
        <f t="shared" si="173"/>
        <v>0</v>
      </c>
      <c r="AB3726" s="178">
        <f t="shared" si="174"/>
        <v>0</v>
      </c>
      <c r="AH3726" s="177">
        <f t="shared" si="172"/>
        <v>0</v>
      </c>
    </row>
    <row r="3727" spans="23:34">
      <c r="W3727" s="177">
        <f t="shared" si="173"/>
        <v>0</v>
      </c>
      <c r="AB3727" s="178">
        <f t="shared" si="174"/>
        <v>0</v>
      </c>
      <c r="AH3727" s="177">
        <f t="shared" si="172"/>
        <v>0</v>
      </c>
    </row>
    <row r="3728" spans="23:34">
      <c r="W3728" s="177">
        <f t="shared" si="173"/>
        <v>0</v>
      </c>
      <c r="AB3728" s="178">
        <f t="shared" si="174"/>
        <v>0</v>
      </c>
      <c r="AH3728" s="177">
        <f t="shared" si="172"/>
        <v>0</v>
      </c>
    </row>
    <row r="3729" spans="23:34">
      <c r="W3729" s="177">
        <f t="shared" si="173"/>
        <v>0</v>
      </c>
      <c r="AB3729" s="178">
        <f t="shared" si="174"/>
        <v>0</v>
      </c>
      <c r="AH3729" s="177">
        <f t="shared" si="172"/>
        <v>0</v>
      </c>
    </row>
    <row r="3730" spans="23:34">
      <c r="W3730" s="177">
        <f t="shared" si="173"/>
        <v>0</v>
      </c>
      <c r="AB3730" s="178">
        <f t="shared" si="174"/>
        <v>0</v>
      </c>
      <c r="AH3730" s="177">
        <f t="shared" si="172"/>
        <v>0</v>
      </c>
    </row>
    <row r="3731" spans="23:34">
      <c r="W3731" s="177">
        <f t="shared" si="173"/>
        <v>0</v>
      </c>
      <c r="AB3731" s="178">
        <f t="shared" si="174"/>
        <v>0</v>
      </c>
      <c r="AH3731" s="177">
        <f t="shared" si="172"/>
        <v>0</v>
      </c>
    </row>
    <row r="3732" spans="23:34">
      <c r="W3732" s="177">
        <f t="shared" si="173"/>
        <v>0</v>
      </c>
      <c r="AB3732" s="178">
        <f t="shared" si="174"/>
        <v>0</v>
      </c>
      <c r="AH3732" s="177">
        <f t="shared" si="172"/>
        <v>0</v>
      </c>
    </row>
    <row r="3733" spans="23:34">
      <c r="W3733" s="177">
        <f t="shared" si="173"/>
        <v>0</v>
      </c>
      <c r="AB3733" s="178">
        <f t="shared" si="174"/>
        <v>0</v>
      </c>
      <c r="AH3733" s="177">
        <f t="shared" si="172"/>
        <v>0</v>
      </c>
    </row>
    <row r="3734" spans="23:34">
      <c r="W3734" s="177">
        <f t="shared" si="173"/>
        <v>0</v>
      </c>
      <c r="AB3734" s="178">
        <f t="shared" si="174"/>
        <v>0</v>
      </c>
      <c r="AH3734" s="177">
        <f t="shared" si="172"/>
        <v>0</v>
      </c>
    </row>
    <row r="3735" spans="23:34">
      <c r="W3735" s="177">
        <f t="shared" si="173"/>
        <v>0</v>
      </c>
      <c r="AB3735" s="178">
        <f t="shared" si="174"/>
        <v>0</v>
      </c>
      <c r="AH3735" s="177">
        <f t="shared" si="172"/>
        <v>0</v>
      </c>
    </row>
    <row r="3736" spans="23:34">
      <c r="W3736" s="177">
        <f t="shared" si="173"/>
        <v>0</v>
      </c>
      <c r="AB3736" s="178">
        <f t="shared" si="174"/>
        <v>0</v>
      </c>
      <c r="AH3736" s="177">
        <f t="shared" si="172"/>
        <v>0</v>
      </c>
    </row>
    <row r="3737" spans="23:34">
      <c r="W3737" s="177">
        <f t="shared" si="173"/>
        <v>0</v>
      </c>
      <c r="AB3737" s="178">
        <f t="shared" si="174"/>
        <v>0</v>
      </c>
      <c r="AH3737" s="177">
        <f t="shared" si="172"/>
        <v>0</v>
      </c>
    </row>
    <row r="3738" spans="23:34">
      <c r="W3738" s="177">
        <f t="shared" si="173"/>
        <v>0</v>
      </c>
      <c r="AB3738" s="178">
        <f t="shared" si="174"/>
        <v>0</v>
      </c>
      <c r="AH3738" s="177">
        <f t="shared" si="172"/>
        <v>0</v>
      </c>
    </row>
    <row r="3739" spans="23:34">
      <c r="W3739" s="177">
        <f t="shared" si="173"/>
        <v>0</v>
      </c>
      <c r="AB3739" s="178">
        <f t="shared" si="174"/>
        <v>0</v>
      </c>
      <c r="AH3739" s="177">
        <f t="shared" si="172"/>
        <v>0</v>
      </c>
    </row>
    <row r="3740" spans="23:34">
      <c r="W3740" s="177">
        <f t="shared" si="173"/>
        <v>0</v>
      </c>
      <c r="AB3740" s="178">
        <f t="shared" si="174"/>
        <v>0</v>
      </c>
      <c r="AH3740" s="177">
        <f t="shared" si="172"/>
        <v>0</v>
      </c>
    </row>
    <row r="3741" spans="23:34">
      <c r="W3741" s="177">
        <f t="shared" si="173"/>
        <v>0</v>
      </c>
      <c r="AB3741" s="178">
        <f t="shared" si="174"/>
        <v>0</v>
      </c>
      <c r="AH3741" s="177">
        <f t="shared" si="172"/>
        <v>0</v>
      </c>
    </row>
    <row r="3742" spans="23:34">
      <c r="W3742" s="177">
        <f t="shared" si="173"/>
        <v>0</v>
      </c>
      <c r="AB3742" s="178">
        <f t="shared" si="174"/>
        <v>0</v>
      </c>
      <c r="AH3742" s="177">
        <f t="shared" si="172"/>
        <v>0</v>
      </c>
    </row>
    <row r="3743" spans="23:34">
      <c r="W3743" s="177">
        <f t="shared" si="173"/>
        <v>0</v>
      </c>
      <c r="AB3743" s="178">
        <f t="shared" si="174"/>
        <v>0</v>
      </c>
      <c r="AH3743" s="177">
        <f t="shared" si="172"/>
        <v>0</v>
      </c>
    </row>
    <row r="3744" spans="23:34">
      <c r="W3744" s="177">
        <f t="shared" si="173"/>
        <v>0</v>
      </c>
      <c r="AB3744" s="178">
        <f t="shared" si="174"/>
        <v>0</v>
      </c>
      <c r="AH3744" s="177">
        <f t="shared" si="172"/>
        <v>0</v>
      </c>
    </row>
    <row r="3745" spans="23:34">
      <c r="W3745" s="177">
        <f t="shared" si="173"/>
        <v>0</v>
      </c>
      <c r="AB3745" s="178">
        <f t="shared" si="174"/>
        <v>0</v>
      </c>
      <c r="AH3745" s="177">
        <f t="shared" si="172"/>
        <v>0</v>
      </c>
    </row>
    <row r="3746" spans="23:34">
      <c r="W3746" s="177">
        <f t="shared" si="173"/>
        <v>0</v>
      </c>
      <c r="AB3746" s="178">
        <f t="shared" si="174"/>
        <v>0</v>
      </c>
      <c r="AH3746" s="177">
        <f t="shared" si="172"/>
        <v>0</v>
      </c>
    </row>
    <row r="3747" spans="23:34">
      <c r="W3747" s="177">
        <f t="shared" si="173"/>
        <v>0</v>
      </c>
      <c r="AB3747" s="178">
        <f t="shared" si="174"/>
        <v>0</v>
      </c>
      <c r="AH3747" s="177">
        <f t="shared" si="172"/>
        <v>0</v>
      </c>
    </row>
    <row r="3748" spans="23:34">
      <c r="W3748" s="177">
        <f t="shared" si="173"/>
        <v>0</v>
      </c>
      <c r="AB3748" s="178">
        <f t="shared" si="174"/>
        <v>0</v>
      </c>
      <c r="AH3748" s="177">
        <f t="shared" si="172"/>
        <v>0</v>
      </c>
    </row>
    <row r="3749" spans="23:34">
      <c r="W3749" s="177">
        <f t="shared" si="173"/>
        <v>0</v>
      </c>
      <c r="AB3749" s="178">
        <f t="shared" si="174"/>
        <v>0</v>
      </c>
      <c r="AH3749" s="177">
        <f t="shared" si="172"/>
        <v>0</v>
      </c>
    </row>
    <row r="3750" spans="23:34">
      <c r="W3750" s="177">
        <f t="shared" si="173"/>
        <v>0</v>
      </c>
      <c r="AB3750" s="178">
        <f t="shared" si="174"/>
        <v>0</v>
      </c>
      <c r="AH3750" s="177">
        <f t="shared" si="172"/>
        <v>0</v>
      </c>
    </row>
    <row r="3751" spans="23:34">
      <c r="W3751" s="177">
        <f t="shared" si="173"/>
        <v>0</v>
      </c>
      <c r="AB3751" s="178">
        <f t="shared" si="174"/>
        <v>0</v>
      </c>
      <c r="AH3751" s="177">
        <f t="shared" si="172"/>
        <v>0</v>
      </c>
    </row>
    <row r="3752" spans="23:34">
      <c r="W3752" s="177">
        <f t="shared" si="173"/>
        <v>0</v>
      </c>
      <c r="AB3752" s="178">
        <f t="shared" si="174"/>
        <v>0</v>
      </c>
      <c r="AH3752" s="177">
        <f t="shared" si="172"/>
        <v>0</v>
      </c>
    </row>
    <row r="3753" spans="23:34">
      <c r="W3753" s="177">
        <f t="shared" si="173"/>
        <v>0</v>
      </c>
      <c r="AB3753" s="178">
        <f t="shared" si="174"/>
        <v>0</v>
      </c>
      <c r="AH3753" s="177">
        <f t="shared" si="172"/>
        <v>0</v>
      </c>
    </row>
    <row r="3754" spans="23:34">
      <c r="W3754" s="177">
        <f t="shared" si="173"/>
        <v>0</v>
      </c>
      <c r="AB3754" s="178">
        <f t="shared" si="174"/>
        <v>0</v>
      </c>
      <c r="AH3754" s="177">
        <f t="shared" si="172"/>
        <v>0</v>
      </c>
    </row>
    <row r="3755" spans="23:34">
      <c r="W3755" s="177">
        <f t="shared" si="173"/>
        <v>0</v>
      </c>
      <c r="AB3755" s="178">
        <f t="shared" si="174"/>
        <v>0</v>
      </c>
      <c r="AH3755" s="177">
        <f t="shared" si="172"/>
        <v>0</v>
      </c>
    </row>
    <row r="3756" spans="23:34">
      <c r="W3756" s="177">
        <f t="shared" si="173"/>
        <v>0</v>
      </c>
      <c r="AB3756" s="178">
        <f t="shared" si="174"/>
        <v>0</v>
      </c>
      <c r="AH3756" s="177">
        <f t="shared" si="172"/>
        <v>0</v>
      </c>
    </row>
    <row r="3757" spans="23:34">
      <c r="W3757" s="177">
        <f t="shared" si="173"/>
        <v>0</v>
      </c>
      <c r="AB3757" s="178">
        <f t="shared" si="174"/>
        <v>0</v>
      </c>
      <c r="AH3757" s="177">
        <f t="shared" si="172"/>
        <v>0</v>
      </c>
    </row>
    <row r="3758" spans="23:34">
      <c r="W3758" s="177">
        <f t="shared" si="173"/>
        <v>0</v>
      </c>
      <c r="AB3758" s="178">
        <f t="shared" si="174"/>
        <v>0</v>
      </c>
      <c r="AH3758" s="177">
        <f t="shared" si="172"/>
        <v>0</v>
      </c>
    </row>
    <row r="3759" spans="23:34">
      <c r="W3759" s="177">
        <f t="shared" si="173"/>
        <v>0</v>
      </c>
      <c r="AB3759" s="178">
        <f t="shared" si="174"/>
        <v>0</v>
      </c>
      <c r="AH3759" s="177">
        <f t="shared" si="172"/>
        <v>0</v>
      </c>
    </row>
    <row r="3760" spans="23:34">
      <c r="W3760" s="177">
        <f t="shared" si="173"/>
        <v>0</v>
      </c>
      <c r="AB3760" s="178">
        <f t="shared" si="174"/>
        <v>0</v>
      </c>
      <c r="AH3760" s="177">
        <f t="shared" ref="AH3760:AH3823" si="175">SUM(AF3760:AG3760)</f>
        <v>0</v>
      </c>
    </row>
    <row r="3761" spans="23:34">
      <c r="W3761" s="177">
        <f t="shared" si="173"/>
        <v>0</v>
      </c>
      <c r="AB3761" s="178">
        <f t="shared" si="174"/>
        <v>0</v>
      </c>
      <c r="AH3761" s="177">
        <f t="shared" si="175"/>
        <v>0</v>
      </c>
    </row>
    <row r="3762" spans="23:34">
      <c r="W3762" s="177">
        <f t="shared" si="173"/>
        <v>0</v>
      </c>
      <c r="AB3762" s="178">
        <f t="shared" si="174"/>
        <v>0</v>
      </c>
      <c r="AH3762" s="177">
        <f t="shared" si="175"/>
        <v>0</v>
      </c>
    </row>
    <row r="3763" spans="23:34">
      <c r="W3763" s="177">
        <f t="shared" ref="W3763:W3826" si="176">SUM(Q3763:T3763)</f>
        <v>0</v>
      </c>
      <c r="AB3763" s="178">
        <f t="shared" si="174"/>
        <v>0</v>
      </c>
      <c r="AH3763" s="177">
        <f t="shared" si="175"/>
        <v>0</v>
      </c>
    </row>
    <row r="3764" spans="23:34">
      <c r="W3764" s="177">
        <f t="shared" si="176"/>
        <v>0</v>
      </c>
      <c r="AB3764" s="178">
        <f t="shared" si="174"/>
        <v>0</v>
      </c>
      <c r="AH3764" s="177">
        <f t="shared" si="175"/>
        <v>0</v>
      </c>
    </row>
    <row r="3765" spans="23:34">
      <c r="W3765" s="177">
        <f t="shared" si="176"/>
        <v>0</v>
      </c>
      <c r="AB3765" s="178">
        <f t="shared" si="174"/>
        <v>0</v>
      </c>
      <c r="AH3765" s="177">
        <f t="shared" si="175"/>
        <v>0</v>
      </c>
    </row>
    <row r="3766" spans="23:34">
      <c r="W3766" s="177">
        <f t="shared" si="176"/>
        <v>0</v>
      </c>
      <c r="AB3766" s="178">
        <f t="shared" si="174"/>
        <v>0</v>
      </c>
      <c r="AH3766" s="177">
        <f t="shared" si="175"/>
        <v>0</v>
      </c>
    </row>
    <row r="3767" spans="23:34">
      <c r="W3767" s="177">
        <f t="shared" si="176"/>
        <v>0</v>
      </c>
      <c r="AB3767" s="178">
        <f t="shared" si="174"/>
        <v>0</v>
      </c>
      <c r="AH3767" s="177">
        <f t="shared" si="175"/>
        <v>0</v>
      </c>
    </row>
    <row r="3768" spans="23:34">
      <c r="W3768" s="177">
        <f t="shared" si="176"/>
        <v>0</v>
      </c>
      <c r="AB3768" s="178">
        <f t="shared" si="174"/>
        <v>0</v>
      </c>
      <c r="AH3768" s="177">
        <f t="shared" si="175"/>
        <v>0</v>
      </c>
    </row>
    <row r="3769" spans="23:34">
      <c r="W3769" s="177">
        <f t="shared" si="176"/>
        <v>0</v>
      </c>
      <c r="AB3769" s="178">
        <f t="shared" si="174"/>
        <v>0</v>
      </c>
      <c r="AH3769" s="177">
        <f t="shared" si="175"/>
        <v>0</v>
      </c>
    </row>
    <row r="3770" spans="23:34">
      <c r="W3770" s="177">
        <f t="shared" si="176"/>
        <v>0</v>
      </c>
      <c r="AB3770" s="178">
        <f t="shared" si="174"/>
        <v>0</v>
      </c>
      <c r="AH3770" s="177">
        <f t="shared" si="175"/>
        <v>0</v>
      </c>
    </row>
    <row r="3771" spans="23:34">
      <c r="W3771" s="177">
        <f t="shared" si="176"/>
        <v>0</v>
      </c>
      <c r="AB3771" s="178">
        <f t="shared" ref="AB3771:AB3834" si="177">SUM(Z3771:AA3771)</f>
        <v>0</v>
      </c>
      <c r="AH3771" s="177">
        <f t="shared" si="175"/>
        <v>0</v>
      </c>
    </row>
    <row r="3772" spans="23:34">
      <c r="W3772" s="177">
        <f t="shared" si="176"/>
        <v>0</v>
      </c>
      <c r="AB3772" s="178">
        <f t="shared" si="177"/>
        <v>0</v>
      </c>
      <c r="AH3772" s="177">
        <f t="shared" si="175"/>
        <v>0</v>
      </c>
    </row>
    <row r="3773" spans="23:34">
      <c r="W3773" s="177">
        <f t="shared" si="176"/>
        <v>0</v>
      </c>
      <c r="AB3773" s="178">
        <f t="shared" si="177"/>
        <v>0</v>
      </c>
      <c r="AH3773" s="177">
        <f t="shared" si="175"/>
        <v>0</v>
      </c>
    </row>
    <row r="3774" spans="23:34">
      <c r="W3774" s="177">
        <f t="shared" si="176"/>
        <v>0</v>
      </c>
      <c r="AB3774" s="178">
        <f t="shared" si="177"/>
        <v>0</v>
      </c>
      <c r="AH3774" s="177">
        <f t="shared" si="175"/>
        <v>0</v>
      </c>
    </row>
    <row r="3775" spans="23:34">
      <c r="W3775" s="177">
        <f t="shared" si="176"/>
        <v>0</v>
      </c>
      <c r="AB3775" s="178">
        <f t="shared" si="177"/>
        <v>0</v>
      </c>
      <c r="AH3775" s="177">
        <f t="shared" si="175"/>
        <v>0</v>
      </c>
    </row>
    <row r="3776" spans="23:34">
      <c r="W3776" s="177">
        <f t="shared" si="176"/>
        <v>0</v>
      </c>
      <c r="AB3776" s="178">
        <f t="shared" si="177"/>
        <v>0</v>
      </c>
      <c r="AH3776" s="177">
        <f t="shared" si="175"/>
        <v>0</v>
      </c>
    </row>
    <row r="3777" spans="23:34">
      <c r="W3777" s="177">
        <f t="shared" si="176"/>
        <v>0</v>
      </c>
      <c r="AB3777" s="178">
        <f t="shared" si="177"/>
        <v>0</v>
      </c>
      <c r="AH3777" s="177">
        <f t="shared" si="175"/>
        <v>0</v>
      </c>
    </row>
    <row r="3778" spans="23:34">
      <c r="W3778" s="177">
        <f t="shared" si="176"/>
        <v>0</v>
      </c>
      <c r="AB3778" s="178">
        <f t="shared" si="177"/>
        <v>0</v>
      </c>
      <c r="AH3778" s="177">
        <f t="shared" si="175"/>
        <v>0</v>
      </c>
    </row>
    <row r="3779" spans="23:34">
      <c r="W3779" s="177">
        <f t="shared" si="176"/>
        <v>0</v>
      </c>
      <c r="AB3779" s="178">
        <f t="shared" si="177"/>
        <v>0</v>
      </c>
      <c r="AH3779" s="177">
        <f t="shared" si="175"/>
        <v>0</v>
      </c>
    </row>
    <row r="3780" spans="23:34">
      <c r="W3780" s="177">
        <f t="shared" si="176"/>
        <v>0</v>
      </c>
      <c r="AB3780" s="178">
        <f t="shared" si="177"/>
        <v>0</v>
      </c>
      <c r="AH3780" s="177">
        <f t="shared" si="175"/>
        <v>0</v>
      </c>
    </row>
    <row r="3781" spans="23:34">
      <c r="W3781" s="177">
        <f t="shared" si="176"/>
        <v>0</v>
      </c>
      <c r="AB3781" s="178">
        <f t="shared" si="177"/>
        <v>0</v>
      </c>
      <c r="AH3781" s="177">
        <f t="shared" si="175"/>
        <v>0</v>
      </c>
    </row>
    <row r="3782" spans="23:34">
      <c r="W3782" s="177">
        <f t="shared" si="176"/>
        <v>0</v>
      </c>
      <c r="AB3782" s="178">
        <f t="shared" si="177"/>
        <v>0</v>
      </c>
      <c r="AH3782" s="177">
        <f t="shared" si="175"/>
        <v>0</v>
      </c>
    </row>
    <row r="3783" spans="23:34">
      <c r="W3783" s="177">
        <f t="shared" si="176"/>
        <v>0</v>
      </c>
      <c r="AB3783" s="178">
        <f t="shared" si="177"/>
        <v>0</v>
      </c>
      <c r="AH3783" s="177">
        <f t="shared" si="175"/>
        <v>0</v>
      </c>
    </row>
    <row r="3784" spans="23:34">
      <c r="W3784" s="177">
        <f t="shared" si="176"/>
        <v>0</v>
      </c>
      <c r="AB3784" s="178">
        <f t="shared" si="177"/>
        <v>0</v>
      </c>
      <c r="AH3784" s="177">
        <f t="shared" si="175"/>
        <v>0</v>
      </c>
    </row>
    <row r="3785" spans="23:34">
      <c r="W3785" s="177">
        <f t="shared" si="176"/>
        <v>0</v>
      </c>
      <c r="AB3785" s="178">
        <f t="shared" si="177"/>
        <v>0</v>
      </c>
      <c r="AH3785" s="177">
        <f t="shared" si="175"/>
        <v>0</v>
      </c>
    </row>
    <row r="3786" spans="23:34">
      <c r="W3786" s="177">
        <f t="shared" si="176"/>
        <v>0</v>
      </c>
      <c r="AB3786" s="178">
        <f t="shared" si="177"/>
        <v>0</v>
      </c>
      <c r="AH3786" s="177">
        <f t="shared" si="175"/>
        <v>0</v>
      </c>
    </row>
    <row r="3787" spans="23:34">
      <c r="W3787" s="177">
        <f t="shared" si="176"/>
        <v>0</v>
      </c>
      <c r="AB3787" s="178">
        <f t="shared" si="177"/>
        <v>0</v>
      </c>
      <c r="AH3787" s="177">
        <f t="shared" si="175"/>
        <v>0</v>
      </c>
    </row>
    <row r="3788" spans="23:34">
      <c r="W3788" s="177">
        <f t="shared" si="176"/>
        <v>0</v>
      </c>
      <c r="AB3788" s="178">
        <f t="shared" si="177"/>
        <v>0</v>
      </c>
      <c r="AH3788" s="177">
        <f t="shared" si="175"/>
        <v>0</v>
      </c>
    </row>
    <row r="3789" spans="23:34">
      <c r="W3789" s="177">
        <f t="shared" si="176"/>
        <v>0</v>
      </c>
      <c r="AB3789" s="178">
        <f t="shared" si="177"/>
        <v>0</v>
      </c>
      <c r="AH3789" s="177">
        <f t="shared" si="175"/>
        <v>0</v>
      </c>
    </row>
    <row r="3790" spans="23:34">
      <c r="W3790" s="177">
        <f t="shared" si="176"/>
        <v>0</v>
      </c>
      <c r="AB3790" s="178">
        <f t="shared" si="177"/>
        <v>0</v>
      </c>
      <c r="AH3790" s="177">
        <f t="shared" si="175"/>
        <v>0</v>
      </c>
    </row>
    <row r="3791" spans="23:34">
      <c r="W3791" s="177">
        <f t="shared" si="176"/>
        <v>0</v>
      </c>
      <c r="AB3791" s="178">
        <f t="shared" si="177"/>
        <v>0</v>
      </c>
      <c r="AH3791" s="177">
        <f t="shared" si="175"/>
        <v>0</v>
      </c>
    </row>
    <row r="3792" spans="23:34">
      <c r="W3792" s="177">
        <f t="shared" si="176"/>
        <v>0</v>
      </c>
      <c r="AB3792" s="178">
        <f t="shared" si="177"/>
        <v>0</v>
      </c>
      <c r="AH3792" s="177">
        <f t="shared" si="175"/>
        <v>0</v>
      </c>
    </row>
    <row r="3793" spans="23:34">
      <c r="W3793" s="177">
        <f t="shared" si="176"/>
        <v>0</v>
      </c>
      <c r="AB3793" s="178">
        <f t="shared" si="177"/>
        <v>0</v>
      </c>
      <c r="AH3793" s="177">
        <f t="shared" si="175"/>
        <v>0</v>
      </c>
    </row>
    <row r="3794" spans="23:34">
      <c r="W3794" s="177">
        <f t="shared" si="176"/>
        <v>0</v>
      </c>
      <c r="AB3794" s="178">
        <f t="shared" si="177"/>
        <v>0</v>
      </c>
      <c r="AH3794" s="177">
        <f t="shared" si="175"/>
        <v>0</v>
      </c>
    </row>
    <row r="3795" spans="23:34">
      <c r="W3795" s="177">
        <f t="shared" si="176"/>
        <v>0</v>
      </c>
      <c r="AB3795" s="178">
        <f t="shared" si="177"/>
        <v>0</v>
      </c>
      <c r="AH3795" s="177">
        <f t="shared" si="175"/>
        <v>0</v>
      </c>
    </row>
    <row r="3796" spans="23:34">
      <c r="W3796" s="177">
        <f t="shared" si="176"/>
        <v>0</v>
      </c>
      <c r="AB3796" s="178">
        <f t="shared" si="177"/>
        <v>0</v>
      </c>
      <c r="AH3796" s="177">
        <f t="shared" si="175"/>
        <v>0</v>
      </c>
    </row>
    <row r="3797" spans="23:34">
      <c r="W3797" s="177">
        <f t="shared" si="176"/>
        <v>0</v>
      </c>
      <c r="AB3797" s="178">
        <f t="shared" si="177"/>
        <v>0</v>
      </c>
      <c r="AH3797" s="177">
        <f t="shared" si="175"/>
        <v>0</v>
      </c>
    </row>
    <row r="3798" spans="23:34">
      <c r="W3798" s="177">
        <f t="shared" si="176"/>
        <v>0</v>
      </c>
      <c r="AB3798" s="178">
        <f t="shared" si="177"/>
        <v>0</v>
      </c>
      <c r="AH3798" s="177">
        <f t="shared" si="175"/>
        <v>0</v>
      </c>
    </row>
    <row r="3799" spans="23:34">
      <c r="W3799" s="177">
        <f t="shared" si="176"/>
        <v>0</v>
      </c>
      <c r="AB3799" s="178">
        <f t="shared" si="177"/>
        <v>0</v>
      </c>
      <c r="AH3799" s="177">
        <f t="shared" si="175"/>
        <v>0</v>
      </c>
    </row>
    <row r="3800" spans="23:34">
      <c r="W3800" s="177">
        <f t="shared" si="176"/>
        <v>0</v>
      </c>
      <c r="AB3800" s="178">
        <f t="shared" si="177"/>
        <v>0</v>
      </c>
      <c r="AH3800" s="177">
        <f t="shared" si="175"/>
        <v>0</v>
      </c>
    </row>
    <row r="3801" spans="23:34">
      <c r="W3801" s="177">
        <f t="shared" si="176"/>
        <v>0</v>
      </c>
      <c r="AB3801" s="178">
        <f t="shared" si="177"/>
        <v>0</v>
      </c>
      <c r="AH3801" s="177">
        <f t="shared" si="175"/>
        <v>0</v>
      </c>
    </row>
    <row r="3802" spans="23:34">
      <c r="W3802" s="177">
        <f t="shared" si="176"/>
        <v>0</v>
      </c>
      <c r="AB3802" s="178">
        <f t="shared" si="177"/>
        <v>0</v>
      </c>
      <c r="AH3802" s="177">
        <f t="shared" si="175"/>
        <v>0</v>
      </c>
    </row>
    <row r="3803" spans="23:34">
      <c r="W3803" s="177">
        <f t="shared" si="176"/>
        <v>0</v>
      </c>
      <c r="AB3803" s="178">
        <f t="shared" si="177"/>
        <v>0</v>
      </c>
      <c r="AH3803" s="177">
        <f t="shared" si="175"/>
        <v>0</v>
      </c>
    </row>
    <row r="3804" spans="23:34">
      <c r="W3804" s="177">
        <f t="shared" si="176"/>
        <v>0</v>
      </c>
      <c r="AB3804" s="178">
        <f t="shared" si="177"/>
        <v>0</v>
      </c>
      <c r="AH3804" s="177">
        <f t="shared" si="175"/>
        <v>0</v>
      </c>
    </row>
    <row r="3805" spans="23:34">
      <c r="W3805" s="177">
        <f t="shared" si="176"/>
        <v>0</v>
      </c>
      <c r="AB3805" s="178">
        <f t="shared" si="177"/>
        <v>0</v>
      </c>
      <c r="AH3805" s="177">
        <f t="shared" si="175"/>
        <v>0</v>
      </c>
    </row>
    <row r="3806" spans="23:34">
      <c r="W3806" s="177">
        <f t="shared" si="176"/>
        <v>0</v>
      </c>
      <c r="AB3806" s="178">
        <f t="shared" si="177"/>
        <v>0</v>
      </c>
      <c r="AH3806" s="177">
        <f t="shared" si="175"/>
        <v>0</v>
      </c>
    </row>
    <row r="3807" spans="23:34">
      <c r="W3807" s="177">
        <f t="shared" si="176"/>
        <v>0</v>
      </c>
      <c r="AB3807" s="178">
        <f t="shared" si="177"/>
        <v>0</v>
      </c>
      <c r="AH3807" s="177">
        <f t="shared" si="175"/>
        <v>0</v>
      </c>
    </row>
    <row r="3808" spans="23:34">
      <c r="W3808" s="177">
        <f t="shared" si="176"/>
        <v>0</v>
      </c>
      <c r="AB3808" s="178">
        <f t="shared" si="177"/>
        <v>0</v>
      </c>
      <c r="AH3808" s="177">
        <f t="shared" si="175"/>
        <v>0</v>
      </c>
    </row>
    <row r="3809" spans="23:34">
      <c r="W3809" s="177">
        <f t="shared" si="176"/>
        <v>0</v>
      </c>
      <c r="AB3809" s="178">
        <f t="shared" si="177"/>
        <v>0</v>
      </c>
      <c r="AH3809" s="177">
        <f t="shared" si="175"/>
        <v>0</v>
      </c>
    </row>
    <row r="3810" spans="23:34">
      <c r="W3810" s="177">
        <f t="shared" si="176"/>
        <v>0</v>
      </c>
      <c r="AB3810" s="178">
        <f t="shared" si="177"/>
        <v>0</v>
      </c>
      <c r="AH3810" s="177">
        <f t="shared" si="175"/>
        <v>0</v>
      </c>
    </row>
    <row r="3811" spans="23:34">
      <c r="W3811" s="177">
        <f t="shared" si="176"/>
        <v>0</v>
      </c>
      <c r="AB3811" s="178">
        <f t="shared" si="177"/>
        <v>0</v>
      </c>
      <c r="AH3811" s="177">
        <f t="shared" si="175"/>
        <v>0</v>
      </c>
    </row>
    <row r="3812" spans="23:34">
      <c r="W3812" s="177">
        <f t="shared" si="176"/>
        <v>0</v>
      </c>
      <c r="AB3812" s="178">
        <f t="shared" si="177"/>
        <v>0</v>
      </c>
      <c r="AH3812" s="177">
        <f t="shared" si="175"/>
        <v>0</v>
      </c>
    </row>
    <row r="3813" spans="23:34">
      <c r="W3813" s="177">
        <f t="shared" si="176"/>
        <v>0</v>
      </c>
      <c r="AB3813" s="178">
        <f t="shared" si="177"/>
        <v>0</v>
      </c>
      <c r="AH3813" s="177">
        <f t="shared" si="175"/>
        <v>0</v>
      </c>
    </row>
    <row r="3814" spans="23:34">
      <c r="W3814" s="177">
        <f t="shared" si="176"/>
        <v>0</v>
      </c>
      <c r="AB3814" s="178">
        <f t="shared" si="177"/>
        <v>0</v>
      </c>
      <c r="AH3814" s="177">
        <f t="shared" si="175"/>
        <v>0</v>
      </c>
    </row>
    <row r="3815" spans="23:34">
      <c r="W3815" s="177">
        <f t="shared" si="176"/>
        <v>0</v>
      </c>
      <c r="AB3815" s="178">
        <f t="shared" si="177"/>
        <v>0</v>
      </c>
      <c r="AH3815" s="177">
        <f t="shared" si="175"/>
        <v>0</v>
      </c>
    </row>
    <row r="3816" spans="23:34">
      <c r="W3816" s="177">
        <f t="shared" si="176"/>
        <v>0</v>
      </c>
      <c r="AB3816" s="178">
        <f t="shared" si="177"/>
        <v>0</v>
      </c>
      <c r="AH3816" s="177">
        <f t="shared" si="175"/>
        <v>0</v>
      </c>
    </row>
    <row r="3817" spans="23:34">
      <c r="W3817" s="177">
        <f t="shared" si="176"/>
        <v>0</v>
      </c>
      <c r="AB3817" s="178">
        <f t="shared" si="177"/>
        <v>0</v>
      </c>
      <c r="AH3817" s="177">
        <f t="shared" si="175"/>
        <v>0</v>
      </c>
    </row>
    <row r="3818" spans="23:34">
      <c r="W3818" s="177">
        <f t="shared" si="176"/>
        <v>0</v>
      </c>
      <c r="AB3818" s="178">
        <f t="shared" si="177"/>
        <v>0</v>
      </c>
      <c r="AH3818" s="177">
        <f t="shared" si="175"/>
        <v>0</v>
      </c>
    </row>
    <row r="3819" spans="23:34">
      <c r="W3819" s="177">
        <f t="shared" si="176"/>
        <v>0</v>
      </c>
      <c r="AB3819" s="178">
        <f t="shared" si="177"/>
        <v>0</v>
      </c>
      <c r="AH3819" s="177">
        <f t="shared" si="175"/>
        <v>0</v>
      </c>
    </row>
    <row r="3820" spans="23:34">
      <c r="W3820" s="177">
        <f t="shared" si="176"/>
        <v>0</v>
      </c>
      <c r="AB3820" s="178">
        <f t="shared" si="177"/>
        <v>0</v>
      </c>
      <c r="AH3820" s="177">
        <f t="shared" si="175"/>
        <v>0</v>
      </c>
    </row>
    <row r="3821" spans="23:34">
      <c r="W3821" s="177">
        <f t="shared" si="176"/>
        <v>0</v>
      </c>
      <c r="AB3821" s="178">
        <f t="shared" si="177"/>
        <v>0</v>
      </c>
      <c r="AH3821" s="177">
        <f t="shared" si="175"/>
        <v>0</v>
      </c>
    </row>
    <row r="3822" spans="23:34">
      <c r="W3822" s="177">
        <f t="shared" si="176"/>
        <v>0</v>
      </c>
      <c r="AB3822" s="178">
        <f t="shared" si="177"/>
        <v>0</v>
      </c>
      <c r="AH3822" s="177">
        <f t="shared" si="175"/>
        <v>0</v>
      </c>
    </row>
    <row r="3823" spans="23:34">
      <c r="W3823" s="177">
        <f t="shared" si="176"/>
        <v>0</v>
      </c>
      <c r="AB3823" s="178">
        <f t="shared" si="177"/>
        <v>0</v>
      </c>
      <c r="AH3823" s="177">
        <f t="shared" si="175"/>
        <v>0</v>
      </c>
    </row>
    <row r="3824" spans="23:34">
      <c r="W3824" s="177">
        <f t="shared" si="176"/>
        <v>0</v>
      </c>
      <c r="AB3824" s="178">
        <f t="shared" si="177"/>
        <v>0</v>
      </c>
      <c r="AH3824" s="177">
        <f t="shared" ref="AH3824:AH3887" si="178">SUM(AF3824:AG3824)</f>
        <v>0</v>
      </c>
    </row>
    <row r="3825" spans="23:34">
      <c r="W3825" s="177">
        <f t="shared" si="176"/>
        <v>0</v>
      </c>
      <c r="AB3825" s="178">
        <f t="shared" si="177"/>
        <v>0</v>
      </c>
      <c r="AH3825" s="177">
        <f t="shared" si="178"/>
        <v>0</v>
      </c>
    </row>
    <row r="3826" spans="23:34">
      <c r="W3826" s="177">
        <f t="shared" si="176"/>
        <v>0</v>
      </c>
      <c r="AB3826" s="178">
        <f t="shared" si="177"/>
        <v>0</v>
      </c>
      <c r="AH3826" s="177">
        <f t="shared" si="178"/>
        <v>0</v>
      </c>
    </row>
    <row r="3827" spans="23:34">
      <c r="W3827" s="177">
        <f t="shared" ref="W3827:W3890" si="179">SUM(Q3827:T3827)</f>
        <v>0</v>
      </c>
      <c r="AB3827" s="178">
        <f t="shared" si="177"/>
        <v>0</v>
      </c>
      <c r="AH3827" s="177">
        <f t="shared" si="178"/>
        <v>0</v>
      </c>
    </row>
    <row r="3828" spans="23:34">
      <c r="W3828" s="177">
        <f t="shared" si="179"/>
        <v>0</v>
      </c>
      <c r="AB3828" s="178">
        <f t="shared" si="177"/>
        <v>0</v>
      </c>
      <c r="AH3828" s="177">
        <f t="shared" si="178"/>
        <v>0</v>
      </c>
    </row>
    <row r="3829" spans="23:34">
      <c r="W3829" s="177">
        <f t="shared" si="179"/>
        <v>0</v>
      </c>
      <c r="AB3829" s="178">
        <f t="shared" si="177"/>
        <v>0</v>
      </c>
      <c r="AH3829" s="177">
        <f t="shared" si="178"/>
        <v>0</v>
      </c>
    </row>
    <row r="3830" spans="23:34">
      <c r="W3830" s="177">
        <f t="shared" si="179"/>
        <v>0</v>
      </c>
      <c r="AB3830" s="178">
        <f t="shared" si="177"/>
        <v>0</v>
      </c>
      <c r="AH3830" s="177">
        <f t="shared" si="178"/>
        <v>0</v>
      </c>
    </row>
    <row r="3831" spans="23:34">
      <c r="W3831" s="177">
        <f t="shared" si="179"/>
        <v>0</v>
      </c>
      <c r="AB3831" s="178">
        <f t="shared" si="177"/>
        <v>0</v>
      </c>
      <c r="AH3831" s="177">
        <f t="shared" si="178"/>
        <v>0</v>
      </c>
    </row>
    <row r="3832" spans="23:34">
      <c r="W3832" s="177">
        <f t="shared" si="179"/>
        <v>0</v>
      </c>
      <c r="AB3832" s="178">
        <f t="shared" si="177"/>
        <v>0</v>
      </c>
      <c r="AH3832" s="177">
        <f t="shared" si="178"/>
        <v>0</v>
      </c>
    </row>
    <row r="3833" spans="23:34">
      <c r="W3833" s="177">
        <f t="shared" si="179"/>
        <v>0</v>
      </c>
      <c r="AB3833" s="178">
        <f t="shared" si="177"/>
        <v>0</v>
      </c>
      <c r="AH3833" s="177">
        <f t="shared" si="178"/>
        <v>0</v>
      </c>
    </row>
    <row r="3834" spans="23:34">
      <c r="W3834" s="177">
        <f t="shared" si="179"/>
        <v>0</v>
      </c>
      <c r="AB3834" s="178">
        <f t="shared" si="177"/>
        <v>0</v>
      </c>
      <c r="AH3834" s="177">
        <f t="shared" si="178"/>
        <v>0</v>
      </c>
    </row>
    <row r="3835" spans="23:34">
      <c r="W3835" s="177">
        <f t="shared" si="179"/>
        <v>0</v>
      </c>
      <c r="AB3835" s="178">
        <f t="shared" ref="AB3835:AB3898" si="180">SUM(Z3835:AA3835)</f>
        <v>0</v>
      </c>
      <c r="AH3835" s="177">
        <f t="shared" si="178"/>
        <v>0</v>
      </c>
    </row>
    <row r="3836" spans="23:34">
      <c r="W3836" s="177">
        <f t="shared" si="179"/>
        <v>0</v>
      </c>
      <c r="AB3836" s="178">
        <f t="shared" si="180"/>
        <v>0</v>
      </c>
      <c r="AH3836" s="177">
        <f t="shared" si="178"/>
        <v>0</v>
      </c>
    </row>
    <row r="3837" spans="23:34">
      <c r="W3837" s="177">
        <f t="shared" si="179"/>
        <v>0</v>
      </c>
      <c r="AB3837" s="178">
        <f t="shared" si="180"/>
        <v>0</v>
      </c>
      <c r="AH3837" s="177">
        <f t="shared" si="178"/>
        <v>0</v>
      </c>
    </row>
    <row r="3838" spans="23:34">
      <c r="W3838" s="177">
        <f t="shared" si="179"/>
        <v>0</v>
      </c>
      <c r="AB3838" s="178">
        <f t="shared" si="180"/>
        <v>0</v>
      </c>
      <c r="AH3838" s="177">
        <f t="shared" si="178"/>
        <v>0</v>
      </c>
    </row>
    <row r="3839" spans="23:34">
      <c r="W3839" s="177">
        <f t="shared" si="179"/>
        <v>0</v>
      </c>
      <c r="AB3839" s="178">
        <f t="shared" si="180"/>
        <v>0</v>
      </c>
      <c r="AH3839" s="177">
        <f t="shared" si="178"/>
        <v>0</v>
      </c>
    </row>
    <row r="3840" spans="23:34">
      <c r="W3840" s="177">
        <f t="shared" si="179"/>
        <v>0</v>
      </c>
      <c r="AB3840" s="178">
        <f t="shared" si="180"/>
        <v>0</v>
      </c>
      <c r="AH3840" s="177">
        <f t="shared" si="178"/>
        <v>0</v>
      </c>
    </row>
    <row r="3841" spans="23:34">
      <c r="W3841" s="177">
        <f t="shared" si="179"/>
        <v>0</v>
      </c>
      <c r="AB3841" s="178">
        <f t="shared" si="180"/>
        <v>0</v>
      </c>
      <c r="AH3841" s="177">
        <f t="shared" si="178"/>
        <v>0</v>
      </c>
    </row>
    <row r="3842" spans="23:34">
      <c r="W3842" s="177">
        <f t="shared" si="179"/>
        <v>0</v>
      </c>
      <c r="AB3842" s="178">
        <f t="shared" si="180"/>
        <v>0</v>
      </c>
      <c r="AH3842" s="177">
        <f t="shared" si="178"/>
        <v>0</v>
      </c>
    </row>
    <row r="3843" spans="23:34">
      <c r="W3843" s="177">
        <f t="shared" si="179"/>
        <v>0</v>
      </c>
      <c r="AB3843" s="178">
        <f t="shared" si="180"/>
        <v>0</v>
      </c>
      <c r="AH3843" s="177">
        <f t="shared" si="178"/>
        <v>0</v>
      </c>
    </row>
    <row r="3844" spans="23:34">
      <c r="W3844" s="177">
        <f t="shared" si="179"/>
        <v>0</v>
      </c>
      <c r="AB3844" s="178">
        <f t="shared" si="180"/>
        <v>0</v>
      </c>
      <c r="AH3844" s="177">
        <f t="shared" si="178"/>
        <v>0</v>
      </c>
    </row>
    <row r="3845" spans="23:34">
      <c r="W3845" s="177">
        <f t="shared" si="179"/>
        <v>0</v>
      </c>
      <c r="AB3845" s="178">
        <f t="shared" si="180"/>
        <v>0</v>
      </c>
      <c r="AH3845" s="177">
        <f t="shared" si="178"/>
        <v>0</v>
      </c>
    </row>
    <row r="3846" spans="23:34">
      <c r="W3846" s="177">
        <f t="shared" si="179"/>
        <v>0</v>
      </c>
      <c r="AB3846" s="178">
        <f t="shared" si="180"/>
        <v>0</v>
      </c>
      <c r="AH3846" s="177">
        <f t="shared" si="178"/>
        <v>0</v>
      </c>
    </row>
    <row r="3847" spans="23:34">
      <c r="W3847" s="177">
        <f t="shared" si="179"/>
        <v>0</v>
      </c>
      <c r="AB3847" s="178">
        <f t="shared" si="180"/>
        <v>0</v>
      </c>
      <c r="AH3847" s="177">
        <f t="shared" si="178"/>
        <v>0</v>
      </c>
    </row>
    <row r="3848" spans="23:34">
      <c r="W3848" s="177">
        <f t="shared" si="179"/>
        <v>0</v>
      </c>
      <c r="AB3848" s="178">
        <f t="shared" si="180"/>
        <v>0</v>
      </c>
      <c r="AH3848" s="177">
        <f t="shared" si="178"/>
        <v>0</v>
      </c>
    </row>
    <row r="3849" spans="23:34">
      <c r="W3849" s="177">
        <f t="shared" si="179"/>
        <v>0</v>
      </c>
      <c r="AB3849" s="178">
        <f t="shared" si="180"/>
        <v>0</v>
      </c>
      <c r="AH3849" s="177">
        <f t="shared" si="178"/>
        <v>0</v>
      </c>
    </row>
    <row r="3850" spans="23:34">
      <c r="W3850" s="177">
        <f t="shared" si="179"/>
        <v>0</v>
      </c>
      <c r="AB3850" s="178">
        <f t="shared" si="180"/>
        <v>0</v>
      </c>
      <c r="AH3850" s="177">
        <f t="shared" si="178"/>
        <v>0</v>
      </c>
    </row>
    <row r="3851" spans="23:34">
      <c r="W3851" s="177">
        <f t="shared" si="179"/>
        <v>0</v>
      </c>
      <c r="AB3851" s="178">
        <f t="shared" si="180"/>
        <v>0</v>
      </c>
      <c r="AH3851" s="177">
        <f t="shared" si="178"/>
        <v>0</v>
      </c>
    </row>
    <row r="3852" spans="23:34">
      <c r="W3852" s="177">
        <f t="shared" si="179"/>
        <v>0</v>
      </c>
      <c r="AB3852" s="178">
        <f t="shared" si="180"/>
        <v>0</v>
      </c>
      <c r="AH3852" s="177">
        <f t="shared" si="178"/>
        <v>0</v>
      </c>
    </row>
    <row r="3853" spans="23:34">
      <c r="W3853" s="177">
        <f t="shared" si="179"/>
        <v>0</v>
      </c>
      <c r="AB3853" s="178">
        <f t="shared" si="180"/>
        <v>0</v>
      </c>
      <c r="AH3853" s="177">
        <f t="shared" si="178"/>
        <v>0</v>
      </c>
    </row>
    <row r="3854" spans="23:34">
      <c r="W3854" s="177">
        <f t="shared" si="179"/>
        <v>0</v>
      </c>
      <c r="AB3854" s="178">
        <f t="shared" si="180"/>
        <v>0</v>
      </c>
      <c r="AH3854" s="177">
        <f t="shared" si="178"/>
        <v>0</v>
      </c>
    </row>
    <row r="3855" spans="23:34">
      <c r="W3855" s="177">
        <f t="shared" si="179"/>
        <v>0</v>
      </c>
      <c r="AB3855" s="178">
        <f t="shared" si="180"/>
        <v>0</v>
      </c>
      <c r="AH3855" s="177">
        <f t="shared" si="178"/>
        <v>0</v>
      </c>
    </row>
    <row r="3856" spans="23:34">
      <c r="W3856" s="177">
        <f t="shared" si="179"/>
        <v>0</v>
      </c>
      <c r="AB3856" s="178">
        <f t="shared" si="180"/>
        <v>0</v>
      </c>
      <c r="AH3856" s="177">
        <f t="shared" si="178"/>
        <v>0</v>
      </c>
    </row>
    <row r="3857" spans="23:34">
      <c r="W3857" s="177">
        <f t="shared" si="179"/>
        <v>0</v>
      </c>
      <c r="AB3857" s="178">
        <f t="shared" si="180"/>
        <v>0</v>
      </c>
      <c r="AH3857" s="177">
        <f t="shared" si="178"/>
        <v>0</v>
      </c>
    </row>
    <row r="3858" spans="23:34">
      <c r="W3858" s="177">
        <f t="shared" si="179"/>
        <v>0</v>
      </c>
      <c r="AB3858" s="178">
        <f t="shared" si="180"/>
        <v>0</v>
      </c>
      <c r="AH3858" s="177">
        <f t="shared" si="178"/>
        <v>0</v>
      </c>
    </row>
    <row r="3859" spans="23:34">
      <c r="W3859" s="177">
        <f t="shared" si="179"/>
        <v>0</v>
      </c>
      <c r="AB3859" s="178">
        <f t="shared" si="180"/>
        <v>0</v>
      </c>
      <c r="AH3859" s="177">
        <f t="shared" si="178"/>
        <v>0</v>
      </c>
    </row>
    <row r="3860" spans="23:34">
      <c r="W3860" s="177">
        <f t="shared" si="179"/>
        <v>0</v>
      </c>
      <c r="AB3860" s="178">
        <f t="shared" si="180"/>
        <v>0</v>
      </c>
      <c r="AH3860" s="177">
        <f t="shared" si="178"/>
        <v>0</v>
      </c>
    </row>
    <row r="3861" spans="23:34">
      <c r="W3861" s="177">
        <f t="shared" si="179"/>
        <v>0</v>
      </c>
      <c r="AB3861" s="178">
        <f t="shared" si="180"/>
        <v>0</v>
      </c>
      <c r="AH3861" s="177">
        <f t="shared" si="178"/>
        <v>0</v>
      </c>
    </row>
    <row r="3862" spans="23:34">
      <c r="W3862" s="177">
        <f t="shared" si="179"/>
        <v>0</v>
      </c>
      <c r="AB3862" s="178">
        <f t="shared" si="180"/>
        <v>0</v>
      </c>
      <c r="AH3862" s="177">
        <f t="shared" si="178"/>
        <v>0</v>
      </c>
    </row>
    <row r="3863" spans="23:34">
      <c r="W3863" s="177">
        <f t="shared" si="179"/>
        <v>0</v>
      </c>
      <c r="AB3863" s="178">
        <f t="shared" si="180"/>
        <v>0</v>
      </c>
      <c r="AH3863" s="177">
        <f t="shared" si="178"/>
        <v>0</v>
      </c>
    </row>
    <row r="3864" spans="23:34">
      <c r="W3864" s="177">
        <f t="shared" si="179"/>
        <v>0</v>
      </c>
      <c r="AB3864" s="178">
        <f t="shared" si="180"/>
        <v>0</v>
      </c>
      <c r="AH3864" s="177">
        <f t="shared" si="178"/>
        <v>0</v>
      </c>
    </row>
    <row r="3865" spans="23:34">
      <c r="W3865" s="177">
        <f t="shared" si="179"/>
        <v>0</v>
      </c>
      <c r="AB3865" s="178">
        <f t="shared" si="180"/>
        <v>0</v>
      </c>
      <c r="AH3865" s="177">
        <f t="shared" si="178"/>
        <v>0</v>
      </c>
    </row>
    <row r="3866" spans="23:34">
      <c r="W3866" s="177">
        <f t="shared" si="179"/>
        <v>0</v>
      </c>
      <c r="AB3866" s="178">
        <f t="shared" si="180"/>
        <v>0</v>
      </c>
      <c r="AH3866" s="177">
        <f t="shared" si="178"/>
        <v>0</v>
      </c>
    </row>
    <row r="3867" spans="23:34">
      <c r="W3867" s="177">
        <f t="shared" si="179"/>
        <v>0</v>
      </c>
      <c r="AB3867" s="178">
        <f t="shared" si="180"/>
        <v>0</v>
      </c>
      <c r="AH3867" s="177">
        <f t="shared" si="178"/>
        <v>0</v>
      </c>
    </row>
    <row r="3868" spans="23:34">
      <c r="W3868" s="177">
        <f t="shared" si="179"/>
        <v>0</v>
      </c>
      <c r="AB3868" s="178">
        <f t="shared" si="180"/>
        <v>0</v>
      </c>
      <c r="AH3868" s="177">
        <f t="shared" si="178"/>
        <v>0</v>
      </c>
    </row>
    <row r="3869" spans="23:34">
      <c r="W3869" s="177">
        <f t="shared" si="179"/>
        <v>0</v>
      </c>
      <c r="AB3869" s="178">
        <f t="shared" si="180"/>
        <v>0</v>
      </c>
      <c r="AH3869" s="177">
        <f t="shared" si="178"/>
        <v>0</v>
      </c>
    </row>
    <row r="3870" spans="23:34">
      <c r="W3870" s="177">
        <f t="shared" si="179"/>
        <v>0</v>
      </c>
      <c r="AB3870" s="178">
        <f t="shared" si="180"/>
        <v>0</v>
      </c>
      <c r="AH3870" s="177">
        <f t="shared" si="178"/>
        <v>0</v>
      </c>
    </row>
    <row r="3871" spans="23:34">
      <c r="W3871" s="177">
        <f t="shared" si="179"/>
        <v>0</v>
      </c>
      <c r="AB3871" s="178">
        <f t="shared" si="180"/>
        <v>0</v>
      </c>
      <c r="AH3871" s="177">
        <f t="shared" si="178"/>
        <v>0</v>
      </c>
    </row>
    <row r="3872" spans="23:34">
      <c r="W3872" s="177">
        <f t="shared" si="179"/>
        <v>0</v>
      </c>
      <c r="AB3872" s="178">
        <f t="shared" si="180"/>
        <v>0</v>
      </c>
      <c r="AH3872" s="177">
        <f t="shared" si="178"/>
        <v>0</v>
      </c>
    </row>
    <row r="3873" spans="23:34">
      <c r="W3873" s="177">
        <f t="shared" si="179"/>
        <v>0</v>
      </c>
      <c r="AB3873" s="178">
        <f t="shared" si="180"/>
        <v>0</v>
      </c>
      <c r="AH3873" s="177">
        <f t="shared" si="178"/>
        <v>0</v>
      </c>
    </row>
    <row r="3874" spans="23:34">
      <c r="W3874" s="177">
        <f t="shared" si="179"/>
        <v>0</v>
      </c>
      <c r="AB3874" s="178">
        <f t="shared" si="180"/>
        <v>0</v>
      </c>
      <c r="AH3874" s="177">
        <f t="shared" si="178"/>
        <v>0</v>
      </c>
    </row>
    <row r="3875" spans="23:34">
      <c r="W3875" s="177">
        <f t="shared" si="179"/>
        <v>0</v>
      </c>
      <c r="AB3875" s="178">
        <f t="shared" si="180"/>
        <v>0</v>
      </c>
      <c r="AH3875" s="177">
        <f t="shared" si="178"/>
        <v>0</v>
      </c>
    </row>
    <row r="3876" spans="23:34">
      <c r="W3876" s="177">
        <f t="shared" si="179"/>
        <v>0</v>
      </c>
      <c r="AB3876" s="178">
        <f t="shared" si="180"/>
        <v>0</v>
      </c>
      <c r="AH3876" s="177">
        <f t="shared" si="178"/>
        <v>0</v>
      </c>
    </row>
    <row r="3877" spans="23:34">
      <c r="W3877" s="177">
        <f t="shared" si="179"/>
        <v>0</v>
      </c>
      <c r="AB3877" s="178">
        <f t="shared" si="180"/>
        <v>0</v>
      </c>
      <c r="AH3877" s="177">
        <f t="shared" si="178"/>
        <v>0</v>
      </c>
    </row>
    <row r="3878" spans="23:34">
      <c r="W3878" s="177">
        <f t="shared" si="179"/>
        <v>0</v>
      </c>
      <c r="AB3878" s="178">
        <f t="shared" si="180"/>
        <v>0</v>
      </c>
      <c r="AH3878" s="177">
        <f t="shared" si="178"/>
        <v>0</v>
      </c>
    </row>
    <row r="3879" spans="23:34">
      <c r="W3879" s="177">
        <f t="shared" si="179"/>
        <v>0</v>
      </c>
      <c r="AB3879" s="178">
        <f t="shared" si="180"/>
        <v>0</v>
      </c>
      <c r="AH3879" s="177">
        <f t="shared" si="178"/>
        <v>0</v>
      </c>
    </row>
    <row r="3880" spans="23:34">
      <c r="W3880" s="177">
        <f t="shared" si="179"/>
        <v>0</v>
      </c>
      <c r="AB3880" s="178">
        <f t="shared" si="180"/>
        <v>0</v>
      </c>
      <c r="AH3880" s="177">
        <f t="shared" si="178"/>
        <v>0</v>
      </c>
    </row>
    <row r="3881" spans="23:34">
      <c r="W3881" s="177">
        <f t="shared" si="179"/>
        <v>0</v>
      </c>
      <c r="AB3881" s="178">
        <f t="shared" si="180"/>
        <v>0</v>
      </c>
      <c r="AH3881" s="177">
        <f t="shared" si="178"/>
        <v>0</v>
      </c>
    </row>
    <row r="3882" spans="23:34">
      <c r="W3882" s="177">
        <f t="shared" si="179"/>
        <v>0</v>
      </c>
      <c r="AB3882" s="178">
        <f t="shared" si="180"/>
        <v>0</v>
      </c>
      <c r="AH3882" s="177">
        <f t="shared" si="178"/>
        <v>0</v>
      </c>
    </row>
    <row r="3883" spans="23:34">
      <c r="W3883" s="177">
        <f t="shared" si="179"/>
        <v>0</v>
      </c>
      <c r="AB3883" s="178">
        <f t="shared" si="180"/>
        <v>0</v>
      </c>
      <c r="AH3883" s="177">
        <f t="shared" si="178"/>
        <v>0</v>
      </c>
    </row>
    <row r="3884" spans="23:34">
      <c r="W3884" s="177">
        <f t="shared" si="179"/>
        <v>0</v>
      </c>
      <c r="AB3884" s="178">
        <f t="shared" si="180"/>
        <v>0</v>
      </c>
      <c r="AH3884" s="177">
        <f t="shared" si="178"/>
        <v>0</v>
      </c>
    </row>
    <row r="3885" spans="23:34">
      <c r="W3885" s="177">
        <f t="shared" si="179"/>
        <v>0</v>
      </c>
      <c r="AB3885" s="178">
        <f t="shared" si="180"/>
        <v>0</v>
      </c>
      <c r="AH3885" s="177">
        <f t="shared" si="178"/>
        <v>0</v>
      </c>
    </row>
    <row r="3886" spans="23:34">
      <c r="W3886" s="177">
        <f t="shared" si="179"/>
        <v>0</v>
      </c>
      <c r="AB3886" s="178">
        <f t="shared" si="180"/>
        <v>0</v>
      </c>
      <c r="AH3886" s="177">
        <f t="shared" si="178"/>
        <v>0</v>
      </c>
    </row>
    <row r="3887" spans="23:34">
      <c r="W3887" s="177">
        <f t="shared" si="179"/>
        <v>0</v>
      </c>
      <c r="AB3887" s="178">
        <f t="shared" si="180"/>
        <v>0</v>
      </c>
      <c r="AH3887" s="177">
        <f t="shared" si="178"/>
        <v>0</v>
      </c>
    </row>
    <row r="3888" spans="23:34">
      <c r="W3888" s="177">
        <f t="shared" si="179"/>
        <v>0</v>
      </c>
      <c r="AB3888" s="178">
        <f t="shared" si="180"/>
        <v>0</v>
      </c>
      <c r="AH3888" s="177">
        <f t="shared" ref="AH3888:AH3951" si="181">SUM(AF3888:AG3888)</f>
        <v>0</v>
      </c>
    </row>
    <row r="3889" spans="23:34">
      <c r="W3889" s="177">
        <f t="shared" si="179"/>
        <v>0</v>
      </c>
      <c r="AB3889" s="178">
        <f t="shared" si="180"/>
        <v>0</v>
      </c>
      <c r="AH3889" s="177">
        <f t="shared" si="181"/>
        <v>0</v>
      </c>
    </row>
    <row r="3890" spans="23:34">
      <c r="W3890" s="177">
        <f t="shared" si="179"/>
        <v>0</v>
      </c>
      <c r="AB3890" s="178">
        <f t="shared" si="180"/>
        <v>0</v>
      </c>
      <c r="AH3890" s="177">
        <f t="shared" si="181"/>
        <v>0</v>
      </c>
    </row>
    <row r="3891" spans="23:34">
      <c r="W3891" s="177">
        <f t="shared" ref="W3891:W3954" si="182">SUM(Q3891:T3891)</f>
        <v>0</v>
      </c>
      <c r="AB3891" s="178">
        <f t="shared" si="180"/>
        <v>0</v>
      </c>
      <c r="AH3891" s="177">
        <f t="shared" si="181"/>
        <v>0</v>
      </c>
    </row>
    <row r="3892" spans="23:34">
      <c r="W3892" s="177">
        <f t="shared" si="182"/>
        <v>0</v>
      </c>
      <c r="AB3892" s="178">
        <f t="shared" si="180"/>
        <v>0</v>
      </c>
      <c r="AH3892" s="177">
        <f t="shared" si="181"/>
        <v>0</v>
      </c>
    </row>
    <row r="3893" spans="23:34">
      <c r="W3893" s="177">
        <f t="shared" si="182"/>
        <v>0</v>
      </c>
      <c r="AB3893" s="178">
        <f t="shared" si="180"/>
        <v>0</v>
      </c>
      <c r="AH3893" s="177">
        <f t="shared" si="181"/>
        <v>0</v>
      </c>
    </row>
    <row r="3894" spans="23:34">
      <c r="W3894" s="177">
        <f t="shared" si="182"/>
        <v>0</v>
      </c>
      <c r="AB3894" s="178">
        <f t="shared" si="180"/>
        <v>0</v>
      </c>
      <c r="AH3894" s="177">
        <f t="shared" si="181"/>
        <v>0</v>
      </c>
    </row>
    <row r="3895" spans="23:34">
      <c r="W3895" s="177">
        <f t="shared" si="182"/>
        <v>0</v>
      </c>
      <c r="AB3895" s="178">
        <f t="shared" si="180"/>
        <v>0</v>
      </c>
      <c r="AH3895" s="177">
        <f t="shared" si="181"/>
        <v>0</v>
      </c>
    </row>
    <row r="3896" spans="23:34">
      <c r="W3896" s="177">
        <f t="shared" si="182"/>
        <v>0</v>
      </c>
      <c r="AB3896" s="178">
        <f t="shared" si="180"/>
        <v>0</v>
      </c>
      <c r="AH3896" s="177">
        <f t="shared" si="181"/>
        <v>0</v>
      </c>
    </row>
    <row r="3897" spans="23:34">
      <c r="W3897" s="177">
        <f t="shared" si="182"/>
        <v>0</v>
      </c>
      <c r="AB3897" s="178">
        <f t="shared" si="180"/>
        <v>0</v>
      </c>
      <c r="AH3897" s="177">
        <f t="shared" si="181"/>
        <v>0</v>
      </c>
    </row>
    <row r="3898" spans="23:34">
      <c r="W3898" s="177">
        <f t="shared" si="182"/>
        <v>0</v>
      </c>
      <c r="AB3898" s="178">
        <f t="shared" si="180"/>
        <v>0</v>
      </c>
      <c r="AH3898" s="177">
        <f t="shared" si="181"/>
        <v>0</v>
      </c>
    </row>
    <row r="3899" spans="23:34">
      <c r="W3899" s="177">
        <f t="shared" si="182"/>
        <v>0</v>
      </c>
      <c r="AB3899" s="178">
        <f t="shared" ref="AB3899:AB3962" si="183">SUM(Z3899:AA3899)</f>
        <v>0</v>
      </c>
      <c r="AH3899" s="177">
        <f t="shared" si="181"/>
        <v>0</v>
      </c>
    </row>
    <row r="3900" spans="23:34">
      <c r="W3900" s="177">
        <f t="shared" si="182"/>
        <v>0</v>
      </c>
      <c r="AB3900" s="178">
        <f t="shared" si="183"/>
        <v>0</v>
      </c>
      <c r="AH3900" s="177">
        <f t="shared" si="181"/>
        <v>0</v>
      </c>
    </row>
    <row r="3901" spans="23:34">
      <c r="W3901" s="177">
        <f t="shared" si="182"/>
        <v>0</v>
      </c>
      <c r="AB3901" s="178">
        <f t="shared" si="183"/>
        <v>0</v>
      </c>
      <c r="AH3901" s="177">
        <f t="shared" si="181"/>
        <v>0</v>
      </c>
    </row>
    <row r="3902" spans="23:34">
      <c r="W3902" s="177">
        <f t="shared" si="182"/>
        <v>0</v>
      </c>
      <c r="AB3902" s="178">
        <f t="shared" si="183"/>
        <v>0</v>
      </c>
      <c r="AH3902" s="177">
        <f t="shared" si="181"/>
        <v>0</v>
      </c>
    </row>
    <row r="3903" spans="23:34">
      <c r="W3903" s="177">
        <f t="shared" si="182"/>
        <v>0</v>
      </c>
      <c r="AB3903" s="178">
        <f t="shared" si="183"/>
        <v>0</v>
      </c>
      <c r="AH3903" s="177">
        <f t="shared" si="181"/>
        <v>0</v>
      </c>
    </row>
    <row r="3904" spans="23:34">
      <c r="W3904" s="177">
        <f t="shared" si="182"/>
        <v>0</v>
      </c>
      <c r="AB3904" s="178">
        <f t="shared" si="183"/>
        <v>0</v>
      </c>
      <c r="AH3904" s="177">
        <f t="shared" si="181"/>
        <v>0</v>
      </c>
    </row>
    <row r="3905" spans="23:34">
      <c r="W3905" s="177">
        <f t="shared" si="182"/>
        <v>0</v>
      </c>
      <c r="AB3905" s="178">
        <f t="shared" si="183"/>
        <v>0</v>
      </c>
      <c r="AH3905" s="177">
        <f t="shared" si="181"/>
        <v>0</v>
      </c>
    </row>
    <row r="3906" spans="23:34">
      <c r="W3906" s="177">
        <f t="shared" si="182"/>
        <v>0</v>
      </c>
      <c r="AB3906" s="178">
        <f t="shared" si="183"/>
        <v>0</v>
      </c>
      <c r="AH3906" s="177">
        <f t="shared" si="181"/>
        <v>0</v>
      </c>
    </row>
    <row r="3907" spans="23:34">
      <c r="W3907" s="177">
        <f t="shared" si="182"/>
        <v>0</v>
      </c>
      <c r="AB3907" s="178">
        <f t="shared" si="183"/>
        <v>0</v>
      </c>
      <c r="AH3907" s="177">
        <f t="shared" si="181"/>
        <v>0</v>
      </c>
    </row>
    <row r="3908" spans="23:34">
      <c r="W3908" s="177">
        <f t="shared" si="182"/>
        <v>0</v>
      </c>
      <c r="AB3908" s="178">
        <f t="shared" si="183"/>
        <v>0</v>
      </c>
      <c r="AH3908" s="177">
        <f t="shared" si="181"/>
        <v>0</v>
      </c>
    </row>
    <row r="3909" spans="23:34">
      <c r="W3909" s="177">
        <f t="shared" si="182"/>
        <v>0</v>
      </c>
      <c r="AB3909" s="178">
        <f t="shared" si="183"/>
        <v>0</v>
      </c>
      <c r="AH3909" s="177">
        <f t="shared" si="181"/>
        <v>0</v>
      </c>
    </row>
    <row r="3910" spans="23:34">
      <c r="W3910" s="177">
        <f t="shared" si="182"/>
        <v>0</v>
      </c>
      <c r="AB3910" s="178">
        <f t="shared" si="183"/>
        <v>0</v>
      </c>
      <c r="AH3910" s="177">
        <f t="shared" si="181"/>
        <v>0</v>
      </c>
    </row>
    <row r="3911" spans="23:34">
      <c r="W3911" s="177">
        <f t="shared" si="182"/>
        <v>0</v>
      </c>
      <c r="AB3911" s="178">
        <f t="shared" si="183"/>
        <v>0</v>
      </c>
      <c r="AH3911" s="177">
        <f t="shared" si="181"/>
        <v>0</v>
      </c>
    </row>
    <row r="3912" spans="23:34">
      <c r="W3912" s="177">
        <f t="shared" si="182"/>
        <v>0</v>
      </c>
      <c r="AB3912" s="178">
        <f t="shared" si="183"/>
        <v>0</v>
      </c>
      <c r="AH3912" s="177">
        <f t="shared" si="181"/>
        <v>0</v>
      </c>
    </row>
    <row r="3913" spans="23:34">
      <c r="W3913" s="177">
        <f t="shared" si="182"/>
        <v>0</v>
      </c>
      <c r="AB3913" s="178">
        <f t="shared" si="183"/>
        <v>0</v>
      </c>
      <c r="AH3913" s="177">
        <f t="shared" si="181"/>
        <v>0</v>
      </c>
    </row>
    <row r="3914" spans="23:34">
      <c r="W3914" s="177">
        <f t="shared" si="182"/>
        <v>0</v>
      </c>
      <c r="AB3914" s="178">
        <f t="shared" si="183"/>
        <v>0</v>
      </c>
      <c r="AH3914" s="177">
        <f t="shared" si="181"/>
        <v>0</v>
      </c>
    </row>
    <row r="3915" spans="23:34">
      <c r="W3915" s="177">
        <f t="shared" si="182"/>
        <v>0</v>
      </c>
      <c r="AB3915" s="178">
        <f t="shared" si="183"/>
        <v>0</v>
      </c>
      <c r="AH3915" s="177">
        <f t="shared" si="181"/>
        <v>0</v>
      </c>
    </row>
    <row r="3916" spans="23:34">
      <c r="W3916" s="177">
        <f t="shared" si="182"/>
        <v>0</v>
      </c>
      <c r="AB3916" s="178">
        <f t="shared" si="183"/>
        <v>0</v>
      </c>
      <c r="AH3916" s="177">
        <f t="shared" si="181"/>
        <v>0</v>
      </c>
    </row>
    <row r="3917" spans="23:34">
      <c r="W3917" s="177">
        <f t="shared" si="182"/>
        <v>0</v>
      </c>
      <c r="AB3917" s="178">
        <f t="shared" si="183"/>
        <v>0</v>
      </c>
      <c r="AH3917" s="177">
        <f t="shared" si="181"/>
        <v>0</v>
      </c>
    </row>
    <row r="3918" spans="23:34">
      <c r="W3918" s="177">
        <f t="shared" si="182"/>
        <v>0</v>
      </c>
      <c r="AB3918" s="178">
        <f t="shared" si="183"/>
        <v>0</v>
      </c>
      <c r="AH3918" s="177">
        <f t="shared" si="181"/>
        <v>0</v>
      </c>
    </row>
    <row r="3919" spans="23:34">
      <c r="W3919" s="177">
        <f t="shared" si="182"/>
        <v>0</v>
      </c>
      <c r="AB3919" s="178">
        <f t="shared" si="183"/>
        <v>0</v>
      </c>
      <c r="AH3919" s="177">
        <f t="shared" si="181"/>
        <v>0</v>
      </c>
    </row>
    <row r="3920" spans="23:34">
      <c r="W3920" s="177">
        <f t="shared" si="182"/>
        <v>0</v>
      </c>
      <c r="AB3920" s="178">
        <f t="shared" si="183"/>
        <v>0</v>
      </c>
      <c r="AH3920" s="177">
        <f t="shared" si="181"/>
        <v>0</v>
      </c>
    </row>
    <row r="3921" spans="23:34">
      <c r="W3921" s="177">
        <f t="shared" si="182"/>
        <v>0</v>
      </c>
      <c r="AB3921" s="178">
        <f t="shared" si="183"/>
        <v>0</v>
      </c>
      <c r="AH3921" s="177">
        <f t="shared" si="181"/>
        <v>0</v>
      </c>
    </row>
    <row r="3922" spans="23:34">
      <c r="W3922" s="177">
        <f t="shared" si="182"/>
        <v>0</v>
      </c>
      <c r="AB3922" s="178">
        <f t="shared" si="183"/>
        <v>0</v>
      </c>
      <c r="AH3922" s="177">
        <f t="shared" si="181"/>
        <v>0</v>
      </c>
    </row>
    <row r="3923" spans="23:34">
      <c r="W3923" s="177">
        <f t="shared" si="182"/>
        <v>0</v>
      </c>
      <c r="AB3923" s="178">
        <f t="shared" si="183"/>
        <v>0</v>
      </c>
      <c r="AH3923" s="177">
        <f t="shared" si="181"/>
        <v>0</v>
      </c>
    </row>
    <row r="3924" spans="23:34">
      <c r="W3924" s="177">
        <f t="shared" si="182"/>
        <v>0</v>
      </c>
      <c r="AB3924" s="178">
        <f t="shared" si="183"/>
        <v>0</v>
      </c>
      <c r="AH3924" s="177">
        <f t="shared" si="181"/>
        <v>0</v>
      </c>
    </row>
    <row r="3925" spans="23:34">
      <c r="W3925" s="177">
        <f t="shared" si="182"/>
        <v>0</v>
      </c>
      <c r="AB3925" s="178">
        <f t="shared" si="183"/>
        <v>0</v>
      </c>
      <c r="AH3925" s="177">
        <f t="shared" si="181"/>
        <v>0</v>
      </c>
    </row>
    <row r="3926" spans="23:34">
      <c r="W3926" s="177">
        <f t="shared" si="182"/>
        <v>0</v>
      </c>
      <c r="AB3926" s="178">
        <f t="shared" si="183"/>
        <v>0</v>
      </c>
      <c r="AH3926" s="177">
        <f t="shared" si="181"/>
        <v>0</v>
      </c>
    </row>
    <row r="3927" spans="23:34">
      <c r="W3927" s="177">
        <f t="shared" si="182"/>
        <v>0</v>
      </c>
      <c r="AB3927" s="178">
        <f t="shared" si="183"/>
        <v>0</v>
      </c>
      <c r="AH3927" s="177">
        <f t="shared" si="181"/>
        <v>0</v>
      </c>
    </row>
    <row r="3928" spans="23:34">
      <c r="W3928" s="177">
        <f t="shared" si="182"/>
        <v>0</v>
      </c>
      <c r="AB3928" s="178">
        <f t="shared" si="183"/>
        <v>0</v>
      </c>
      <c r="AH3928" s="177">
        <f t="shared" si="181"/>
        <v>0</v>
      </c>
    </row>
    <row r="3929" spans="23:34">
      <c r="W3929" s="177">
        <f t="shared" si="182"/>
        <v>0</v>
      </c>
      <c r="AB3929" s="178">
        <f t="shared" si="183"/>
        <v>0</v>
      </c>
      <c r="AH3929" s="177">
        <f t="shared" si="181"/>
        <v>0</v>
      </c>
    </row>
    <row r="3930" spans="23:34">
      <c r="W3930" s="177">
        <f t="shared" si="182"/>
        <v>0</v>
      </c>
      <c r="AB3930" s="178">
        <f t="shared" si="183"/>
        <v>0</v>
      </c>
      <c r="AH3930" s="177">
        <f t="shared" si="181"/>
        <v>0</v>
      </c>
    </row>
    <row r="3931" spans="23:34">
      <c r="W3931" s="177">
        <f t="shared" si="182"/>
        <v>0</v>
      </c>
      <c r="AB3931" s="178">
        <f t="shared" si="183"/>
        <v>0</v>
      </c>
      <c r="AH3931" s="177">
        <f t="shared" si="181"/>
        <v>0</v>
      </c>
    </row>
    <row r="3932" spans="23:34">
      <c r="W3932" s="177">
        <f t="shared" si="182"/>
        <v>0</v>
      </c>
      <c r="AB3932" s="178">
        <f t="shared" si="183"/>
        <v>0</v>
      </c>
      <c r="AH3932" s="177">
        <f t="shared" si="181"/>
        <v>0</v>
      </c>
    </row>
    <row r="3933" spans="23:34">
      <c r="W3933" s="177">
        <f t="shared" si="182"/>
        <v>0</v>
      </c>
      <c r="AB3933" s="178">
        <f t="shared" si="183"/>
        <v>0</v>
      </c>
      <c r="AH3933" s="177">
        <f t="shared" si="181"/>
        <v>0</v>
      </c>
    </row>
    <row r="3934" spans="23:34">
      <c r="W3934" s="177">
        <f t="shared" si="182"/>
        <v>0</v>
      </c>
      <c r="AB3934" s="178">
        <f t="shared" si="183"/>
        <v>0</v>
      </c>
      <c r="AH3934" s="177">
        <f t="shared" si="181"/>
        <v>0</v>
      </c>
    </row>
    <row r="3935" spans="23:34">
      <c r="W3935" s="177">
        <f t="shared" si="182"/>
        <v>0</v>
      </c>
      <c r="AB3935" s="178">
        <f t="shared" si="183"/>
        <v>0</v>
      </c>
      <c r="AH3935" s="177">
        <f t="shared" si="181"/>
        <v>0</v>
      </c>
    </row>
    <row r="3936" spans="23:34">
      <c r="W3936" s="177">
        <f t="shared" si="182"/>
        <v>0</v>
      </c>
      <c r="AB3936" s="178">
        <f t="shared" si="183"/>
        <v>0</v>
      </c>
      <c r="AH3936" s="177">
        <f t="shared" si="181"/>
        <v>0</v>
      </c>
    </row>
    <row r="3937" spans="23:34">
      <c r="W3937" s="177">
        <f t="shared" si="182"/>
        <v>0</v>
      </c>
      <c r="AB3937" s="178">
        <f t="shared" si="183"/>
        <v>0</v>
      </c>
      <c r="AH3937" s="177">
        <f t="shared" si="181"/>
        <v>0</v>
      </c>
    </row>
    <row r="3938" spans="23:34">
      <c r="W3938" s="177">
        <f t="shared" si="182"/>
        <v>0</v>
      </c>
      <c r="AB3938" s="178">
        <f t="shared" si="183"/>
        <v>0</v>
      </c>
      <c r="AH3938" s="177">
        <f t="shared" si="181"/>
        <v>0</v>
      </c>
    </row>
    <row r="3939" spans="23:34">
      <c r="W3939" s="177">
        <f t="shared" si="182"/>
        <v>0</v>
      </c>
      <c r="AB3939" s="178">
        <f t="shared" si="183"/>
        <v>0</v>
      </c>
      <c r="AH3939" s="177">
        <f t="shared" si="181"/>
        <v>0</v>
      </c>
    </row>
    <row r="3940" spans="23:34">
      <c r="W3940" s="177">
        <f t="shared" si="182"/>
        <v>0</v>
      </c>
      <c r="AB3940" s="178">
        <f t="shared" si="183"/>
        <v>0</v>
      </c>
      <c r="AH3940" s="177">
        <f t="shared" si="181"/>
        <v>0</v>
      </c>
    </row>
    <row r="3941" spans="23:34">
      <c r="W3941" s="177">
        <f t="shared" si="182"/>
        <v>0</v>
      </c>
      <c r="AB3941" s="178">
        <f t="shared" si="183"/>
        <v>0</v>
      </c>
      <c r="AH3941" s="177">
        <f t="shared" si="181"/>
        <v>0</v>
      </c>
    </row>
    <row r="3942" spans="23:34">
      <c r="W3942" s="177">
        <f t="shared" si="182"/>
        <v>0</v>
      </c>
      <c r="AB3942" s="178">
        <f t="shared" si="183"/>
        <v>0</v>
      </c>
      <c r="AH3942" s="177">
        <f t="shared" si="181"/>
        <v>0</v>
      </c>
    </row>
    <row r="3943" spans="23:34">
      <c r="W3943" s="177">
        <f t="shared" si="182"/>
        <v>0</v>
      </c>
      <c r="AB3943" s="178">
        <f t="shared" si="183"/>
        <v>0</v>
      </c>
      <c r="AH3943" s="177">
        <f t="shared" si="181"/>
        <v>0</v>
      </c>
    </row>
    <row r="3944" spans="23:34">
      <c r="W3944" s="177">
        <f t="shared" si="182"/>
        <v>0</v>
      </c>
      <c r="AB3944" s="178">
        <f t="shared" si="183"/>
        <v>0</v>
      </c>
      <c r="AH3944" s="177">
        <f t="shared" si="181"/>
        <v>0</v>
      </c>
    </row>
    <row r="3945" spans="23:34">
      <c r="W3945" s="177">
        <f t="shared" si="182"/>
        <v>0</v>
      </c>
      <c r="AB3945" s="178">
        <f t="shared" si="183"/>
        <v>0</v>
      </c>
      <c r="AH3945" s="177">
        <f t="shared" si="181"/>
        <v>0</v>
      </c>
    </row>
    <row r="3946" spans="23:34">
      <c r="W3946" s="177">
        <f t="shared" si="182"/>
        <v>0</v>
      </c>
      <c r="AB3946" s="178">
        <f t="shared" si="183"/>
        <v>0</v>
      </c>
      <c r="AH3946" s="177">
        <f t="shared" si="181"/>
        <v>0</v>
      </c>
    </row>
    <row r="3947" spans="23:34">
      <c r="W3947" s="177">
        <f t="shared" si="182"/>
        <v>0</v>
      </c>
      <c r="AB3947" s="178">
        <f t="shared" si="183"/>
        <v>0</v>
      </c>
      <c r="AH3947" s="177">
        <f t="shared" si="181"/>
        <v>0</v>
      </c>
    </row>
    <row r="3948" spans="23:34">
      <c r="W3948" s="177">
        <f t="shared" si="182"/>
        <v>0</v>
      </c>
      <c r="AB3948" s="178">
        <f t="shared" si="183"/>
        <v>0</v>
      </c>
      <c r="AH3948" s="177">
        <f t="shared" si="181"/>
        <v>0</v>
      </c>
    </row>
    <row r="3949" spans="23:34">
      <c r="W3949" s="177">
        <f t="shared" si="182"/>
        <v>0</v>
      </c>
      <c r="AB3949" s="178">
        <f t="shared" si="183"/>
        <v>0</v>
      </c>
      <c r="AH3949" s="177">
        <f t="shared" si="181"/>
        <v>0</v>
      </c>
    </row>
    <row r="3950" spans="23:34">
      <c r="W3950" s="177">
        <f t="shared" si="182"/>
        <v>0</v>
      </c>
      <c r="AB3950" s="178">
        <f t="shared" si="183"/>
        <v>0</v>
      </c>
      <c r="AH3950" s="177">
        <f t="shared" si="181"/>
        <v>0</v>
      </c>
    </row>
    <row r="3951" spans="23:34">
      <c r="W3951" s="177">
        <f t="shared" si="182"/>
        <v>0</v>
      </c>
      <c r="AB3951" s="178">
        <f t="shared" si="183"/>
        <v>0</v>
      </c>
      <c r="AH3951" s="177">
        <f t="shared" si="181"/>
        <v>0</v>
      </c>
    </row>
    <row r="3952" spans="23:34">
      <c r="W3952" s="177">
        <f t="shared" si="182"/>
        <v>0</v>
      </c>
      <c r="AB3952" s="178">
        <f t="shared" si="183"/>
        <v>0</v>
      </c>
      <c r="AH3952" s="177">
        <f t="shared" ref="AH3952:AH4015" si="184">SUM(AF3952:AG3952)</f>
        <v>0</v>
      </c>
    </row>
    <row r="3953" spans="23:34">
      <c r="W3953" s="177">
        <f t="shared" si="182"/>
        <v>0</v>
      </c>
      <c r="AB3953" s="178">
        <f t="shared" si="183"/>
        <v>0</v>
      </c>
      <c r="AH3953" s="177">
        <f t="shared" si="184"/>
        <v>0</v>
      </c>
    </row>
    <row r="3954" spans="23:34">
      <c r="W3954" s="177">
        <f t="shared" si="182"/>
        <v>0</v>
      </c>
      <c r="AB3954" s="178">
        <f t="shared" si="183"/>
        <v>0</v>
      </c>
      <c r="AH3954" s="177">
        <f t="shared" si="184"/>
        <v>0</v>
      </c>
    </row>
    <row r="3955" spans="23:34">
      <c r="W3955" s="177">
        <f t="shared" ref="W3955:W4018" si="185">SUM(Q3955:T3955)</f>
        <v>0</v>
      </c>
      <c r="AB3955" s="178">
        <f t="shared" si="183"/>
        <v>0</v>
      </c>
      <c r="AH3955" s="177">
        <f t="shared" si="184"/>
        <v>0</v>
      </c>
    </row>
    <row r="3956" spans="23:34">
      <c r="W3956" s="177">
        <f t="shared" si="185"/>
        <v>0</v>
      </c>
      <c r="AB3956" s="178">
        <f t="shared" si="183"/>
        <v>0</v>
      </c>
      <c r="AH3956" s="177">
        <f t="shared" si="184"/>
        <v>0</v>
      </c>
    </row>
    <row r="3957" spans="23:34">
      <c r="W3957" s="177">
        <f t="shared" si="185"/>
        <v>0</v>
      </c>
      <c r="AB3957" s="178">
        <f t="shared" si="183"/>
        <v>0</v>
      </c>
      <c r="AH3957" s="177">
        <f t="shared" si="184"/>
        <v>0</v>
      </c>
    </row>
    <row r="3958" spans="23:34">
      <c r="W3958" s="177">
        <f t="shared" si="185"/>
        <v>0</v>
      </c>
      <c r="AB3958" s="178">
        <f t="shared" si="183"/>
        <v>0</v>
      </c>
      <c r="AH3958" s="177">
        <f t="shared" si="184"/>
        <v>0</v>
      </c>
    </row>
    <row r="3959" spans="23:34">
      <c r="W3959" s="177">
        <f t="shared" si="185"/>
        <v>0</v>
      </c>
      <c r="AB3959" s="178">
        <f t="shared" si="183"/>
        <v>0</v>
      </c>
      <c r="AH3959" s="177">
        <f t="shared" si="184"/>
        <v>0</v>
      </c>
    </row>
    <row r="3960" spans="23:34">
      <c r="W3960" s="177">
        <f t="shared" si="185"/>
        <v>0</v>
      </c>
      <c r="AB3960" s="178">
        <f t="shared" si="183"/>
        <v>0</v>
      </c>
      <c r="AH3960" s="177">
        <f t="shared" si="184"/>
        <v>0</v>
      </c>
    </row>
    <row r="3961" spans="23:34">
      <c r="W3961" s="177">
        <f t="shared" si="185"/>
        <v>0</v>
      </c>
      <c r="AB3961" s="178">
        <f t="shared" si="183"/>
        <v>0</v>
      </c>
      <c r="AH3961" s="177">
        <f t="shared" si="184"/>
        <v>0</v>
      </c>
    </row>
    <row r="3962" spans="23:34">
      <c r="W3962" s="177">
        <f t="shared" si="185"/>
        <v>0</v>
      </c>
      <c r="AB3962" s="178">
        <f t="shared" si="183"/>
        <v>0</v>
      </c>
      <c r="AH3962" s="177">
        <f t="shared" si="184"/>
        <v>0</v>
      </c>
    </row>
    <row r="3963" spans="23:34">
      <c r="W3963" s="177">
        <f t="shared" si="185"/>
        <v>0</v>
      </c>
      <c r="AB3963" s="178">
        <f t="shared" ref="AB3963:AB4026" si="186">SUM(Z3963:AA3963)</f>
        <v>0</v>
      </c>
      <c r="AH3963" s="177">
        <f t="shared" si="184"/>
        <v>0</v>
      </c>
    </row>
    <row r="3964" spans="23:34">
      <c r="W3964" s="177">
        <f t="shared" si="185"/>
        <v>0</v>
      </c>
      <c r="AB3964" s="178">
        <f t="shared" si="186"/>
        <v>0</v>
      </c>
      <c r="AH3964" s="177">
        <f t="shared" si="184"/>
        <v>0</v>
      </c>
    </row>
    <row r="3965" spans="23:34">
      <c r="W3965" s="177">
        <f t="shared" si="185"/>
        <v>0</v>
      </c>
      <c r="AB3965" s="178">
        <f t="shared" si="186"/>
        <v>0</v>
      </c>
      <c r="AH3965" s="177">
        <f t="shared" si="184"/>
        <v>0</v>
      </c>
    </row>
    <row r="3966" spans="23:34">
      <c r="W3966" s="177">
        <f t="shared" si="185"/>
        <v>0</v>
      </c>
      <c r="AB3966" s="178">
        <f t="shared" si="186"/>
        <v>0</v>
      </c>
      <c r="AH3966" s="177">
        <f t="shared" si="184"/>
        <v>0</v>
      </c>
    </row>
    <row r="3967" spans="23:34">
      <c r="W3967" s="177">
        <f t="shared" si="185"/>
        <v>0</v>
      </c>
      <c r="AB3967" s="178">
        <f t="shared" si="186"/>
        <v>0</v>
      </c>
      <c r="AH3967" s="177">
        <f t="shared" si="184"/>
        <v>0</v>
      </c>
    </row>
    <row r="3968" spans="23:34">
      <c r="W3968" s="177">
        <f t="shared" si="185"/>
        <v>0</v>
      </c>
      <c r="AB3968" s="178">
        <f t="shared" si="186"/>
        <v>0</v>
      </c>
      <c r="AH3968" s="177">
        <f t="shared" si="184"/>
        <v>0</v>
      </c>
    </row>
    <row r="3969" spans="23:34">
      <c r="W3969" s="177">
        <f t="shared" si="185"/>
        <v>0</v>
      </c>
      <c r="AB3969" s="178">
        <f t="shared" si="186"/>
        <v>0</v>
      </c>
      <c r="AH3969" s="177">
        <f t="shared" si="184"/>
        <v>0</v>
      </c>
    </row>
    <row r="3970" spans="23:34">
      <c r="W3970" s="177">
        <f t="shared" si="185"/>
        <v>0</v>
      </c>
      <c r="AB3970" s="178">
        <f t="shared" si="186"/>
        <v>0</v>
      </c>
      <c r="AH3970" s="177">
        <f t="shared" si="184"/>
        <v>0</v>
      </c>
    </row>
    <row r="3971" spans="23:34">
      <c r="W3971" s="177">
        <f t="shared" si="185"/>
        <v>0</v>
      </c>
      <c r="AB3971" s="178">
        <f t="shared" si="186"/>
        <v>0</v>
      </c>
      <c r="AH3971" s="177">
        <f t="shared" si="184"/>
        <v>0</v>
      </c>
    </row>
    <row r="3972" spans="23:34">
      <c r="W3972" s="177">
        <f t="shared" si="185"/>
        <v>0</v>
      </c>
      <c r="AB3972" s="178">
        <f t="shared" si="186"/>
        <v>0</v>
      </c>
      <c r="AH3972" s="177">
        <f t="shared" si="184"/>
        <v>0</v>
      </c>
    </row>
    <row r="3973" spans="23:34">
      <c r="W3973" s="177">
        <f t="shared" si="185"/>
        <v>0</v>
      </c>
      <c r="AB3973" s="178">
        <f t="shared" si="186"/>
        <v>0</v>
      </c>
      <c r="AH3973" s="177">
        <f t="shared" si="184"/>
        <v>0</v>
      </c>
    </row>
    <row r="3974" spans="23:34">
      <c r="W3974" s="177">
        <f t="shared" si="185"/>
        <v>0</v>
      </c>
      <c r="AB3974" s="178">
        <f t="shared" si="186"/>
        <v>0</v>
      </c>
      <c r="AH3974" s="177">
        <f t="shared" si="184"/>
        <v>0</v>
      </c>
    </row>
    <row r="3975" spans="23:34">
      <c r="W3975" s="177">
        <f t="shared" si="185"/>
        <v>0</v>
      </c>
      <c r="AB3975" s="178">
        <f t="shared" si="186"/>
        <v>0</v>
      </c>
      <c r="AH3975" s="177">
        <f t="shared" si="184"/>
        <v>0</v>
      </c>
    </row>
    <row r="3976" spans="23:34">
      <c r="W3976" s="177">
        <f t="shared" si="185"/>
        <v>0</v>
      </c>
      <c r="AB3976" s="178">
        <f t="shared" si="186"/>
        <v>0</v>
      </c>
      <c r="AH3976" s="177">
        <f t="shared" si="184"/>
        <v>0</v>
      </c>
    </row>
    <row r="3977" spans="23:34">
      <c r="W3977" s="177">
        <f t="shared" si="185"/>
        <v>0</v>
      </c>
      <c r="AB3977" s="178">
        <f t="shared" si="186"/>
        <v>0</v>
      </c>
      <c r="AH3977" s="177">
        <f t="shared" si="184"/>
        <v>0</v>
      </c>
    </row>
    <row r="3978" spans="23:34">
      <c r="W3978" s="177">
        <f t="shared" si="185"/>
        <v>0</v>
      </c>
      <c r="AB3978" s="178">
        <f t="shared" si="186"/>
        <v>0</v>
      </c>
      <c r="AH3978" s="177">
        <f t="shared" si="184"/>
        <v>0</v>
      </c>
    </row>
    <row r="3979" spans="23:34">
      <c r="W3979" s="177">
        <f t="shared" si="185"/>
        <v>0</v>
      </c>
      <c r="AB3979" s="178">
        <f t="shared" si="186"/>
        <v>0</v>
      </c>
      <c r="AH3979" s="177">
        <f t="shared" si="184"/>
        <v>0</v>
      </c>
    </row>
    <row r="3980" spans="23:34">
      <c r="W3980" s="177">
        <f t="shared" si="185"/>
        <v>0</v>
      </c>
      <c r="AB3980" s="178">
        <f t="shared" si="186"/>
        <v>0</v>
      </c>
      <c r="AH3980" s="177">
        <f t="shared" si="184"/>
        <v>0</v>
      </c>
    </row>
    <row r="3981" spans="23:34">
      <c r="W3981" s="177">
        <f t="shared" si="185"/>
        <v>0</v>
      </c>
      <c r="AB3981" s="178">
        <f t="shared" si="186"/>
        <v>0</v>
      </c>
      <c r="AH3981" s="177">
        <f t="shared" si="184"/>
        <v>0</v>
      </c>
    </row>
    <row r="3982" spans="23:34">
      <c r="W3982" s="177">
        <f t="shared" si="185"/>
        <v>0</v>
      </c>
      <c r="AB3982" s="178">
        <f t="shared" si="186"/>
        <v>0</v>
      </c>
      <c r="AH3982" s="177">
        <f t="shared" si="184"/>
        <v>0</v>
      </c>
    </row>
    <row r="3983" spans="23:34">
      <c r="W3983" s="177">
        <f t="shared" si="185"/>
        <v>0</v>
      </c>
      <c r="AB3983" s="178">
        <f t="shared" si="186"/>
        <v>0</v>
      </c>
      <c r="AH3983" s="177">
        <f t="shared" si="184"/>
        <v>0</v>
      </c>
    </row>
    <row r="3984" spans="23:34">
      <c r="W3984" s="177">
        <f t="shared" si="185"/>
        <v>0</v>
      </c>
      <c r="AB3984" s="178">
        <f t="shared" si="186"/>
        <v>0</v>
      </c>
      <c r="AH3984" s="177">
        <f t="shared" si="184"/>
        <v>0</v>
      </c>
    </row>
    <row r="3985" spans="23:34">
      <c r="W3985" s="177">
        <f t="shared" si="185"/>
        <v>0</v>
      </c>
      <c r="AB3985" s="178">
        <f t="shared" si="186"/>
        <v>0</v>
      </c>
      <c r="AH3985" s="177">
        <f t="shared" si="184"/>
        <v>0</v>
      </c>
    </row>
    <row r="3986" spans="23:34">
      <c r="W3986" s="177">
        <f t="shared" si="185"/>
        <v>0</v>
      </c>
      <c r="AB3986" s="178">
        <f t="shared" si="186"/>
        <v>0</v>
      </c>
      <c r="AH3986" s="177">
        <f t="shared" si="184"/>
        <v>0</v>
      </c>
    </row>
    <row r="3987" spans="23:34">
      <c r="W3987" s="177">
        <f t="shared" si="185"/>
        <v>0</v>
      </c>
      <c r="AB3987" s="178">
        <f t="shared" si="186"/>
        <v>0</v>
      </c>
      <c r="AH3987" s="177">
        <f t="shared" si="184"/>
        <v>0</v>
      </c>
    </row>
    <row r="3988" spans="23:34">
      <c r="W3988" s="177">
        <f t="shared" si="185"/>
        <v>0</v>
      </c>
      <c r="AB3988" s="178">
        <f t="shared" si="186"/>
        <v>0</v>
      </c>
      <c r="AH3988" s="177">
        <f t="shared" si="184"/>
        <v>0</v>
      </c>
    </row>
    <row r="3989" spans="23:34">
      <c r="W3989" s="177">
        <f t="shared" si="185"/>
        <v>0</v>
      </c>
      <c r="AB3989" s="178">
        <f t="shared" si="186"/>
        <v>0</v>
      </c>
      <c r="AH3989" s="177">
        <f t="shared" si="184"/>
        <v>0</v>
      </c>
    </row>
    <row r="3990" spans="23:34">
      <c r="W3990" s="177">
        <f t="shared" si="185"/>
        <v>0</v>
      </c>
      <c r="AB3990" s="178">
        <f t="shared" si="186"/>
        <v>0</v>
      </c>
      <c r="AH3990" s="177">
        <f t="shared" si="184"/>
        <v>0</v>
      </c>
    </row>
    <row r="3991" spans="23:34">
      <c r="W3991" s="177">
        <f t="shared" si="185"/>
        <v>0</v>
      </c>
      <c r="AB3991" s="178">
        <f t="shared" si="186"/>
        <v>0</v>
      </c>
      <c r="AH3991" s="177">
        <f t="shared" si="184"/>
        <v>0</v>
      </c>
    </row>
    <row r="3992" spans="23:34">
      <c r="W3992" s="177">
        <f t="shared" si="185"/>
        <v>0</v>
      </c>
      <c r="AB3992" s="178">
        <f t="shared" si="186"/>
        <v>0</v>
      </c>
      <c r="AH3992" s="177">
        <f t="shared" si="184"/>
        <v>0</v>
      </c>
    </row>
    <row r="3993" spans="23:34">
      <c r="W3993" s="177">
        <f t="shared" si="185"/>
        <v>0</v>
      </c>
      <c r="AB3993" s="178">
        <f t="shared" si="186"/>
        <v>0</v>
      </c>
      <c r="AH3993" s="177">
        <f t="shared" si="184"/>
        <v>0</v>
      </c>
    </row>
    <row r="3994" spans="23:34">
      <c r="W3994" s="177">
        <f t="shared" si="185"/>
        <v>0</v>
      </c>
      <c r="AB3994" s="178">
        <f t="shared" si="186"/>
        <v>0</v>
      </c>
      <c r="AH3994" s="177">
        <f t="shared" si="184"/>
        <v>0</v>
      </c>
    </row>
    <row r="3995" spans="23:34">
      <c r="W3995" s="177">
        <f t="shared" si="185"/>
        <v>0</v>
      </c>
      <c r="AB3995" s="178">
        <f t="shared" si="186"/>
        <v>0</v>
      </c>
      <c r="AH3995" s="177">
        <f t="shared" si="184"/>
        <v>0</v>
      </c>
    </row>
    <row r="3996" spans="23:34">
      <c r="W3996" s="177">
        <f t="shared" si="185"/>
        <v>0</v>
      </c>
      <c r="AB3996" s="178">
        <f t="shared" si="186"/>
        <v>0</v>
      </c>
      <c r="AH3996" s="177">
        <f t="shared" si="184"/>
        <v>0</v>
      </c>
    </row>
    <row r="3997" spans="23:34">
      <c r="W3997" s="177">
        <f t="shared" si="185"/>
        <v>0</v>
      </c>
      <c r="AB3997" s="178">
        <f t="shared" si="186"/>
        <v>0</v>
      </c>
      <c r="AH3997" s="177">
        <f t="shared" si="184"/>
        <v>0</v>
      </c>
    </row>
    <row r="3998" spans="23:34">
      <c r="W3998" s="177">
        <f t="shared" si="185"/>
        <v>0</v>
      </c>
      <c r="AB3998" s="178">
        <f t="shared" si="186"/>
        <v>0</v>
      </c>
      <c r="AH3998" s="177">
        <f t="shared" si="184"/>
        <v>0</v>
      </c>
    </row>
    <row r="3999" spans="23:34">
      <c r="W3999" s="177">
        <f t="shared" si="185"/>
        <v>0</v>
      </c>
      <c r="AB3999" s="178">
        <f t="shared" si="186"/>
        <v>0</v>
      </c>
      <c r="AH3999" s="177">
        <f t="shared" si="184"/>
        <v>0</v>
      </c>
    </row>
    <row r="4000" spans="23:34">
      <c r="W4000" s="177">
        <f t="shared" si="185"/>
        <v>0</v>
      </c>
      <c r="AB4000" s="178">
        <f t="shared" si="186"/>
        <v>0</v>
      </c>
      <c r="AH4000" s="177">
        <f t="shared" si="184"/>
        <v>0</v>
      </c>
    </row>
    <row r="4001" spans="23:34">
      <c r="W4001" s="177">
        <f t="shared" si="185"/>
        <v>0</v>
      </c>
      <c r="AB4001" s="178">
        <f t="shared" si="186"/>
        <v>0</v>
      </c>
      <c r="AH4001" s="177">
        <f t="shared" si="184"/>
        <v>0</v>
      </c>
    </row>
    <row r="4002" spans="23:34">
      <c r="W4002" s="177">
        <f t="shared" si="185"/>
        <v>0</v>
      </c>
      <c r="AB4002" s="178">
        <f t="shared" si="186"/>
        <v>0</v>
      </c>
      <c r="AH4002" s="177">
        <f t="shared" si="184"/>
        <v>0</v>
      </c>
    </row>
    <row r="4003" spans="23:34">
      <c r="W4003" s="177">
        <f t="shared" si="185"/>
        <v>0</v>
      </c>
      <c r="AB4003" s="178">
        <f t="shared" si="186"/>
        <v>0</v>
      </c>
      <c r="AH4003" s="177">
        <f t="shared" si="184"/>
        <v>0</v>
      </c>
    </row>
    <row r="4004" spans="23:34">
      <c r="W4004" s="177">
        <f t="shared" si="185"/>
        <v>0</v>
      </c>
      <c r="AB4004" s="178">
        <f t="shared" si="186"/>
        <v>0</v>
      </c>
      <c r="AH4004" s="177">
        <f t="shared" si="184"/>
        <v>0</v>
      </c>
    </row>
    <row r="4005" spans="23:34">
      <c r="W4005" s="177">
        <f t="shared" si="185"/>
        <v>0</v>
      </c>
      <c r="AB4005" s="178">
        <f t="shared" si="186"/>
        <v>0</v>
      </c>
      <c r="AH4005" s="177">
        <f t="shared" si="184"/>
        <v>0</v>
      </c>
    </row>
    <row r="4006" spans="23:34">
      <c r="W4006" s="177">
        <f t="shared" si="185"/>
        <v>0</v>
      </c>
      <c r="AB4006" s="178">
        <f t="shared" si="186"/>
        <v>0</v>
      </c>
      <c r="AH4006" s="177">
        <f t="shared" si="184"/>
        <v>0</v>
      </c>
    </row>
    <row r="4007" spans="23:34">
      <c r="W4007" s="177">
        <f t="shared" si="185"/>
        <v>0</v>
      </c>
      <c r="AB4007" s="178">
        <f t="shared" si="186"/>
        <v>0</v>
      </c>
      <c r="AH4007" s="177">
        <f t="shared" si="184"/>
        <v>0</v>
      </c>
    </row>
    <row r="4008" spans="23:34">
      <c r="W4008" s="177">
        <f t="shared" si="185"/>
        <v>0</v>
      </c>
      <c r="AB4008" s="178">
        <f t="shared" si="186"/>
        <v>0</v>
      </c>
      <c r="AH4008" s="177">
        <f t="shared" si="184"/>
        <v>0</v>
      </c>
    </row>
    <row r="4009" spans="23:34">
      <c r="W4009" s="177">
        <f t="shared" si="185"/>
        <v>0</v>
      </c>
      <c r="AB4009" s="178">
        <f t="shared" si="186"/>
        <v>0</v>
      </c>
      <c r="AH4009" s="177">
        <f t="shared" si="184"/>
        <v>0</v>
      </c>
    </row>
    <row r="4010" spans="23:34">
      <c r="W4010" s="177">
        <f t="shared" si="185"/>
        <v>0</v>
      </c>
      <c r="AB4010" s="178">
        <f t="shared" si="186"/>
        <v>0</v>
      </c>
      <c r="AH4010" s="177">
        <f t="shared" si="184"/>
        <v>0</v>
      </c>
    </row>
    <row r="4011" spans="23:34">
      <c r="W4011" s="177">
        <f t="shared" si="185"/>
        <v>0</v>
      </c>
      <c r="AB4011" s="178">
        <f t="shared" si="186"/>
        <v>0</v>
      </c>
      <c r="AH4011" s="177">
        <f t="shared" si="184"/>
        <v>0</v>
      </c>
    </row>
    <row r="4012" spans="23:34">
      <c r="W4012" s="177">
        <f t="shared" si="185"/>
        <v>0</v>
      </c>
      <c r="AB4012" s="178">
        <f t="shared" si="186"/>
        <v>0</v>
      </c>
      <c r="AH4012" s="177">
        <f t="shared" si="184"/>
        <v>0</v>
      </c>
    </row>
    <row r="4013" spans="23:34">
      <c r="W4013" s="177">
        <f t="shared" si="185"/>
        <v>0</v>
      </c>
      <c r="AB4013" s="178">
        <f t="shared" si="186"/>
        <v>0</v>
      </c>
      <c r="AH4013" s="177">
        <f t="shared" si="184"/>
        <v>0</v>
      </c>
    </row>
    <row r="4014" spans="23:34">
      <c r="W4014" s="177">
        <f t="shared" si="185"/>
        <v>0</v>
      </c>
      <c r="AB4014" s="178">
        <f t="shared" si="186"/>
        <v>0</v>
      </c>
      <c r="AH4014" s="177">
        <f t="shared" si="184"/>
        <v>0</v>
      </c>
    </row>
    <row r="4015" spans="23:34">
      <c r="W4015" s="177">
        <f t="shared" si="185"/>
        <v>0</v>
      </c>
      <c r="AB4015" s="178">
        <f t="shared" si="186"/>
        <v>0</v>
      </c>
      <c r="AH4015" s="177">
        <f t="shared" si="184"/>
        <v>0</v>
      </c>
    </row>
    <row r="4016" spans="23:34">
      <c r="W4016" s="177">
        <f t="shared" si="185"/>
        <v>0</v>
      </c>
      <c r="AB4016" s="178">
        <f t="shared" si="186"/>
        <v>0</v>
      </c>
      <c r="AH4016" s="177">
        <f t="shared" ref="AH4016:AH4079" si="187">SUM(AF4016:AG4016)</f>
        <v>0</v>
      </c>
    </row>
    <row r="4017" spans="23:34">
      <c r="W4017" s="177">
        <f t="shared" si="185"/>
        <v>0</v>
      </c>
      <c r="AB4017" s="178">
        <f t="shared" si="186"/>
        <v>0</v>
      </c>
      <c r="AH4017" s="177">
        <f t="shared" si="187"/>
        <v>0</v>
      </c>
    </row>
    <row r="4018" spans="23:34">
      <c r="W4018" s="177">
        <f t="shared" si="185"/>
        <v>0</v>
      </c>
      <c r="AB4018" s="178">
        <f t="shared" si="186"/>
        <v>0</v>
      </c>
      <c r="AH4018" s="177">
        <f t="shared" si="187"/>
        <v>0</v>
      </c>
    </row>
    <row r="4019" spans="23:34">
      <c r="W4019" s="177">
        <f t="shared" ref="W4019:W4082" si="188">SUM(Q4019:T4019)</f>
        <v>0</v>
      </c>
      <c r="AB4019" s="178">
        <f t="shared" si="186"/>
        <v>0</v>
      </c>
      <c r="AH4019" s="177">
        <f t="shared" si="187"/>
        <v>0</v>
      </c>
    </row>
    <row r="4020" spans="23:34">
      <c r="W4020" s="177">
        <f t="shared" si="188"/>
        <v>0</v>
      </c>
      <c r="AB4020" s="178">
        <f t="shared" si="186"/>
        <v>0</v>
      </c>
      <c r="AH4020" s="177">
        <f t="shared" si="187"/>
        <v>0</v>
      </c>
    </row>
    <row r="4021" spans="23:34">
      <c r="W4021" s="177">
        <f t="shared" si="188"/>
        <v>0</v>
      </c>
      <c r="AB4021" s="178">
        <f t="shared" si="186"/>
        <v>0</v>
      </c>
      <c r="AH4021" s="177">
        <f t="shared" si="187"/>
        <v>0</v>
      </c>
    </row>
    <row r="4022" spans="23:34">
      <c r="W4022" s="177">
        <f t="shared" si="188"/>
        <v>0</v>
      </c>
      <c r="AB4022" s="178">
        <f t="shared" si="186"/>
        <v>0</v>
      </c>
      <c r="AH4022" s="177">
        <f t="shared" si="187"/>
        <v>0</v>
      </c>
    </row>
    <row r="4023" spans="23:34">
      <c r="W4023" s="177">
        <f t="shared" si="188"/>
        <v>0</v>
      </c>
      <c r="AB4023" s="178">
        <f t="shared" si="186"/>
        <v>0</v>
      </c>
      <c r="AH4023" s="177">
        <f t="shared" si="187"/>
        <v>0</v>
      </c>
    </row>
    <row r="4024" spans="23:34">
      <c r="W4024" s="177">
        <f t="shared" si="188"/>
        <v>0</v>
      </c>
      <c r="AB4024" s="178">
        <f t="shared" si="186"/>
        <v>0</v>
      </c>
      <c r="AH4024" s="177">
        <f t="shared" si="187"/>
        <v>0</v>
      </c>
    </row>
    <row r="4025" spans="23:34">
      <c r="W4025" s="177">
        <f t="shared" si="188"/>
        <v>0</v>
      </c>
      <c r="AB4025" s="178">
        <f t="shared" si="186"/>
        <v>0</v>
      </c>
      <c r="AH4025" s="177">
        <f t="shared" si="187"/>
        <v>0</v>
      </c>
    </row>
    <row r="4026" spans="23:34">
      <c r="W4026" s="177">
        <f t="shared" si="188"/>
        <v>0</v>
      </c>
      <c r="AB4026" s="178">
        <f t="shared" si="186"/>
        <v>0</v>
      </c>
      <c r="AH4026" s="177">
        <f t="shared" si="187"/>
        <v>0</v>
      </c>
    </row>
    <row r="4027" spans="23:34">
      <c r="W4027" s="177">
        <f t="shared" si="188"/>
        <v>0</v>
      </c>
      <c r="AB4027" s="178">
        <f t="shared" ref="AB4027:AB4090" si="189">SUM(Z4027:AA4027)</f>
        <v>0</v>
      </c>
      <c r="AH4027" s="177">
        <f t="shared" si="187"/>
        <v>0</v>
      </c>
    </row>
    <row r="4028" spans="23:34">
      <c r="W4028" s="177">
        <f t="shared" si="188"/>
        <v>0</v>
      </c>
      <c r="AB4028" s="178">
        <f t="shared" si="189"/>
        <v>0</v>
      </c>
      <c r="AH4028" s="177">
        <f t="shared" si="187"/>
        <v>0</v>
      </c>
    </row>
    <row r="4029" spans="23:34">
      <c r="W4029" s="177">
        <f t="shared" si="188"/>
        <v>0</v>
      </c>
      <c r="AB4029" s="178">
        <f t="shared" si="189"/>
        <v>0</v>
      </c>
      <c r="AH4029" s="177">
        <f t="shared" si="187"/>
        <v>0</v>
      </c>
    </row>
    <row r="4030" spans="23:34">
      <c r="W4030" s="177">
        <f t="shared" si="188"/>
        <v>0</v>
      </c>
      <c r="AB4030" s="178">
        <f t="shared" si="189"/>
        <v>0</v>
      </c>
      <c r="AH4030" s="177">
        <f t="shared" si="187"/>
        <v>0</v>
      </c>
    </row>
    <row r="4031" spans="23:34">
      <c r="W4031" s="177">
        <f t="shared" si="188"/>
        <v>0</v>
      </c>
      <c r="AB4031" s="178">
        <f t="shared" si="189"/>
        <v>0</v>
      </c>
      <c r="AH4031" s="177">
        <f t="shared" si="187"/>
        <v>0</v>
      </c>
    </row>
    <row r="4032" spans="23:34">
      <c r="W4032" s="177">
        <f t="shared" si="188"/>
        <v>0</v>
      </c>
      <c r="AB4032" s="178">
        <f t="shared" si="189"/>
        <v>0</v>
      </c>
      <c r="AH4032" s="177">
        <f t="shared" si="187"/>
        <v>0</v>
      </c>
    </row>
    <row r="4033" spans="23:34">
      <c r="W4033" s="177">
        <f t="shared" si="188"/>
        <v>0</v>
      </c>
      <c r="AB4033" s="178">
        <f t="shared" si="189"/>
        <v>0</v>
      </c>
      <c r="AH4033" s="177">
        <f t="shared" si="187"/>
        <v>0</v>
      </c>
    </row>
    <row r="4034" spans="23:34">
      <c r="W4034" s="177">
        <f t="shared" si="188"/>
        <v>0</v>
      </c>
      <c r="AB4034" s="178">
        <f t="shared" si="189"/>
        <v>0</v>
      </c>
      <c r="AH4034" s="177">
        <f t="shared" si="187"/>
        <v>0</v>
      </c>
    </row>
    <row r="4035" spans="23:34">
      <c r="W4035" s="177">
        <f t="shared" si="188"/>
        <v>0</v>
      </c>
      <c r="AB4035" s="178">
        <f t="shared" si="189"/>
        <v>0</v>
      </c>
      <c r="AH4035" s="177">
        <f t="shared" si="187"/>
        <v>0</v>
      </c>
    </row>
    <row r="4036" spans="23:34">
      <c r="W4036" s="177">
        <f t="shared" si="188"/>
        <v>0</v>
      </c>
      <c r="AB4036" s="178">
        <f t="shared" si="189"/>
        <v>0</v>
      </c>
      <c r="AH4036" s="177">
        <f t="shared" si="187"/>
        <v>0</v>
      </c>
    </row>
    <row r="4037" spans="23:34">
      <c r="W4037" s="177">
        <f t="shared" si="188"/>
        <v>0</v>
      </c>
      <c r="AB4037" s="178">
        <f t="shared" si="189"/>
        <v>0</v>
      </c>
      <c r="AH4037" s="177">
        <f t="shared" si="187"/>
        <v>0</v>
      </c>
    </row>
    <row r="4038" spans="23:34">
      <c r="W4038" s="177">
        <f t="shared" si="188"/>
        <v>0</v>
      </c>
      <c r="AB4038" s="178">
        <f t="shared" si="189"/>
        <v>0</v>
      </c>
      <c r="AH4038" s="177">
        <f t="shared" si="187"/>
        <v>0</v>
      </c>
    </row>
    <row r="4039" spans="23:34">
      <c r="W4039" s="177">
        <f t="shared" si="188"/>
        <v>0</v>
      </c>
      <c r="AB4039" s="178">
        <f t="shared" si="189"/>
        <v>0</v>
      </c>
      <c r="AH4039" s="177">
        <f t="shared" si="187"/>
        <v>0</v>
      </c>
    </row>
    <row r="4040" spans="23:34">
      <c r="W4040" s="177">
        <f t="shared" si="188"/>
        <v>0</v>
      </c>
      <c r="AB4040" s="178">
        <f t="shared" si="189"/>
        <v>0</v>
      </c>
      <c r="AH4040" s="177">
        <f t="shared" si="187"/>
        <v>0</v>
      </c>
    </row>
    <row r="4041" spans="23:34">
      <c r="W4041" s="177">
        <f t="shared" si="188"/>
        <v>0</v>
      </c>
      <c r="AB4041" s="178">
        <f t="shared" si="189"/>
        <v>0</v>
      </c>
      <c r="AH4041" s="177">
        <f t="shared" si="187"/>
        <v>0</v>
      </c>
    </row>
    <row r="4042" spans="23:34">
      <c r="W4042" s="177">
        <f t="shared" si="188"/>
        <v>0</v>
      </c>
      <c r="AB4042" s="178">
        <f t="shared" si="189"/>
        <v>0</v>
      </c>
      <c r="AH4042" s="177">
        <f t="shared" si="187"/>
        <v>0</v>
      </c>
    </row>
    <row r="4043" spans="23:34">
      <c r="W4043" s="177">
        <f t="shared" si="188"/>
        <v>0</v>
      </c>
      <c r="AB4043" s="178">
        <f t="shared" si="189"/>
        <v>0</v>
      </c>
      <c r="AH4043" s="177">
        <f t="shared" si="187"/>
        <v>0</v>
      </c>
    </row>
    <row r="4044" spans="23:34">
      <c r="W4044" s="177">
        <f t="shared" si="188"/>
        <v>0</v>
      </c>
      <c r="AB4044" s="178">
        <f t="shared" si="189"/>
        <v>0</v>
      </c>
      <c r="AH4044" s="177">
        <f t="shared" si="187"/>
        <v>0</v>
      </c>
    </row>
    <row r="4045" spans="23:34">
      <c r="W4045" s="177">
        <f t="shared" si="188"/>
        <v>0</v>
      </c>
      <c r="AB4045" s="178">
        <f t="shared" si="189"/>
        <v>0</v>
      </c>
      <c r="AH4045" s="177">
        <f t="shared" si="187"/>
        <v>0</v>
      </c>
    </row>
    <row r="4046" spans="23:34">
      <c r="W4046" s="177">
        <f t="shared" si="188"/>
        <v>0</v>
      </c>
      <c r="AB4046" s="178">
        <f t="shared" si="189"/>
        <v>0</v>
      </c>
      <c r="AH4046" s="177">
        <f t="shared" si="187"/>
        <v>0</v>
      </c>
    </row>
    <row r="4047" spans="23:34">
      <c r="W4047" s="177">
        <f t="shared" si="188"/>
        <v>0</v>
      </c>
      <c r="AB4047" s="178">
        <f t="shared" si="189"/>
        <v>0</v>
      </c>
      <c r="AH4047" s="177">
        <f t="shared" si="187"/>
        <v>0</v>
      </c>
    </row>
    <row r="4048" spans="23:34">
      <c r="W4048" s="177">
        <f t="shared" si="188"/>
        <v>0</v>
      </c>
      <c r="AB4048" s="178">
        <f t="shared" si="189"/>
        <v>0</v>
      </c>
      <c r="AH4048" s="177">
        <f t="shared" si="187"/>
        <v>0</v>
      </c>
    </row>
    <row r="4049" spans="23:34">
      <c r="W4049" s="177">
        <f t="shared" si="188"/>
        <v>0</v>
      </c>
      <c r="AB4049" s="178">
        <f t="shared" si="189"/>
        <v>0</v>
      </c>
      <c r="AH4049" s="177">
        <f t="shared" si="187"/>
        <v>0</v>
      </c>
    </row>
    <row r="4050" spans="23:34">
      <c r="W4050" s="177">
        <f t="shared" si="188"/>
        <v>0</v>
      </c>
      <c r="AB4050" s="178">
        <f t="shared" si="189"/>
        <v>0</v>
      </c>
      <c r="AH4050" s="177">
        <f t="shared" si="187"/>
        <v>0</v>
      </c>
    </row>
    <row r="4051" spans="23:34">
      <c r="W4051" s="177">
        <f t="shared" si="188"/>
        <v>0</v>
      </c>
      <c r="AB4051" s="178">
        <f t="shared" si="189"/>
        <v>0</v>
      </c>
      <c r="AH4051" s="177">
        <f t="shared" si="187"/>
        <v>0</v>
      </c>
    </row>
    <row r="4052" spans="23:34">
      <c r="W4052" s="177">
        <f t="shared" si="188"/>
        <v>0</v>
      </c>
      <c r="AB4052" s="178">
        <f t="shared" si="189"/>
        <v>0</v>
      </c>
      <c r="AH4052" s="177">
        <f t="shared" si="187"/>
        <v>0</v>
      </c>
    </row>
    <row r="4053" spans="23:34">
      <c r="W4053" s="177">
        <f t="shared" si="188"/>
        <v>0</v>
      </c>
      <c r="AB4053" s="178">
        <f t="shared" si="189"/>
        <v>0</v>
      </c>
      <c r="AH4053" s="177">
        <f t="shared" si="187"/>
        <v>0</v>
      </c>
    </row>
    <row r="4054" spans="23:34">
      <c r="W4054" s="177">
        <f t="shared" si="188"/>
        <v>0</v>
      </c>
      <c r="AB4054" s="178">
        <f t="shared" si="189"/>
        <v>0</v>
      </c>
      <c r="AH4054" s="177">
        <f t="shared" si="187"/>
        <v>0</v>
      </c>
    </row>
    <row r="4055" spans="23:34">
      <c r="W4055" s="177">
        <f t="shared" si="188"/>
        <v>0</v>
      </c>
      <c r="AB4055" s="178">
        <f t="shared" si="189"/>
        <v>0</v>
      </c>
      <c r="AH4055" s="177">
        <f t="shared" si="187"/>
        <v>0</v>
      </c>
    </row>
    <row r="4056" spans="23:34">
      <c r="W4056" s="177">
        <f t="shared" si="188"/>
        <v>0</v>
      </c>
      <c r="AB4056" s="178">
        <f t="shared" si="189"/>
        <v>0</v>
      </c>
      <c r="AH4056" s="177">
        <f t="shared" si="187"/>
        <v>0</v>
      </c>
    </row>
    <row r="4057" spans="23:34">
      <c r="W4057" s="177">
        <f t="shared" si="188"/>
        <v>0</v>
      </c>
      <c r="AB4057" s="178">
        <f t="shared" si="189"/>
        <v>0</v>
      </c>
      <c r="AH4057" s="177">
        <f t="shared" si="187"/>
        <v>0</v>
      </c>
    </row>
    <row r="4058" spans="23:34">
      <c r="W4058" s="177">
        <f t="shared" si="188"/>
        <v>0</v>
      </c>
      <c r="AB4058" s="178">
        <f t="shared" si="189"/>
        <v>0</v>
      </c>
      <c r="AH4058" s="177">
        <f t="shared" si="187"/>
        <v>0</v>
      </c>
    </row>
    <row r="4059" spans="23:34">
      <c r="W4059" s="177">
        <f t="shared" si="188"/>
        <v>0</v>
      </c>
      <c r="AB4059" s="178">
        <f t="shared" si="189"/>
        <v>0</v>
      </c>
      <c r="AH4059" s="177">
        <f t="shared" si="187"/>
        <v>0</v>
      </c>
    </row>
    <row r="4060" spans="23:34">
      <c r="W4060" s="177">
        <f t="shared" si="188"/>
        <v>0</v>
      </c>
      <c r="AB4060" s="178">
        <f t="shared" si="189"/>
        <v>0</v>
      </c>
      <c r="AH4060" s="177">
        <f t="shared" si="187"/>
        <v>0</v>
      </c>
    </row>
    <row r="4061" spans="23:34">
      <c r="W4061" s="177">
        <f t="shared" si="188"/>
        <v>0</v>
      </c>
      <c r="AB4061" s="178">
        <f t="shared" si="189"/>
        <v>0</v>
      </c>
      <c r="AH4061" s="177">
        <f t="shared" si="187"/>
        <v>0</v>
      </c>
    </row>
    <row r="4062" spans="23:34">
      <c r="W4062" s="177">
        <f t="shared" si="188"/>
        <v>0</v>
      </c>
      <c r="AB4062" s="178">
        <f t="shared" si="189"/>
        <v>0</v>
      </c>
      <c r="AH4062" s="177">
        <f t="shared" si="187"/>
        <v>0</v>
      </c>
    </row>
    <row r="4063" spans="23:34">
      <c r="W4063" s="177">
        <f t="shared" si="188"/>
        <v>0</v>
      </c>
      <c r="AB4063" s="178">
        <f t="shared" si="189"/>
        <v>0</v>
      </c>
      <c r="AH4063" s="177">
        <f t="shared" si="187"/>
        <v>0</v>
      </c>
    </row>
    <row r="4064" spans="23:34">
      <c r="W4064" s="177">
        <f t="shared" si="188"/>
        <v>0</v>
      </c>
      <c r="AB4064" s="178">
        <f t="shared" si="189"/>
        <v>0</v>
      </c>
      <c r="AH4064" s="177">
        <f t="shared" si="187"/>
        <v>0</v>
      </c>
    </row>
    <row r="4065" spans="23:34">
      <c r="W4065" s="177">
        <f t="shared" si="188"/>
        <v>0</v>
      </c>
      <c r="AB4065" s="178">
        <f t="shared" si="189"/>
        <v>0</v>
      </c>
      <c r="AH4065" s="177">
        <f t="shared" si="187"/>
        <v>0</v>
      </c>
    </row>
    <row r="4066" spans="23:34">
      <c r="W4066" s="177">
        <f t="shared" si="188"/>
        <v>0</v>
      </c>
      <c r="AB4066" s="178">
        <f t="shared" si="189"/>
        <v>0</v>
      </c>
      <c r="AH4066" s="177">
        <f t="shared" si="187"/>
        <v>0</v>
      </c>
    </row>
    <row r="4067" spans="23:34">
      <c r="W4067" s="177">
        <f t="shared" si="188"/>
        <v>0</v>
      </c>
      <c r="AB4067" s="178">
        <f t="shared" si="189"/>
        <v>0</v>
      </c>
      <c r="AH4067" s="177">
        <f t="shared" si="187"/>
        <v>0</v>
      </c>
    </row>
    <row r="4068" spans="23:34">
      <c r="W4068" s="177">
        <f t="shared" si="188"/>
        <v>0</v>
      </c>
      <c r="AB4068" s="178">
        <f t="shared" si="189"/>
        <v>0</v>
      </c>
      <c r="AH4068" s="177">
        <f t="shared" si="187"/>
        <v>0</v>
      </c>
    </row>
    <row r="4069" spans="23:34">
      <c r="W4069" s="177">
        <f t="shared" si="188"/>
        <v>0</v>
      </c>
      <c r="AB4069" s="178">
        <f t="shared" si="189"/>
        <v>0</v>
      </c>
      <c r="AH4069" s="177">
        <f t="shared" si="187"/>
        <v>0</v>
      </c>
    </row>
    <row r="4070" spans="23:34">
      <c r="W4070" s="177">
        <f t="shared" si="188"/>
        <v>0</v>
      </c>
      <c r="AB4070" s="178">
        <f t="shared" si="189"/>
        <v>0</v>
      </c>
      <c r="AH4070" s="177">
        <f t="shared" si="187"/>
        <v>0</v>
      </c>
    </row>
    <row r="4071" spans="23:34">
      <c r="W4071" s="177">
        <f t="shared" si="188"/>
        <v>0</v>
      </c>
      <c r="AB4071" s="178">
        <f t="shared" si="189"/>
        <v>0</v>
      </c>
      <c r="AH4071" s="177">
        <f t="shared" si="187"/>
        <v>0</v>
      </c>
    </row>
    <row r="4072" spans="23:34">
      <c r="W4072" s="177">
        <f t="shared" si="188"/>
        <v>0</v>
      </c>
      <c r="AB4072" s="178">
        <f t="shared" si="189"/>
        <v>0</v>
      </c>
      <c r="AH4072" s="177">
        <f t="shared" si="187"/>
        <v>0</v>
      </c>
    </row>
    <row r="4073" spans="23:34">
      <c r="W4073" s="177">
        <f t="shared" si="188"/>
        <v>0</v>
      </c>
      <c r="AB4073" s="178">
        <f t="shared" si="189"/>
        <v>0</v>
      </c>
      <c r="AH4073" s="177">
        <f t="shared" si="187"/>
        <v>0</v>
      </c>
    </row>
    <row r="4074" spans="23:34">
      <c r="W4074" s="177">
        <f t="shared" si="188"/>
        <v>0</v>
      </c>
      <c r="AB4074" s="178">
        <f t="shared" si="189"/>
        <v>0</v>
      </c>
      <c r="AH4074" s="177">
        <f t="shared" si="187"/>
        <v>0</v>
      </c>
    </row>
    <row r="4075" spans="23:34">
      <c r="W4075" s="177">
        <f t="shared" si="188"/>
        <v>0</v>
      </c>
      <c r="AB4075" s="178">
        <f t="shared" si="189"/>
        <v>0</v>
      </c>
      <c r="AH4075" s="177">
        <f t="shared" si="187"/>
        <v>0</v>
      </c>
    </row>
    <row r="4076" spans="23:34">
      <c r="W4076" s="177">
        <f t="shared" si="188"/>
        <v>0</v>
      </c>
      <c r="AB4076" s="178">
        <f t="shared" si="189"/>
        <v>0</v>
      </c>
      <c r="AH4076" s="177">
        <f t="shared" si="187"/>
        <v>0</v>
      </c>
    </row>
    <row r="4077" spans="23:34">
      <c r="W4077" s="177">
        <f t="shared" si="188"/>
        <v>0</v>
      </c>
      <c r="AB4077" s="178">
        <f t="shared" si="189"/>
        <v>0</v>
      </c>
      <c r="AH4077" s="177">
        <f t="shared" si="187"/>
        <v>0</v>
      </c>
    </row>
    <row r="4078" spans="23:34">
      <c r="W4078" s="177">
        <f t="shared" si="188"/>
        <v>0</v>
      </c>
      <c r="AB4078" s="178">
        <f t="shared" si="189"/>
        <v>0</v>
      </c>
      <c r="AH4078" s="177">
        <f t="shared" si="187"/>
        <v>0</v>
      </c>
    </row>
    <row r="4079" spans="23:34">
      <c r="W4079" s="177">
        <f t="shared" si="188"/>
        <v>0</v>
      </c>
      <c r="AB4079" s="178">
        <f t="shared" si="189"/>
        <v>0</v>
      </c>
      <c r="AH4079" s="177">
        <f t="shared" si="187"/>
        <v>0</v>
      </c>
    </row>
    <row r="4080" spans="23:34">
      <c r="W4080" s="177">
        <f t="shared" si="188"/>
        <v>0</v>
      </c>
      <c r="AB4080" s="178">
        <f t="shared" si="189"/>
        <v>0</v>
      </c>
      <c r="AH4080" s="177">
        <f t="shared" ref="AH4080:AH4143" si="190">SUM(AF4080:AG4080)</f>
        <v>0</v>
      </c>
    </row>
    <row r="4081" spans="23:34">
      <c r="W4081" s="177">
        <f t="shared" si="188"/>
        <v>0</v>
      </c>
      <c r="AB4081" s="178">
        <f t="shared" si="189"/>
        <v>0</v>
      </c>
      <c r="AH4081" s="177">
        <f t="shared" si="190"/>
        <v>0</v>
      </c>
    </row>
    <row r="4082" spans="23:34">
      <c r="W4082" s="177">
        <f t="shared" si="188"/>
        <v>0</v>
      </c>
      <c r="AB4082" s="178">
        <f t="shared" si="189"/>
        <v>0</v>
      </c>
      <c r="AH4082" s="177">
        <f t="shared" si="190"/>
        <v>0</v>
      </c>
    </row>
    <row r="4083" spans="23:34">
      <c r="W4083" s="177">
        <f t="shared" ref="W4083:W4146" si="191">SUM(Q4083:T4083)</f>
        <v>0</v>
      </c>
      <c r="AB4083" s="178">
        <f t="shared" si="189"/>
        <v>0</v>
      </c>
      <c r="AH4083" s="177">
        <f t="shared" si="190"/>
        <v>0</v>
      </c>
    </row>
    <row r="4084" spans="23:34">
      <c r="W4084" s="177">
        <f t="shared" si="191"/>
        <v>0</v>
      </c>
      <c r="AB4084" s="178">
        <f t="shared" si="189"/>
        <v>0</v>
      </c>
      <c r="AH4084" s="177">
        <f t="shared" si="190"/>
        <v>0</v>
      </c>
    </row>
    <row r="4085" spans="23:34">
      <c r="W4085" s="177">
        <f t="shared" si="191"/>
        <v>0</v>
      </c>
      <c r="AB4085" s="178">
        <f t="shared" si="189"/>
        <v>0</v>
      </c>
      <c r="AH4085" s="177">
        <f t="shared" si="190"/>
        <v>0</v>
      </c>
    </row>
    <row r="4086" spans="23:34">
      <c r="W4086" s="177">
        <f t="shared" si="191"/>
        <v>0</v>
      </c>
      <c r="AB4086" s="178">
        <f t="shared" si="189"/>
        <v>0</v>
      </c>
      <c r="AH4086" s="177">
        <f t="shared" si="190"/>
        <v>0</v>
      </c>
    </row>
    <row r="4087" spans="23:34">
      <c r="W4087" s="177">
        <f t="shared" si="191"/>
        <v>0</v>
      </c>
      <c r="AB4087" s="178">
        <f t="shared" si="189"/>
        <v>0</v>
      </c>
      <c r="AH4087" s="177">
        <f t="shared" si="190"/>
        <v>0</v>
      </c>
    </row>
    <row r="4088" spans="23:34">
      <c r="W4088" s="177">
        <f t="shared" si="191"/>
        <v>0</v>
      </c>
      <c r="AB4088" s="178">
        <f t="shared" si="189"/>
        <v>0</v>
      </c>
      <c r="AH4088" s="177">
        <f t="shared" si="190"/>
        <v>0</v>
      </c>
    </row>
    <row r="4089" spans="23:34">
      <c r="W4089" s="177">
        <f t="shared" si="191"/>
        <v>0</v>
      </c>
      <c r="AB4089" s="178">
        <f t="shared" si="189"/>
        <v>0</v>
      </c>
      <c r="AH4089" s="177">
        <f t="shared" si="190"/>
        <v>0</v>
      </c>
    </row>
    <row r="4090" spans="23:34">
      <c r="W4090" s="177">
        <f t="shared" si="191"/>
        <v>0</v>
      </c>
      <c r="AB4090" s="178">
        <f t="shared" si="189"/>
        <v>0</v>
      </c>
      <c r="AH4090" s="177">
        <f t="shared" si="190"/>
        <v>0</v>
      </c>
    </row>
    <row r="4091" spans="23:34">
      <c r="W4091" s="177">
        <f t="shared" si="191"/>
        <v>0</v>
      </c>
      <c r="AB4091" s="178">
        <f t="shared" ref="AB4091:AB4154" si="192">SUM(Z4091:AA4091)</f>
        <v>0</v>
      </c>
      <c r="AH4091" s="177">
        <f t="shared" si="190"/>
        <v>0</v>
      </c>
    </row>
    <row r="4092" spans="23:34">
      <c r="W4092" s="177">
        <f t="shared" si="191"/>
        <v>0</v>
      </c>
      <c r="AB4092" s="178">
        <f t="shared" si="192"/>
        <v>0</v>
      </c>
      <c r="AH4092" s="177">
        <f t="shared" si="190"/>
        <v>0</v>
      </c>
    </row>
    <row r="4093" spans="23:34">
      <c r="W4093" s="177">
        <f t="shared" si="191"/>
        <v>0</v>
      </c>
      <c r="AB4093" s="178">
        <f t="shared" si="192"/>
        <v>0</v>
      </c>
      <c r="AH4093" s="177">
        <f t="shared" si="190"/>
        <v>0</v>
      </c>
    </row>
    <row r="4094" spans="23:34">
      <c r="W4094" s="177">
        <f t="shared" si="191"/>
        <v>0</v>
      </c>
      <c r="AB4094" s="178">
        <f t="shared" si="192"/>
        <v>0</v>
      </c>
      <c r="AH4094" s="177">
        <f t="shared" si="190"/>
        <v>0</v>
      </c>
    </row>
    <row r="4095" spans="23:34">
      <c r="W4095" s="177">
        <f t="shared" si="191"/>
        <v>0</v>
      </c>
      <c r="AB4095" s="178">
        <f t="shared" si="192"/>
        <v>0</v>
      </c>
      <c r="AH4095" s="177">
        <f t="shared" si="190"/>
        <v>0</v>
      </c>
    </row>
    <row r="4096" spans="23:34">
      <c r="W4096" s="177">
        <f t="shared" si="191"/>
        <v>0</v>
      </c>
      <c r="AB4096" s="178">
        <f t="shared" si="192"/>
        <v>0</v>
      </c>
      <c r="AH4096" s="177">
        <f t="shared" si="190"/>
        <v>0</v>
      </c>
    </row>
    <row r="4097" spans="23:34">
      <c r="W4097" s="177">
        <f t="shared" si="191"/>
        <v>0</v>
      </c>
      <c r="AB4097" s="178">
        <f t="shared" si="192"/>
        <v>0</v>
      </c>
      <c r="AH4097" s="177">
        <f t="shared" si="190"/>
        <v>0</v>
      </c>
    </row>
    <row r="4098" spans="23:34">
      <c r="W4098" s="177">
        <f t="shared" si="191"/>
        <v>0</v>
      </c>
      <c r="AB4098" s="178">
        <f t="shared" si="192"/>
        <v>0</v>
      </c>
      <c r="AH4098" s="177">
        <f t="shared" si="190"/>
        <v>0</v>
      </c>
    </row>
    <row r="4099" spans="23:34">
      <c r="W4099" s="177">
        <f t="shared" si="191"/>
        <v>0</v>
      </c>
      <c r="AB4099" s="178">
        <f t="shared" si="192"/>
        <v>0</v>
      </c>
      <c r="AH4099" s="177">
        <f t="shared" si="190"/>
        <v>0</v>
      </c>
    </row>
    <row r="4100" spans="23:34">
      <c r="W4100" s="177">
        <f t="shared" si="191"/>
        <v>0</v>
      </c>
      <c r="AB4100" s="178">
        <f t="shared" si="192"/>
        <v>0</v>
      </c>
      <c r="AH4100" s="177">
        <f t="shared" si="190"/>
        <v>0</v>
      </c>
    </row>
    <row r="4101" spans="23:34">
      <c r="W4101" s="177">
        <f t="shared" si="191"/>
        <v>0</v>
      </c>
      <c r="AB4101" s="178">
        <f t="shared" si="192"/>
        <v>0</v>
      </c>
      <c r="AH4101" s="177">
        <f t="shared" si="190"/>
        <v>0</v>
      </c>
    </row>
    <row r="4102" spans="23:34">
      <c r="W4102" s="177">
        <f t="shared" si="191"/>
        <v>0</v>
      </c>
      <c r="AB4102" s="178">
        <f t="shared" si="192"/>
        <v>0</v>
      </c>
      <c r="AH4102" s="177">
        <f t="shared" si="190"/>
        <v>0</v>
      </c>
    </row>
    <row r="4103" spans="23:34">
      <c r="W4103" s="177">
        <f t="shared" si="191"/>
        <v>0</v>
      </c>
      <c r="AB4103" s="178">
        <f t="shared" si="192"/>
        <v>0</v>
      </c>
      <c r="AH4103" s="177">
        <f t="shared" si="190"/>
        <v>0</v>
      </c>
    </row>
    <row r="4104" spans="23:34">
      <c r="W4104" s="177">
        <f t="shared" si="191"/>
        <v>0</v>
      </c>
      <c r="AB4104" s="178">
        <f t="shared" si="192"/>
        <v>0</v>
      </c>
      <c r="AH4104" s="177">
        <f t="shared" si="190"/>
        <v>0</v>
      </c>
    </row>
    <row r="4105" spans="23:34">
      <c r="W4105" s="177">
        <f t="shared" si="191"/>
        <v>0</v>
      </c>
      <c r="AB4105" s="178">
        <f t="shared" si="192"/>
        <v>0</v>
      </c>
      <c r="AH4105" s="177">
        <f t="shared" si="190"/>
        <v>0</v>
      </c>
    </row>
    <row r="4106" spans="23:34">
      <c r="W4106" s="177">
        <f t="shared" si="191"/>
        <v>0</v>
      </c>
      <c r="AB4106" s="178">
        <f t="shared" si="192"/>
        <v>0</v>
      </c>
      <c r="AH4106" s="177">
        <f t="shared" si="190"/>
        <v>0</v>
      </c>
    </row>
    <row r="4107" spans="23:34">
      <c r="W4107" s="177">
        <f t="shared" si="191"/>
        <v>0</v>
      </c>
      <c r="AB4107" s="178">
        <f t="shared" si="192"/>
        <v>0</v>
      </c>
      <c r="AH4107" s="177">
        <f t="shared" si="190"/>
        <v>0</v>
      </c>
    </row>
    <row r="4108" spans="23:34">
      <c r="W4108" s="177">
        <f t="shared" si="191"/>
        <v>0</v>
      </c>
      <c r="AB4108" s="178">
        <f t="shared" si="192"/>
        <v>0</v>
      </c>
      <c r="AH4108" s="177">
        <f t="shared" si="190"/>
        <v>0</v>
      </c>
    </row>
    <row r="4109" spans="23:34">
      <c r="W4109" s="177">
        <f t="shared" si="191"/>
        <v>0</v>
      </c>
      <c r="AB4109" s="178">
        <f t="shared" si="192"/>
        <v>0</v>
      </c>
      <c r="AH4109" s="177">
        <f t="shared" si="190"/>
        <v>0</v>
      </c>
    </row>
    <row r="4110" spans="23:34">
      <c r="W4110" s="177">
        <f t="shared" si="191"/>
        <v>0</v>
      </c>
      <c r="AB4110" s="178">
        <f t="shared" si="192"/>
        <v>0</v>
      </c>
      <c r="AH4110" s="177">
        <f t="shared" si="190"/>
        <v>0</v>
      </c>
    </row>
    <row r="4111" spans="23:34">
      <c r="W4111" s="177">
        <f t="shared" si="191"/>
        <v>0</v>
      </c>
      <c r="AB4111" s="178">
        <f t="shared" si="192"/>
        <v>0</v>
      </c>
      <c r="AH4111" s="177">
        <f t="shared" si="190"/>
        <v>0</v>
      </c>
    </row>
    <row r="4112" spans="23:34">
      <c r="W4112" s="177">
        <f t="shared" si="191"/>
        <v>0</v>
      </c>
      <c r="AB4112" s="178">
        <f t="shared" si="192"/>
        <v>0</v>
      </c>
      <c r="AH4112" s="177">
        <f t="shared" si="190"/>
        <v>0</v>
      </c>
    </row>
    <row r="4113" spans="23:34">
      <c r="W4113" s="177">
        <f t="shared" si="191"/>
        <v>0</v>
      </c>
      <c r="AB4113" s="178">
        <f t="shared" si="192"/>
        <v>0</v>
      </c>
      <c r="AH4113" s="177">
        <f t="shared" si="190"/>
        <v>0</v>
      </c>
    </row>
    <row r="4114" spans="23:34">
      <c r="W4114" s="177">
        <f t="shared" si="191"/>
        <v>0</v>
      </c>
      <c r="AB4114" s="178">
        <f t="shared" si="192"/>
        <v>0</v>
      </c>
      <c r="AH4114" s="177">
        <f t="shared" si="190"/>
        <v>0</v>
      </c>
    </row>
    <row r="4115" spans="23:34">
      <c r="W4115" s="177">
        <f t="shared" si="191"/>
        <v>0</v>
      </c>
      <c r="AB4115" s="178">
        <f t="shared" si="192"/>
        <v>0</v>
      </c>
      <c r="AH4115" s="177">
        <f t="shared" si="190"/>
        <v>0</v>
      </c>
    </row>
    <row r="4116" spans="23:34">
      <c r="W4116" s="177">
        <f t="shared" si="191"/>
        <v>0</v>
      </c>
      <c r="AB4116" s="178">
        <f t="shared" si="192"/>
        <v>0</v>
      </c>
      <c r="AH4116" s="177">
        <f t="shared" si="190"/>
        <v>0</v>
      </c>
    </row>
    <row r="4117" spans="23:34">
      <c r="W4117" s="177">
        <f t="shared" si="191"/>
        <v>0</v>
      </c>
      <c r="AB4117" s="178">
        <f t="shared" si="192"/>
        <v>0</v>
      </c>
      <c r="AH4117" s="177">
        <f t="shared" si="190"/>
        <v>0</v>
      </c>
    </row>
    <row r="4118" spans="23:34">
      <c r="W4118" s="177">
        <f t="shared" si="191"/>
        <v>0</v>
      </c>
      <c r="AB4118" s="178">
        <f t="shared" si="192"/>
        <v>0</v>
      </c>
      <c r="AH4118" s="177">
        <f t="shared" si="190"/>
        <v>0</v>
      </c>
    </row>
    <row r="4119" spans="23:34">
      <c r="W4119" s="177">
        <f t="shared" si="191"/>
        <v>0</v>
      </c>
      <c r="AB4119" s="178">
        <f t="shared" si="192"/>
        <v>0</v>
      </c>
      <c r="AH4119" s="177">
        <f t="shared" si="190"/>
        <v>0</v>
      </c>
    </row>
    <row r="4120" spans="23:34">
      <c r="W4120" s="177">
        <f t="shared" si="191"/>
        <v>0</v>
      </c>
      <c r="AB4120" s="178">
        <f t="shared" si="192"/>
        <v>0</v>
      </c>
      <c r="AH4120" s="177">
        <f t="shared" si="190"/>
        <v>0</v>
      </c>
    </row>
    <row r="4121" spans="23:34">
      <c r="W4121" s="177">
        <f t="shared" si="191"/>
        <v>0</v>
      </c>
      <c r="AB4121" s="178">
        <f t="shared" si="192"/>
        <v>0</v>
      </c>
      <c r="AH4121" s="177">
        <f t="shared" si="190"/>
        <v>0</v>
      </c>
    </row>
    <row r="4122" spans="23:34">
      <c r="W4122" s="177">
        <f t="shared" si="191"/>
        <v>0</v>
      </c>
      <c r="AB4122" s="178">
        <f t="shared" si="192"/>
        <v>0</v>
      </c>
      <c r="AH4122" s="177">
        <f t="shared" si="190"/>
        <v>0</v>
      </c>
    </row>
    <row r="4123" spans="23:34">
      <c r="W4123" s="177">
        <f t="shared" si="191"/>
        <v>0</v>
      </c>
      <c r="AB4123" s="178">
        <f t="shared" si="192"/>
        <v>0</v>
      </c>
      <c r="AH4123" s="177">
        <f t="shared" si="190"/>
        <v>0</v>
      </c>
    </row>
    <row r="4124" spans="23:34">
      <c r="W4124" s="177">
        <f t="shared" si="191"/>
        <v>0</v>
      </c>
      <c r="AB4124" s="178">
        <f t="shared" si="192"/>
        <v>0</v>
      </c>
      <c r="AH4124" s="177">
        <f t="shared" si="190"/>
        <v>0</v>
      </c>
    </row>
    <row r="4125" spans="23:34">
      <c r="W4125" s="177">
        <f t="shared" si="191"/>
        <v>0</v>
      </c>
      <c r="AB4125" s="178">
        <f t="shared" si="192"/>
        <v>0</v>
      </c>
      <c r="AH4125" s="177">
        <f t="shared" si="190"/>
        <v>0</v>
      </c>
    </row>
    <row r="4126" spans="23:34">
      <c r="W4126" s="177">
        <f t="shared" si="191"/>
        <v>0</v>
      </c>
      <c r="AB4126" s="178">
        <f t="shared" si="192"/>
        <v>0</v>
      </c>
      <c r="AH4126" s="177">
        <f t="shared" si="190"/>
        <v>0</v>
      </c>
    </row>
    <row r="4127" spans="23:34">
      <c r="W4127" s="177">
        <f t="shared" si="191"/>
        <v>0</v>
      </c>
      <c r="AB4127" s="178">
        <f t="shared" si="192"/>
        <v>0</v>
      </c>
      <c r="AH4127" s="177">
        <f t="shared" si="190"/>
        <v>0</v>
      </c>
    </row>
    <row r="4128" spans="23:34">
      <c r="W4128" s="177">
        <f t="shared" si="191"/>
        <v>0</v>
      </c>
      <c r="AB4128" s="178">
        <f t="shared" si="192"/>
        <v>0</v>
      </c>
      <c r="AH4128" s="177">
        <f t="shared" si="190"/>
        <v>0</v>
      </c>
    </row>
    <row r="4129" spans="23:34">
      <c r="W4129" s="177">
        <f t="shared" si="191"/>
        <v>0</v>
      </c>
      <c r="AB4129" s="178">
        <f t="shared" si="192"/>
        <v>0</v>
      </c>
      <c r="AH4129" s="177">
        <f t="shared" si="190"/>
        <v>0</v>
      </c>
    </row>
    <row r="4130" spans="23:34">
      <c r="W4130" s="177">
        <f t="shared" si="191"/>
        <v>0</v>
      </c>
      <c r="AB4130" s="178">
        <f t="shared" si="192"/>
        <v>0</v>
      </c>
      <c r="AH4130" s="177">
        <f t="shared" si="190"/>
        <v>0</v>
      </c>
    </row>
    <row r="4131" spans="23:34">
      <c r="W4131" s="177">
        <f t="shared" si="191"/>
        <v>0</v>
      </c>
      <c r="AB4131" s="178">
        <f t="shared" si="192"/>
        <v>0</v>
      </c>
      <c r="AH4131" s="177">
        <f t="shared" si="190"/>
        <v>0</v>
      </c>
    </row>
    <row r="4132" spans="23:34">
      <c r="W4132" s="177">
        <f t="shared" si="191"/>
        <v>0</v>
      </c>
      <c r="AB4132" s="178">
        <f t="shared" si="192"/>
        <v>0</v>
      </c>
      <c r="AH4132" s="177">
        <f t="shared" si="190"/>
        <v>0</v>
      </c>
    </row>
    <row r="4133" spans="23:34">
      <c r="W4133" s="177">
        <f t="shared" si="191"/>
        <v>0</v>
      </c>
      <c r="AB4133" s="178">
        <f t="shared" si="192"/>
        <v>0</v>
      </c>
      <c r="AH4133" s="177">
        <f t="shared" si="190"/>
        <v>0</v>
      </c>
    </row>
    <row r="4134" spans="23:34">
      <c r="W4134" s="177">
        <f t="shared" si="191"/>
        <v>0</v>
      </c>
      <c r="AB4134" s="178">
        <f t="shared" si="192"/>
        <v>0</v>
      </c>
      <c r="AH4134" s="177">
        <f t="shared" si="190"/>
        <v>0</v>
      </c>
    </row>
    <row r="4135" spans="23:34">
      <c r="W4135" s="177">
        <f t="shared" si="191"/>
        <v>0</v>
      </c>
      <c r="AB4135" s="178">
        <f t="shared" si="192"/>
        <v>0</v>
      </c>
      <c r="AH4135" s="177">
        <f t="shared" si="190"/>
        <v>0</v>
      </c>
    </row>
    <row r="4136" spans="23:34">
      <c r="W4136" s="177">
        <f t="shared" si="191"/>
        <v>0</v>
      </c>
      <c r="AB4136" s="178">
        <f t="shared" si="192"/>
        <v>0</v>
      </c>
      <c r="AH4136" s="177">
        <f t="shared" si="190"/>
        <v>0</v>
      </c>
    </row>
    <row r="4137" spans="23:34">
      <c r="W4137" s="177">
        <f t="shared" si="191"/>
        <v>0</v>
      </c>
      <c r="AB4137" s="178">
        <f t="shared" si="192"/>
        <v>0</v>
      </c>
      <c r="AH4137" s="177">
        <f t="shared" si="190"/>
        <v>0</v>
      </c>
    </row>
    <row r="4138" spans="23:34">
      <c r="W4138" s="177">
        <f t="shared" si="191"/>
        <v>0</v>
      </c>
      <c r="AB4138" s="178">
        <f t="shared" si="192"/>
        <v>0</v>
      </c>
      <c r="AH4138" s="177">
        <f t="shared" si="190"/>
        <v>0</v>
      </c>
    </row>
    <row r="4139" spans="23:34">
      <c r="W4139" s="177">
        <f t="shared" si="191"/>
        <v>0</v>
      </c>
      <c r="AB4139" s="178">
        <f t="shared" si="192"/>
        <v>0</v>
      </c>
      <c r="AH4139" s="177">
        <f t="shared" si="190"/>
        <v>0</v>
      </c>
    </row>
    <row r="4140" spans="23:34">
      <c r="W4140" s="177">
        <f t="shared" si="191"/>
        <v>0</v>
      </c>
      <c r="AB4140" s="178">
        <f t="shared" si="192"/>
        <v>0</v>
      </c>
      <c r="AH4140" s="177">
        <f t="shared" si="190"/>
        <v>0</v>
      </c>
    </row>
    <row r="4141" spans="23:34">
      <c r="W4141" s="177">
        <f t="shared" si="191"/>
        <v>0</v>
      </c>
      <c r="AB4141" s="178">
        <f t="shared" si="192"/>
        <v>0</v>
      </c>
      <c r="AH4141" s="177">
        <f t="shared" si="190"/>
        <v>0</v>
      </c>
    </row>
    <row r="4142" spans="23:34">
      <c r="W4142" s="177">
        <f t="shared" si="191"/>
        <v>0</v>
      </c>
      <c r="AB4142" s="178">
        <f t="shared" si="192"/>
        <v>0</v>
      </c>
      <c r="AH4142" s="177">
        <f t="shared" si="190"/>
        <v>0</v>
      </c>
    </row>
    <row r="4143" spans="23:34">
      <c r="W4143" s="177">
        <f t="shared" si="191"/>
        <v>0</v>
      </c>
      <c r="AB4143" s="178">
        <f t="shared" si="192"/>
        <v>0</v>
      </c>
      <c r="AH4143" s="177">
        <f t="shared" si="190"/>
        <v>0</v>
      </c>
    </row>
    <row r="4144" spans="23:34">
      <c r="W4144" s="177">
        <f t="shared" si="191"/>
        <v>0</v>
      </c>
      <c r="AB4144" s="178">
        <f t="shared" si="192"/>
        <v>0</v>
      </c>
      <c r="AH4144" s="177">
        <f t="shared" ref="AH4144:AH4207" si="193">SUM(AF4144:AG4144)</f>
        <v>0</v>
      </c>
    </row>
    <row r="4145" spans="23:34">
      <c r="W4145" s="177">
        <f t="shared" si="191"/>
        <v>0</v>
      </c>
      <c r="AB4145" s="178">
        <f t="shared" si="192"/>
        <v>0</v>
      </c>
      <c r="AH4145" s="177">
        <f t="shared" si="193"/>
        <v>0</v>
      </c>
    </row>
    <row r="4146" spans="23:34">
      <c r="W4146" s="177">
        <f t="shared" si="191"/>
        <v>0</v>
      </c>
      <c r="AB4146" s="178">
        <f t="shared" si="192"/>
        <v>0</v>
      </c>
      <c r="AH4146" s="177">
        <f t="shared" si="193"/>
        <v>0</v>
      </c>
    </row>
    <row r="4147" spans="23:34">
      <c r="W4147" s="177">
        <f t="shared" ref="W4147:W4210" si="194">SUM(Q4147:T4147)</f>
        <v>0</v>
      </c>
      <c r="AB4147" s="178">
        <f t="shared" si="192"/>
        <v>0</v>
      </c>
      <c r="AH4147" s="177">
        <f t="shared" si="193"/>
        <v>0</v>
      </c>
    </row>
    <row r="4148" spans="23:34">
      <c r="W4148" s="177">
        <f t="shared" si="194"/>
        <v>0</v>
      </c>
      <c r="AB4148" s="178">
        <f t="shared" si="192"/>
        <v>0</v>
      </c>
      <c r="AH4148" s="177">
        <f t="shared" si="193"/>
        <v>0</v>
      </c>
    </row>
    <row r="4149" spans="23:34">
      <c r="W4149" s="177">
        <f t="shared" si="194"/>
        <v>0</v>
      </c>
      <c r="AB4149" s="178">
        <f t="shared" si="192"/>
        <v>0</v>
      </c>
      <c r="AH4149" s="177">
        <f t="shared" si="193"/>
        <v>0</v>
      </c>
    </row>
    <row r="4150" spans="23:34">
      <c r="W4150" s="177">
        <f t="shared" si="194"/>
        <v>0</v>
      </c>
      <c r="AB4150" s="178">
        <f t="shared" si="192"/>
        <v>0</v>
      </c>
      <c r="AH4150" s="177">
        <f t="shared" si="193"/>
        <v>0</v>
      </c>
    </row>
    <row r="4151" spans="23:34">
      <c r="W4151" s="177">
        <f t="shared" si="194"/>
        <v>0</v>
      </c>
      <c r="AB4151" s="178">
        <f t="shared" si="192"/>
        <v>0</v>
      </c>
      <c r="AH4151" s="177">
        <f t="shared" si="193"/>
        <v>0</v>
      </c>
    </row>
    <row r="4152" spans="23:34">
      <c r="W4152" s="177">
        <f t="shared" si="194"/>
        <v>0</v>
      </c>
      <c r="AB4152" s="178">
        <f t="shared" si="192"/>
        <v>0</v>
      </c>
      <c r="AH4152" s="177">
        <f t="shared" si="193"/>
        <v>0</v>
      </c>
    </row>
    <row r="4153" spans="23:34">
      <c r="W4153" s="177">
        <f t="shared" si="194"/>
        <v>0</v>
      </c>
      <c r="AB4153" s="178">
        <f t="shared" si="192"/>
        <v>0</v>
      </c>
      <c r="AH4153" s="177">
        <f t="shared" si="193"/>
        <v>0</v>
      </c>
    </row>
    <row r="4154" spans="23:34">
      <c r="W4154" s="177">
        <f t="shared" si="194"/>
        <v>0</v>
      </c>
      <c r="AB4154" s="178">
        <f t="shared" si="192"/>
        <v>0</v>
      </c>
      <c r="AH4154" s="177">
        <f t="shared" si="193"/>
        <v>0</v>
      </c>
    </row>
    <row r="4155" spans="23:34">
      <c r="W4155" s="177">
        <f t="shared" si="194"/>
        <v>0</v>
      </c>
      <c r="AB4155" s="178">
        <f t="shared" ref="AB4155:AB4218" si="195">SUM(Z4155:AA4155)</f>
        <v>0</v>
      </c>
      <c r="AH4155" s="177">
        <f t="shared" si="193"/>
        <v>0</v>
      </c>
    </row>
    <row r="4156" spans="23:34">
      <c r="W4156" s="177">
        <f t="shared" si="194"/>
        <v>0</v>
      </c>
      <c r="AB4156" s="178">
        <f t="shared" si="195"/>
        <v>0</v>
      </c>
      <c r="AH4156" s="177">
        <f t="shared" si="193"/>
        <v>0</v>
      </c>
    </row>
    <row r="4157" spans="23:34">
      <c r="W4157" s="177">
        <f t="shared" si="194"/>
        <v>0</v>
      </c>
      <c r="AB4157" s="178">
        <f t="shared" si="195"/>
        <v>0</v>
      </c>
      <c r="AH4157" s="177">
        <f t="shared" si="193"/>
        <v>0</v>
      </c>
    </row>
    <row r="4158" spans="23:34">
      <c r="W4158" s="177">
        <f t="shared" si="194"/>
        <v>0</v>
      </c>
      <c r="AB4158" s="178">
        <f t="shared" si="195"/>
        <v>0</v>
      </c>
      <c r="AH4158" s="177">
        <f t="shared" si="193"/>
        <v>0</v>
      </c>
    </row>
    <row r="4159" spans="23:34">
      <c r="W4159" s="177">
        <f t="shared" si="194"/>
        <v>0</v>
      </c>
      <c r="AB4159" s="178">
        <f t="shared" si="195"/>
        <v>0</v>
      </c>
      <c r="AH4159" s="177">
        <f t="shared" si="193"/>
        <v>0</v>
      </c>
    </row>
    <row r="4160" spans="23:34">
      <c r="W4160" s="177">
        <f t="shared" si="194"/>
        <v>0</v>
      </c>
      <c r="AB4160" s="178">
        <f t="shared" si="195"/>
        <v>0</v>
      </c>
      <c r="AH4160" s="177">
        <f t="shared" si="193"/>
        <v>0</v>
      </c>
    </row>
    <row r="4161" spans="23:34">
      <c r="W4161" s="177">
        <f t="shared" si="194"/>
        <v>0</v>
      </c>
      <c r="AB4161" s="178">
        <f t="shared" si="195"/>
        <v>0</v>
      </c>
      <c r="AH4161" s="177">
        <f t="shared" si="193"/>
        <v>0</v>
      </c>
    </row>
    <row r="4162" spans="23:34">
      <c r="W4162" s="177">
        <f t="shared" si="194"/>
        <v>0</v>
      </c>
      <c r="AB4162" s="178">
        <f t="shared" si="195"/>
        <v>0</v>
      </c>
      <c r="AH4162" s="177">
        <f t="shared" si="193"/>
        <v>0</v>
      </c>
    </row>
    <row r="4163" spans="23:34">
      <c r="W4163" s="177">
        <f t="shared" si="194"/>
        <v>0</v>
      </c>
      <c r="AB4163" s="178">
        <f t="shared" si="195"/>
        <v>0</v>
      </c>
      <c r="AH4163" s="177">
        <f t="shared" si="193"/>
        <v>0</v>
      </c>
    </row>
    <row r="4164" spans="23:34">
      <c r="W4164" s="177">
        <f t="shared" si="194"/>
        <v>0</v>
      </c>
      <c r="AB4164" s="178">
        <f t="shared" si="195"/>
        <v>0</v>
      </c>
      <c r="AH4164" s="177">
        <f t="shared" si="193"/>
        <v>0</v>
      </c>
    </row>
    <row r="4165" spans="23:34">
      <c r="W4165" s="177">
        <f t="shared" si="194"/>
        <v>0</v>
      </c>
      <c r="AB4165" s="178">
        <f t="shared" si="195"/>
        <v>0</v>
      </c>
      <c r="AH4165" s="177">
        <f t="shared" si="193"/>
        <v>0</v>
      </c>
    </row>
    <row r="4166" spans="23:34">
      <c r="W4166" s="177">
        <f t="shared" si="194"/>
        <v>0</v>
      </c>
      <c r="AB4166" s="178">
        <f t="shared" si="195"/>
        <v>0</v>
      </c>
      <c r="AH4166" s="177">
        <f t="shared" si="193"/>
        <v>0</v>
      </c>
    </row>
    <row r="4167" spans="23:34">
      <c r="W4167" s="177">
        <f t="shared" si="194"/>
        <v>0</v>
      </c>
      <c r="AB4167" s="178">
        <f t="shared" si="195"/>
        <v>0</v>
      </c>
      <c r="AH4167" s="177">
        <f t="shared" si="193"/>
        <v>0</v>
      </c>
    </row>
    <row r="4168" spans="23:34">
      <c r="W4168" s="177">
        <f t="shared" si="194"/>
        <v>0</v>
      </c>
      <c r="AB4168" s="178">
        <f t="shared" si="195"/>
        <v>0</v>
      </c>
      <c r="AH4168" s="177">
        <f t="shared" si="193"/>
        <v>0</v>
      </c>
    </row>
    <row r="4169" spans="23:34">
      <c r="W4169" s="177">
        <f t="shared" si="194"/>
        <v>0</v>
      </c>
      <c r="AB4169" s="178">
        <f t="shared" si="195"/>
        <v>0</v>
      </c>
      <c r="AH4169" s="177">
        <f t="shared" si="193"/>
        <v>0</v>
      </c>
    </row>
    <row r="4170" spans="23:34">
      <c r="W4170" s="177">
        <f t="shared" si="194"/>
        <v>0</v>
      </c>
      <c r="AB4170" s="178">
        <f t="shared" si="195"/>
        <v>0</v>
      </c>
      <c r="AH4170" s="177">
        <f t="shared" si="193"/>
        <v>0</v>
      </c>
    </row>
    <row r="4171" spans="23:34">
      <c r="W4171" s="177">
        <f t="shared" si="194"/>
        <v>0</v>
      </c>
      <c r="AB4171" s="178">
        <f t="shared" si="195"/>
        <v>0</v>
      </c>
      <c r="AH4171" s="177">
        <f t="shared" si="193"/>
        <v>0</v>
      </c>
    </row>
    <row r="4172" spans="23:34">
      <c r="W4172" s="177">
        <f t="shared" si="194"/>
        <v>0</v>
      </c>
      <c r="AB4172" s="178">
        <f t="shared" si="195"/>
        <v>0</v>
      </c>
      <c r="AH4172" s="177">
        <f t="shared" si="193"/>
        <v>0</v>
      </c>
    </row>
    <row r="4173" spans="23:34">
      <c r="W4173" s="177">
        <f t="shared" si="194"/>
        <v>0</v>
      </c>
      <c r="AB4173" s="178">
        <f t="shared" si="195"/>
        <v>0</v>
      </c>
      <c r="AH4173" s="177">
        <f t="shared" si="193"/>
        <v>0</v>
      </c>
    </row>
    <row r="4174" spans="23:34">
      <c r="W4174" s="177">
        <f t="shared" si="194"/>
        <v>0</v>
      </c>
      <c r="AB4174" s="178">
        <f t="shared" si="195"/>
        <v>0</v>
      </c>
      <c r="AH4174" s="177">
        <f t="shared" si="193"/>
        <v>0</v>
      </c>
    </row>
    <row r="4175" spans="23:34">
      <c r="W4175" s="177">
        <f t="shared" si="194"/>
        <v>0</v>
      </c>
      <c r="AB4175" s="178">
        <f t="shared" si="195"/>
        <v>0</v>
      </c>
      <c r="AH4175" s="177">
        <f t="shared" si="193"/>
        <v>0</v>
      </c>
    </row>
    <row r="4176" spans="23:34">
      <c r="W4176" s="177">
        <f t="shared" si="194"/>
        <v>0</v>
      </c>
      <c r="AB4176" s="178">
        <f t="shared" si="195"/>
        <v>0</v>
      </c>
      <c r="AH4176" s="177">
        <f t="shared" si="193"/>
        <v>0</v>
      </c>
    </row>
    <row r="4177" spans="23:34">
      <c r="W4177" s="177">
        <f t="shared" si="194"/>
        <v>0</v>
      </c>
      <c r="AB4177" s="178">
        <f t="shared" si="195"/>
        <v>0</v>
      </c>
      <c r="AH4177" s="177">
        <f t="shared" si="193"/>
        <v>0</v>
      </c>
    </row>
    <row r="4178" spans="23:34">
      <c r="W4178" s="177">
        <f t="shared" si="194"/>
        <v>0</v>
      </c>
      <c r="AB4178" s="178">
        <f t="shared" si="195"/>
        <v>0</v>
      </c>
      <c r="AH4178" s="177">
        <f t="shared" si="193"/>
        <v>0</v>
      </c>
    </row>
    <row r="4179" spans="23:34">
      <c r="W4179" s="177">
        <f t="shared" si="194"/>
        <v>0</v>
      </c>
      <c r="AB4179" s="178">
        <f t="shared" si="195"/>
        <v>0</v>
      </c>
      <c r="AH4179" s="177">
        <f t="shared" si="193"/>
        <v>0</v>
      </c>
    </row>
    <row r="4180" spans="23:34">
      <c r="W4180" s="177">
        <f t="shared" si="194"/>
        <v>0</v>
      </c>
      <c r="AB4180" s="178">
        <f t="shared" si="195"/>
        <v>0</v>
      </c>
      <c r="AH4180" s="177">
        <f t="shared" si="193"/>
        <v>0</v>
      </c>
    </row>
    <row r="4181" spans="23:34">
      <c r="W4181" s="177">
        <f t="shared" si="194"/>
        <v>0</v>
      </c>
      <c r="AB4181" s="178">
        <f t="shared" si="195"/>
        <v>0</v>
      </c>
      <c r="AH4181" s="177">
        <f t="shared" si="193"/>
        <v>0</v>
      </c>
    </row>
    <row r="4182" spans="23:34">
      <c r="W4182" s="177">
        <f t="shared" si="194"/>
        <v>0</v>
      </c>
      <c r="AB4182" s="178">
        <f t="shared" si="195"/>
        <v>0</v>
      </c>
      <c r="AH4182" s="177">
        <f t="shared" si="193"/>
        <v>0</v>
      </c>
    </row>
    <row r="4183" spans="23:34">
      <c r="W4183" s="177">
        <f t="shared" si="194"/>
        <v>0</v>
      </c>
      <c r="AB4183" s="178">
        <f t="shared" si="195"/>
        <v>0</v>
      </c>
      <c r="AH4183" s="177">
        <f t="shared" si="193"/>
        <v>0</v>
      </c>
    </row>
    <row r="4184" spans="23:34">
      <c r="W4184" s="177">
        <f t="shared" si="194"/>
        <v>0</v>
      </c>
      <c r="AB4184" s="178">
        <f t="shared" si="195"/>
        <v>0</v>
      </c>
      <c r="AH4184" s="177">
        <f t="shared" si="193"/>
        <v>0</v>
      </c>
    </row>
    <row r="4185" spans="23:34">
      <c r="W4185" s="177">
        <f t="shared" si="194"/>
        <v>0</v>
      </c>
      <c r="AB4185" s="178">
        <f t="shared" si="195"/>
        <v>0</v>
      </c>
      <c r="AH4185" s="177">
        <f t="shared" si="193"/>
        <v>0</v>
      </c>
    </row>
    <row r="4186" spans="23:34">
      <c r="W4186" s="177">
        <f t="shared" si="194"/>
        <v>0</v>
      </c>
      <c r="AB4186" s="178">
        <f t="shared" si="195"/>
        <v>0</v>
      </c>
      <c r="AH4186" s="177">
        <f t="shared" si="193"/>
        <v>0</v>
      </c>
    </row>
    <row r="4187" spans="23:34">
      <c r="W4187" s="177">
        <f t="shared" si="194"/>
        <v>0</v>
      </c>
      <c r="AB4187" s="178">
        <f t="shared" si="195"/>
        <v>0</v>
      </c>
      <c r="AH4187" s="177">
        <f t="shared" si="193"/>
        <v>0</v>
      </c>
    </row>
    <row r="4188" spans="23:34">
      <c r="W4188" s="177">
        <f t="shared" si="194"/>
        <v>0</v>
      </c>
      <c r="AB4188" s="178">
        <f t="shared" si="195"/>
        <v>0</v>
      </c>
      <c r="AH4188" s="177">
        <f t="shared" si="193"/>
        <v>0</v>
      </c>
    </row>
    <row r="4189" spans="23:34">
      <c r="W4189" s="177">
        <f t="shared" si="194"/>
        <v>0</v>
      </c>
      <c r="AB4189" s="178">
        <f t="shared" si="195"/>
        <v>0</v>
      </c>
      <c r="AH4189" s="177">
        <f t="shared" si="193"/>
        <v>0</v>
      </c>
    </row>
    <row r="4190" spans="23:34">
      <c r="W4190" s="177">
        <f t="shared" si="194"/>
        <v>0</v>
      </c>
      <c r="AB4190" s="178">
        <f t="shared" si="195"/>
        <v>0</v>
      </c>
      <c r="AH4190" s="177">
        <f t="shared" si="193"/>
        <v>0</v>
      </c>
    </row>
    <row r="4191" spans="23:34">
      <c r="W4191" s="177">
        <f t="shared" si="194"/>
        <v>0</v>
      </c>
      <c r="AB4191" s="178">
        <f t="shared" si="195"/>
        <v>0</v>
      </c>
      <c r="AH4191" s="177">
        <f t="shared" si="193"/>
        <v>0</v>
      </c>
    </row>
    <row r="4192" spans="23:34">
      <c r="W4192" s="177">
        <f t="shared" si="194"/>
        <v>0</v>
      </c>
      <c r="AB4192" s="178">
        <f t="shared" si="195"/>
        <v>0</v>
      </c>
      <c r="AH4192" s="177">
        <f t="shared" si="193"/>
        <v>0</v>
      </c>
    </row>
    <row r="4193" spans="23:34">
      <c r="W4193" s="177">
        <f t="shared" si="194"/>
        <v>0</v>
      </c>
      <c r="AB4193" s="178">
        <f t="shared" si="195"/>
        <v>0</v>
      </c>
      <c r="AH4193" s="177">
        <f t="shared" si="193"/>
        <v>0</v>
      </c>
    </row>
    <row r="4194" spans="23:34">
      <c r="W4194" s="177">
        <f t="shared" si="194"/>
        <v>0</v>
      </c>
      <c r="AB4194" s="178">
        <f t="shared" si="195"/>
        <v>0</v>
      </c>
      <c r="AH4194" s="177">
        <f t="shared" si="193"/>
        <v>0</v>
      </c>
    </row>
    <row r="4195" spans="23:34">
      <c r="W4195" s="177">
        <f t="shared" si="194"/>
        <v>0</v>
      </c>
      <c r="AB4195" s="178">
        <f t="shared" si="195"/>
        <v>0</v>
      </c>
      <c r="AH4195" s="177">
        <f t="shared" si="193"/>
        <v>0</v>
      </c>
    </row>
    <row r="4196" spans="23:34">
      <c r="W4196" s="177">
        <f t="shared" si="194"/>
        <v>0</v>
      </c>
      <c r="AB4196" s="178">
        <f t="shared" si="195"/>
        <v>0</v>
      </c>
      <c r="AH4196" s="177">
        <f t="shared" si="193"/>
        <v>0</v>
      </c>
    </row>
    <row r="4197" spans="23:34">
      <c r="W4197" s="177">
        <f t="shared" si="194"/>
        <v>0</v>
      </c>
      <c r="AB4197" s="178">
        <f t="shared" si="195"/>
        <v>0</v>
      </c>
      <c r="AH4197" s="177">
        <f t="shared" si="193"/>
        <v>0</v>
      </c>
    </row>
    <row r="4198" spans="23:34">
      <c r="W4198" s="177">
        <f t="shared" si="194"/>
        <v>0</v>
      </c>
      <c r="AB4198" s="178">
        <f t="shared" si="195"/>
        <v>0</v>
      </c>
      <c r="AH4198" s="177">
        <f t="shared" si="193"/>
        <v>0</v>
      </c>
    </row>
    <row r="4199" spans="23:34">
      <c r="W4199" s="177">
        <f t="shared" si="194"/>
        <v>0</v>
      </c>
      <c r="AB4199" s="178">
        <f t="shared" si="195"/>
        <v>0</v>
      </c>
      <c r="AH4199" s="177">
        <f t="shared" si="193"/>
        <v>0</v>
      </c>
    </row>
    <row r="4200" spans="23:34">
      <c r="W4200" s="177">
        <f t="shared" si="194"/>
        <v>0</v>
      </c>
      <c r="AB4200" s="178">
        <f t="shared" si="195"/>
        <v>0</v>
      </c>
      <c r="AH4200" s="177">
        <f t="shared" si="193"/>
        <v>0</v>
      </c>
    </row>
    <row r="4201" spans="23:34">
      <c r="W4201" s="177">
        <f t="shared" si="194"/>
        <v>0</v>
      </c>
      <c r="AB4201" s="178">
        <f t="shared" si="195"/>
        <v>0</v>
      </c>
      <c r="AH4201" s="177">
        <f t="shared" si="193"/>
        <v>0</v>
      </c>
    </row>
    <row r="4202" spans="23:34">
      <c r="W4202" s="177">
        <f t="shared" si="194"/>
        <v>0</v>
      </c>
      <c r="AB4202" s="178">
        <f t="shared" si="195"/>
        <v>0</v>
      </c>
      <c r="AH4202" s="177">
        <f t="shared" si="193"/>
        <v>0</v>
      </c>
    </row>
    <row r="4203" spans="23:34">
      <c r="W4203" s="177">
        <f t="shared" si="194"/>
        <v>0</v>
      </c>
      <c r="AB4203" s="178">
        <f t="shared" si="195"/>
        <v>0</v>
      </c>
      <c r="AH4203" s="177">
        <f t="shared" si="193"/>
        <v>0</v>
      </c>
    </row>
    <row r="4204" spans="23:34">
      <c r="W4204" s="177">
        <f t="shared" si="194"/>
        <v>0</v>
      </c>
      <c r="AB4204" s="178">
        <f t="shared" si="195"/>
        <v>0</v>
      </c>
      <c r="AH4204" s="177">
        <f t="shared" si="193"/>
        <v>0</v>
      </c>
    </row>
    <row r="4205" spans="23:34">
      <c r="W4205" s="177">
        <f t="shared" si="194"/>
        <v>0</v>
      </c>
      <c r="AB4205" s="178">
        <f t="shared" si="195"/>
        <v>0</v>
      </c>
      <c r="AH4205" s="177">
        <f t="shared" si="193"/>
        <v>0</v>
      </c>
    </row>
    <row r="4206" spans="23:34">
      <c r="W4206" s="177">
        <f t="shared" si="194"/>
        <v>0</v>
      </c>
      <c r="AB4206" s="178">
        <f t="shared" si="195"/>
        <v>0</v>
      </c>
      <c r="AH4206" s="177">
        <f t="shared" si="193"/>
        <v>0</v>
      </c>
    </row>
    <row r="4207" spans="23:34">
      <c r="W4207" s="177">
        <f t="shared" si="194"/>
        <v>0</v>
      </c>
      <c r="AB4207" s="178">
        <f t="shared" si="195"/>
        <v>0</v>
      </c>
      <c r="AH4207" s="177">
        <f t="shared" si="193"/>
        <v>0</v>
      </c>
    </row>
    <row r="4208" spans="23:34">
      <c r="W4208" s="177">
        <f t="shared" si="194"/>
        <v>0</v>
      </c>
      <c r="AB4208" s="178">
        <f t="shared" si="195"/>
        <v>0</v>
      </c>
      <c r="AH4208" s="177">
        <f t="shared" ref="AH4208:AH4271" si="196">SUM(AF4208:AG4208)</f>
        <v>0</v>
      </c>
    </row>
    <row r="4209" spans="23:34">
      <c r="W4209" s="177">
        <f t="shared" si="194"/>
        <v>0</v>
      </c>
      <c r="AB4209" s="178">
        <f t="shared" si="195"/>
        <v>0</v>
      </c>
      <c r="AH4209" s="177">
        <f t="shared" si="196"/>
        <v>0</v>
      </c>
    </row>
    <row r="4210" spans="23:34">
      <c r="W4210" s="177">
        <f t="shared" si="194"/>
        <v>0</v>
      </c>
      <c r="AB4210" s="178">
        <f t="shared" si="195"/>
        <v>0</v>
      </c>
      <c r="AH4210" s="177">
        <f t="shared" si="196"/>
        <v>0</v>
      </c>
    </row>
    <row r="4211" spans="23:34">
      <c r="W4211" s="177">
        <f t="shared" ref="W4211:W4274" si="197">SUM(Q4211:T4211)</f>
        <v>0</v>
      </c>
      <c r="AB4211" s="178">
        <f t="shared" si="195"/>
        <v>0</v>
      </c>
      <c r="AH4211" s="177">
        <f t="shared" si="196"/>
        <v>0</v>
      </c>
    </row>
    <row r="4212" spans="23:34">
      <c r="W4212" s="177">
        <f t="shared" si="197"/>
        <v>0</v>
      </c>
      <c r="AB4212" s="178">
        <f t="shared" si="195"/>
        <v>0</v>
      </c>
      <c r="AH4212" s="177">
        <f t="shared" si="196"/>
        <v>0</v>
      </c>
    </row>
    <row r="4213" spans="23:34">
      <c r="W4213" s="177">
        <f t="shared" si="197"/>
        <v>0</v>
      </c>
      <c r="AB4213" s="178">
        <f t="shared" si="195"/>
        <v>0</v>
      </c>
      <c r="AH4213" s="177">
        <f t="shared" si="196"/>
        <v>0</v>
      </c>
    </row>
    <row r="4214" spans="23:34">
      <c r="W4214" s="177">
        <f t="shared" si="197"/>
        <v>0</v>
      </c>
      <c r="AB4214" s="178">
        <f t="shared" si="195"/>
        <v>0</v>
      </c>
      <c r="AH4214" s="177">
        <f t="shared" si="196"/>
        <v>0</v>
      </c>
    </row>
    <row r="4215" spans="23:34">
      <c r="W4215" s="177">
        <f t="shared" si="197"/>
        <v>0</v>
      </c>
      <c r="AB4215" s="178">
        <f t="shared" si="195"/>
        <v>0</v>
      </c>
      <c r="AH4215" s="177">
        <f t="shared" si="196"/>
        <v>0</v>
      </c>
    </row>
    <row r="4216" spans="23:34">
      <c r="W4216" s="177">
        <f t="shared" si="197"/>
        <v>0</v>
      </c>
      <c r="AB4216" s="178">
        <f t="shared" si="195"/>
        <v>0</v>
      </c>
      <c r="AH4216" s="177">
        <f t="shared" si="196"/>
        <v>0</v>
      </c>
    </row>
    <row r="4217" spans="23:34">
      <c r="W4217" s="177">
        <f t="shared" si="197"/>
        <v>0</v>
      </c>
      <c r="AB4217" s="178">
        <f t="shared" si="195"/>
        <v>0</v>
      </c>
      <c r="AH4217" s="177">
        <f t="shared" si="196"/>
        <v>0</v>
      </c>
    </row>
    <row r="4218" spans="23:34">
      <c r="W4218" s="177">
        <f t="shared" si="197"/>
        <v>0</v>
      </c>
      <c r="AB4218" s="178">
        <f t="shared" si="195"/>
        <v>0</v>
      </c>
      <c r="AH4218" s="177">
        <f t="shared" si="196"/>
        <v>0</v>
      </c>
    </row>
    <row r="4219" spans="23:34">
      <c r="W4219" s="177">
        <f t="shared" si="197"/>
        <v>0</v>
      </c>
      <c r="AB4219" s="178">
        <f t="shared" ref="AB4219:AB4282" si="198">SUM(Z4219:AA4219)</f>
        <v>0</v>
      </c>
      <c r="AH4219" s="177">
        <f t="shared" si="196"/>
        <v>0</v>
      </c>
    </row>
    <row r="4220" spans="23:34">
      <c r="W4220" s="177">
        <f t="shared" si="197"/>
        <v>0</v>
      </c>
      <c r="AB4220" s="178">
        <f t="shared" si="198"/>
        <v>0</v>
      </c>
      <c r="AH4220" s="177">
        <f t="shared" si="196"/>
        <v>0</v>
      </c>
    </row>
    <row r="4221" spans="23:34">
      <c r="W4221" s="177">
        <f t="shared" si="197"/>
        <v>0</v>
      </c>
      <c r="AB4221" s="178">
        <f t="shared" si="198"/>
        <v>0</v>
      </c>
      <c r="AH4221" s="177">
        <f t="shared" si="196"/>
        <v>0</v>
      </c>
    </row>
    <row r="4222" spans="23:34">
      <c r="W4222" s="177">
        <f t="shared" si="197"/>
        <v>0</v>
      </c>
      <c r="AB4222" s="178">
        <f t="shared" si="198"/>
        <v>0</v>
      </c>
      <c r="AH4222" s="177">
        <f t="shared" si="196"/>
        <v>0</v>
      </c>
    </row>
    <row r="4223" spans="23:34">
      <c r="W4223" s="177">
        <f t="shared" si="197"/>
        <v>0</v>
      </c>
      <c r="AB4223" s="178">
        <f t="shared" si="198"/>
        <v>0</v>
      </c>
      <c r="AH4223" s="177">
        <f t="shared" si="196"/>
        <v>0</v>
      </c>
    </row>
    <row r="4224" spans="23:34">
      <c r="W4224" s="177">
        <f t="shared" si="197"/>
        <v>0</v>
      </c>
      <c r="AB4224" s="178">
        <f t="shared" si="198"/>
        <v>0</v>
      </c>
      <c r="AH4224" s="177">
        <f t="shared" si="196"/>
        <v>0</v>
      </c>
    </row>
    <row r="4225" spans="23:34">
      <c r="W4225" s="177">
        <f t="shared" si="197"/>
        <v>0</v>
      </c>
      <c r="AB4225" s="178">
        <f t="shared" si="198"/>
        <v>0</v>
      </c>
      <c r="AH4225" s="177">
        <f t="shared" si="196"/>
        <v>0</v>
      </c>
    </row>
    <row r="4226" spans="23:34">
      <c r="W4226" s="177">
        <f t="shared" si="197"/>
        <v>0</v>
      </c>
      <c r="AB4226" s="178">
        <f t="shared" si="198"/>
        <v>0</v>
      </c>
      <c r="AH4226" s="177">
        <f t="shared" si="196"/>
        <v>0</v>
      </c>
    </row>
    <row r="4227" spans="23:34">
      <c r="W4227" s="177">
        <f t="shared" si="197"/>
        <v>0</v>
      </c>
      <c r="AB4227" s="178">
        <f t="shared" si="198"/>
        <v>0</v>
      </c>
      <c r="AH4227" s="177">
        <f t="shared" si="196"/>
        <v>0</v>
      </c>
    </row>
    <row r="4228" spans="23:34">
      <c r="W4228" s="177">
        <f t="shared" si="197"/>
        <v>0</v>
      </c>
      <c r="AB4228" s="178">
        <f t="shared" si="198"/>
        <v>0</v>
      </c>
      <c r="AH4228" s="177">
        <f t="shared" si="196"/>
        <v>0</v>
      </c>
    </row>
    <row r="4229" spans="23:34">
      <c r="W4229" s="177">
        <f t="shared" si="197"/>
        <v>0</v>
      </c>
      <c r="AB4229" s="178">
        <f t="shared" si="198"/>
        <v>0</v>
      </c>
      <c r="AH4229" s="177">
        <f t="shared" si="196"/>
        <v>0</v>
      </c>
    </row>
    <row r="4230" spans="23:34">
      <c r="W4230" s="177">
        <f t="shared" si="197"/>
        <v>0</v>
      </c>
      <c r="AB4230" s="178">
        <f t="shared" si="198"/>
        <v>0</v>
      </c>
      <c r="AH4230" s="177">
        <f t="shared" si="196"/>
        <v>0</v>
      </c>
    </row>
    <row r="4231" spans="23:34">
      <c r="W4231" s="177">
        <f t="shared" si="197"/>
        <v>0</v>
      </c>
      <c r="AB4231" s="178">
        <f t="shared" si="198"/>
        <v>0</v>
      </c>
      <c r="AH4231" s="177">
        <f t="shared" si="196"/>
        <v>0</v>
      </c>
    </row>
    <row r="4232" spans="23:34">
      <c r="W4232" s="177">
        <f t="shared" si="197"/>
        <v>0</v>
      </c>
      <c r="AB4232" s="178">
        <f t="shared" si="198"/>
        <v>0</v>
      </c>
      <c r="AH4232" s="177">
        <f t="shared" si="196"/>
        <v>0</v>
      </c>
    </row>
    <row r="4233" spans="23:34">
      <c r="W4233" s="177">
        <f t="shared" si="197"/>
        <v>0</v>
      </c>
      <c r="AB4233" s="178">
        <f t="shared" si="198"/>
        <v>0</v>
      </c>
      <c r="AH4233" s="177">
        <f t="shared" si="196"/>
        <v>0</v>
      </c>
    </row>
    <row r="4234" spans="23:34">
      <c r="W4234" s="177">
        <f t="shared" si="197"/>
        <v>0</v>
      </c>
      <c r="AB4234" s="178">
        <f t="shared" si="198"/>
        <v>0</v>
      </c>
      <c r="AH4234" s="177">
        <f t="shared" si="196"/>
        <v>0</v>
      </c>
    </row>
    <row r="4235" spans="23:34">
      <c r="W4235" s="177">
        <f t="shared" si="197"/>
        <v>0</v>
      </c>
      <c r="AB4235" s="178">
        <f t="shared" si="198"/>
        <v>0</v>
      </c>
      <c r="AH4235" s="177">
        <f t="shared" si="196"/>
        <v>0</v>
      </c>
    </row>
    <row r="4236" spans="23:34">
      <c r="W4236" s="177">
        <f t="shared" si="197"/>
        <v>0</v>
      </c>
      <c r="AB4236" s="178">
        <f t="shared" si="198"/>
        <v>0</v>
      </c>
      <c r="AH4236" s="177">
        <f t="shared" si="196"/>
        <v>0</v>
      </c>
    </row>
    <row r="4237" spans="23:34">
      <c r="W4237" s="177">
        <f t="shared" si="197"/>
        <v>0</v>
      </c>
      <c r="AB4237" s="178">
        <f t="shared" si="198"/>
        <v>0</v>
      </c>
      <c r="AH4237" s="177">
        <f t="shared" si="196"/>
        <v>0</v>
      </c>
    </row>
    <row r="4238" spans="23:34">
      <c r="W4238" s="177">
        <f t="shared" si="197"/>
        <v>0</v>
      </c>
      <c r="AB4238" s="178">
        <f t="shared" si="198"/>
        <v>0</v>
      </c>
      <c r="AH4238" s="177">
        <f t="shared" si="196"/>
        <v>0</v>
      </c>
    </row>
    <row r="4239" spans="23:34">
      <c r="W4239" s="177">
        <f t="shared" si="197"/>
        <v>0</v>
      </c>
      <c r="AB4239" s="178">
        <f t="shared" si="198"/>
        <v>0</v>
      </c>
      <c r="AH4239" s="177">
        <f t="shared" si="196"/>
        <v>0</v>
      </c>
    </row>
    <row r="4240" spans="23:34">
      <c r="W4240" s="177">
        <f t="shared" si="197"/>
        <v>0</v>
      </c>
      <c r="AB4240" s="178">
        <f t="shared" si="198"/>
        <v>0</v>
      </c>
      <c r="AH4240" s="177">
        <f t="shared" si="196"/>
        <v>0</v>
      </c>
    </row>
    <row r="4241" spans="23:34">
      <c r="W4241" s="177">
        <f t="shared" si="197"/>
        <v>0</v>
      </c>
      <c r="AB4241" s="178">
        <f t="shared" si="198"/>
        <v>0</v>
      </c>
      <c r="AH4241" s="177">
        <f t="shared" si="196"/>
        <v>0</v>
      </c>
    </row>
    <row r="4242" spans="23:34">
      <c r="W4242" s="177">
        <f t="shared" si="197"/>
        <v>0</v>
      </c>
      <c r="AB4242" s="178">
        <f t="shared" si="198"/>
        <v>0</v>
      </c>
      <c r="AH4242" s="177">
        <f t="shared" si="196"/>
        <v>0</v>
      </c>
    </row>
    <row r="4243" spans="23:34">
      <c r="W4243" s="177">
        <f t="shared" si="197"/>
        <v>0</v>
      </c>
      <c r="AB4243" s="178">
        <f t="shared" si="198"/>
        <v>0</v>
      </c>
      <c r="AH4243" s="177">
        <f t="shared" si="196"/>
        <v>0</v>
      </c>
    </row>
    <row r="4244" spans="23:34">
      <c r="W4244" s="177">
        <f t="shared" si="197"/>
        <v>0</v>
      </c>
      <c r="AB4244" s="178">
        <f t="shared" si="198"/>
        <v>0</v>
      </c>
      <c r="AH4244" s="177">
        <f t="shared" si="196"/>
        <v>0</v>
      </c>
    </row>
    <row r="4245" spans="23:34">
      <c r="W4245" s="177">
        <f t="shared" si="197"/>
        <v>0</v>
      </c>
      <c r="AB4245" s="178">
        <f t="shared" si="198"/>
        <v>0</v>
      </c>
      <c r="AH4245" s="177">
        <f t="shared" si="196"/>
        <v>0</v>
      </c>
    </row>
    <row r="4246" spans="23:34">
      <c r="W4246" s="177">
        <f t="shared" si="197"/>
        <v>0</v>
      </c>
      <c r="AB4246" s="178">
        <f t="shared" si="198"/>
        <v>0</v>
      </c>
      <c r="AH4246" s="177">
        <f t="shared" si="196"/>
        <v>0</v>
      </c>
    </row>
    <row r="4247" spans="23:34">
      <c r="W4247" s="177">
        <f t="shared" si="197"/>
        <v>0</v>
      </c>
      <c r="AB4247" s="178">
        <f t="shared" si="198"/>
        <v>0</v>
      </c>
      <c r="AH4247" s="177">
        <f t="shared" si="196"/>
        <v>0</v>
      </c>
    </row>
    <row r="4248" spans="23:34">
      <c r="W4248" s="177">
        <f t="shared" si="197"/>
        <v>0</v>
      </c>
      <c r="AB4248" s="178">
        <f t="shared" si="198"/>
        <v>0</v>
      </c>
      <c r="AH4248" s="177">
        <f t="shared" si="196"/>
        <v>0</v>
      </c>
    </row>
    <row r="4249" spans="23:34">
      <c r="W4249" s="177">
        <f t="shared" si="197"/>
        <v>0</v>
      </c>
      <c r="AB4249" s="178">
        <f t="shared" si="198"/>
        <v>0</v>
      </c>
      <c r="AH4249" s="177">
        <f t="shared" si="196"/>
        <v>0</v>
      </c>
    </row>
    <row r="4250" spans="23:34">
      <c r="W4250" s="177">
        <f t="shared" si="197"/>
        <v>0</v>
      </c>
      <c r="AB4250" s="178">
        <f t="shared" si="198"/>
        <v>0</v>
      </c>
      <c r="AH4250" s="177">
        <f t="shared" si="196"/>
        <v>0</v>
      </c>
    </row>
    <row r="4251" spans="23:34">
      <c r="W4251" s="177">
        <f t="shared" si="197"/>
        <v>0</v>
      </c>
      <c r="AB4251" s="178">
        <f t="shared" si="198"/>
        <v>0</v>
      </c>
      <c r="AH4251" s="177">
        <f t="shared" si="196"/>
        <v>0</v>
      </c>
    </row>
    <row r="4252" spans="23:34">
      <c r="W4252" s="177">
        <f t="shared" si="197"/>
        <v>0</v>
      </c>
      <c r="AB4252" s="178">
        <f t="shared" si="198"/>
        <v>0</v>
      </c>
      <c r="AH4252" s="177">
        <f t="shared" si="196"/>
        <v>0</v>
      </c>
    </row>
    <row r="4253" spans="23:34">
      <c r="W4253" s="177">
        <f t="shared" si="197"/>
        <v>0</v>
      </c>
      <c r="AB4253" s="178">
        <f t="shared" si="198"/>
        <v>0</v>
      </c>
      <c r="AH4253" s="177">
        <f t="shared" si="196"/>
        <v>0</v>
      </c>
    </row>
    <row r="4254" spans="23:34">
      <c r="W4254" s="177">
        <f t="shared" si="197"/>
        <v>0</v>
      </c>
      <c r="AB4254" s="178">
        <f t="shared" si="198"/>
        <v>0</v>
      </c>
      <c r="AH4254" s="177">
        <f t="shared" si="196"/>
        <v>0</v>
      </c>
    </row>
    <row r="4255" spans="23:34">
      <c r="W4255" s="177">
        <f t="shared" si="197"/>
        <v>0</v>
      </c>
      <c r="AB4255" s="178">
        <f t="shared" si="198"/>
        <v>0</v>
      </c>
      <c r="AH4255" s="177">
        <f t="shared" si="196"/>
        <v>0</v>
      </c>
    </row>
    <row r="4256" spans="23:34">
      <c r="W4256" s="177">
        <f t="shared" si="197"/>
        <v>0</v>
      </c>
      <c r="AB4256" s="178">
        <f t="shared" si="198"/>
        <v>0</v>
      </c>
      <c r="AH4256" s="177">
        <f t="shared" si="196"/>
        <v>0</v>
      </c>
    </row>
    <row r="4257" spans="23:34">
      <c r="W4257" s="177">
        <f t="shared" si="197"/>
        <v>0</v>
      </c>
      <c r="AB4257" s="178">
        <f t="shared" si="198"/>
        <v>0</v>
      </c>
      <c r="AH4257" s="177">
        <f t="shared" si="196"/>
        <v>0</v>
      </c>
    </row>
    <row r="4258" spans="23:34">
      <c r="W4258" s="177">
        <f t="shared" si="197"/>
        <v>0</v>
      </c>
      <c r="AB4258" s="178">
        <f t="shared" si="198"/>
        <v>0</v>
      </c>
      <c r="AH4258" s="177">
        <f t="shared" si="196"/>
        <v>0</v>
      </c>
    </row>
    <row r="4259" spans="23:34">
      <c r="W4259" s="177">
        <f t="shared" si="197"/>
        <v>0</v>
      </c>
      <c r="AB4259" s="178">
        <f t="shared" si="198"/>
        <v>0</v>
      </c>
      <c r="AH4259" s="177">
        <f t="shared" si="196"/>
        <v>0</v>
      </c>
    </row>
    <row r="4260" spans="23:34">
      <c r="W4260" s="177">
        <f t="shared" si="197"/>
        <v>0</v>
      </c>
      <c r="AB4260" s="178">
        <f t="shared" si="198"/>
        <v>0</v>
      </c>
      <c r="AH4260" s="177">
        <f t="shared" si="196"/>
        <v>0</v>
      </c>
    </row>
    <row r="4261" spans="23:34">
      <c r="W4261" s="177">
        <f t="shared" si="197"/>
        <v>0</v>
      </c>
      <c r="AB4261" s="178">
        <f t="shared" si="198"/>
        <v>0</v>
      </c>
      <c r="AH4261" s="177">
        <f t="shared" si="196"/>
        <v>0</v>
      </c>
    </row>
    <row r="4262" spans="23:34">
      <c r="W4262" s="177">
        <f t="shared" si="197"/>
        <v>0</v>
      </c>
      <c r="AB4262" s="178">
        <f t="shared" si="198"/>
        <v>0</v>
      </c>
      <c r="AH4262" s="177">
        <f t="shared" si="196"/>
        <v>0</v>
      </c>
    </row>
    <row r="4263" spans="23:34">
      <c r="W4263" s="177">
        <f t="shared" si="197"/>
        <v>0</v>
      </c>
      <c r="AB4263" s="178">
        <f t="shared" si="198"/>
        <v>0</v>
      </c>
      <c r="AH4263" s="177">
        <f t="shared" si="196"/>
        <v>0</v>
      </c>
    </row>
    <row r="4264" spans="23:34">
      <c r="W4264" s="177">
        <f t="shared" si="197"/>
        <v>0</v>
      </c>
      <c r="AB4264" s="178">
        <f t="shared" si="198"/>
        <v>0</v>
      </c>
      <c r="AH4264" s="177">
        <f t="shared" si="196"/>
        <v>0</v>
      </c>
    </row>
    <row r="4265" spans="23:34">
      <c r="W4265" s="177">
        <f t="shared" si="197"/>
        <v>0</v>
      </c>
      <c r="AB4265" s="178">
        <f t="shared" si="198"/>
        <v>0</v>
      </c>
      <c r="AH4265" s="177">
        <f t="shared" si="196"/>
        <v>0</v>
      </c>
    </row>
    <row r="4266" spans="23:34">
      <c r="W4266" s="177">
        <f t="shared" si="197"/>
        <v>0</v>
      </c>
      <c r="AB4266" s="178">
        <f t="shared" si="198"/>
        <v>0</v>
      </c>
      <c r="AH4266" s="177">
        <f t="shared" si="196"/>
        <v>0</v>
      </c>
    </row>
    <row r="4267" spans="23:34">
      <c r="W4267" s="177">
        <f t="shared" si="197"/>
        <v>0</v>
      </c>
      <c r="AB4267" s="178">
        <f t="shared" si="198"/>
        <v>0</v>
      </c>
      <c r="AH4267" s="177">
        <f t="shared" si="196"/>
        <v>0</v>
      </c>
    </row>
    <row r="4268" spans="23:34">
      <c r="W4268" s="177">
        <f t="shared" si="197"/>
        <v>0</v>
      </c>
      <c r="AB4268" s="178">
        <f t="shared" si="198"/>
        <v>0</v>
      </c>
      <c r="AH4268" s="177">
        <f t="shared" si="196"/>
        <v>0</v>
      </c>
    </row>
    <row r="4269" spans="23:34">
      <c r="W4269" s="177">
        <f t="shared" si="197"/>
        <v>0</v>
      </c>
      <c r="AB4269" s="178">
        <f t="shared" si="198"/>
        <v>0</v>
      </c>
      <c r="AH4269" s="177">
        <f t="shared" si="196"/>
        <v>0</v>
      </c>
    </row>
    <row r="4270" spans="23:34">
      <c r="W4270" s="177">
        <f t="shared" si="197"/>
        <v>0</v>
      </c>
      <c r="AB4270" s="178">
        <f t="shared" si="198"/>
        <v>0</v>
      </c>
      <c r="AH4270" s="177">
        <f t="shared" si="196"/>
        <v>0</v>
      </c>
    </row>
    <row r="4271" spans="23:34">
      <c r="W4271" s="177">
        <f t="shared" si="197"/>
        <v>0</v>
      </c>
      <c r="AB4271" s="178">
        <f t="shared" si="198"/>
        <v>0</v>
      </c>
      <c r="AH4271" s="177">
        <f t="shared" si="196"/>
        <v>0</v>
      </c>
    </row>
    <row r="4272" spans="23:34">
      <c r="W4272" s="177">
        <f t="shared" si="197"/>
        <v>0</v>
      </c>
      <c r="AB4272" s="178">
        <f t="shared" si="198"/>
        <v>0</v>
      </c>
      <c r="AH4272" s="177">
        <f t="shared" ref="AH4272:AH4335" si="199">SUM(AF4272:AG4272)</f>
        <v>0</v>
      </c>
    </row>
    <row r="4273" spans="23:34">
      <c r="W4273" s="177">
        <f t="shared" si="197"/>
        <v>0</v>
      </c>
      <c r="AB4273" s="178">
        <f t="shared" si="198"/>
        <v>0</v>
      </c>
      <c r="AH4273" s="177">
        <f t="shared" si="199"/>
        <v>0</v>
      </c>
    </row>
    <row r="4274" spans="23:34">
      <c r="W4274" s="177">
        <f t="shared" si="197"/>
        <v>0</v>
      </c>
      <c r="AB4274" s="178">
        <f t="shared" si="198"/>
        <v>0</v>
      </c>
      <c r="AH4274" s="177">
        <f t="shared" si="199"/>
        <v>0</v>
      </c>
    </row>
    <row r="4275" spans="23:34">
      <c r="W4275" s="177">
        <f t="shared" ref="W4275:W4338" si="200">SUM(Q4275:T4275)</f>
        <v>0</v>
      </c>
      <c r="AB4275" s="178">
        <f t="shared" si="198"/>
        <v>0</v>
      </c>
      <c r="AH4275" s="177">
        <f t="shared" si="199"/>
        <v>0</v>
      </c>
    </row>
    <row r="4276" spans="23:34">
      <c r="W4276" s="177">
        <f t="shared" si="200"/>
        <v>0</v>
      </c>
      <c r="AB4276" s="178">
        <f t="shared" si="198"/>
        <v>0</v>
      </c>
      <c r="AH4276" s="177">
        <f t="shared" si="199"/>
        <v>0</v>
      </c>
    </row>
    <row r="4277" spans="23:34">
      <c r="W4277" s="177">
        <f t="shared" si="200"/>
        <v>0</v>
      </c>
      <c r="AB4277" s="178">
        <f t="shared" si="198"/>
        <v>0</v>
      </c>
      <c r="AH4277" s="177">
        <f t="shared" si="199"/>
        <v>0</v>
      </c>
    </row>
    <row r="4278" spans="23:34">
      <c r="W4278" s="177">
        <f t="shared" si="200"/>
        <v>0</v>
      </c>
      <c r="AB4278" s="178">
        <f t="shared" si="198"/>
        <v>0</v>
      </c>
      <c r="AH4278" s="177">
        <f t="shared" si="199"/>
        <v>0</v>
      </c>
    </row>
    <row r="4279" spans="23:34">
      <c r="W4279" s="177">
        <f t="shared" si="200"/>
        <v>0</v>
      </c>
      <c r="AB4279" s="178">
        <f t="shared" si="198"/>
        <v>0</v>
      </c>
      <c r="AH4279" s="177">
        <f t="shared" si="199"/>
        <v>0</v>
      </c>
    </row>
    <row r="4280" spans="23:34">
      <c r="W4280" s="177">
        <f t="shared" si="200"/>
        <v>0</v>
      </c>
      <c r="AB4280" s="178">
        <f t="shared" si="198"/>
        <v>0</v>
      </c>
      <c r="AH4280" s="177">
        <f t="shared" si="199"/>
        <v>0</v>
      </c>
    </row>
    <row r="4281" spans="23:34">
      <c r="W4281" s="177">
        <f t="shared" si="200"/>
        <v>0</v>
      </c>
      <c r="AB4281" s="178">
        <f t="shared" si="198"/>
        <v>0</v>
      </c>
      <c r="AH4281" s="177">
        <f t="shared" si="199"/>
        <v>0</v>
      </c>
    </row>
    <row r="4282" spans="23:34">
      <c r="W4282" s="177">
        <f t="shared" si="200"/>
        <v>0</v>
      </c>
      <c r="AB4282" s="178">
        <f t="shared" si="198"/>
        <v>0</v>
      </c>
      <c r="AH4282" s="177">
        <f t="shared" si="199"/>
        <v>0</v>
      </c>
    </row>
    <row r="4283" spans="23:34">
      <c r="W4283" s="177">
        <f t="shared" si="200"/>
        <v>0</v>
      </c>
      <c r="AB4283" s="178">
        <f t="shared" ref="AB4283:AB4346" si="201">SUM(Z4283:AA4283)</f>
        <v>0</v>
      </c>
      <c r="AH4283" s="177">
        <f t="shared" si="199"/>
        <v>0</v>
      </c>
    </row>
    <row r="4284" spans="23:34">
      <c r="W4284" s="177">
        <f t="shared" si="200"/>
        <v>0</v>
      </c>
      <c r="AB4284" s="178">
        <f t="shared" si="201"/>
        <v>0</v>
      </c>
      <c r="AH4284" s="177">
        <f t="shared" si="199"/>
        <v>0</v>
      </c>
    </row>
    <row r="4285" spans="23:34">
      <c r="W4285" s="177">
        <f t="shared" si="200"/>
        <v>0</v>
      </c>
      <c r="AB4285" s="178">
        <f t="shared" si="201"/>
        <v>0</v>
      </c>
      <c r="AH4285" s="177">
        <f t="shared" si="199"/>
        <v>0</v>
      </c>
    </row>
    <row r="4286" spans="23:34">
      <c r="W4286" s="177">
        <f t="shared" si="200"/>
        <v>0</v>
      </c>
      <c r="AB4286" s="178">
        <f t="shared" si="201"/>
        <v>0</v>
      </c>
      <c r="AH4286" s="177">
        <f t="shared" si="199"/>
        <v>0</v>
      </c>
    </row>
    <row r="4287" spans="23:34">
      <c r="W4287" s="177">
        <f t="shared" si="200"/>
        <v>0</v>
      </c>
      <c r="AB4287" s="178">
        <f t="shared" si="201"/>
        <v>0</v>
      </c>
      <c r="AH4287" s="177">
        <f t="shared" si="199"/>
        <v>0</v>
      </c>
    </row>
    <row r="4288" spans="23:34">
      <c r="W4288" s="177">
        <f t="shared" si="200"/>
        <v>0</v>
      </c>
      <c r="AB4288" s="178">
        <f t="shared" si="201"/>
        <v>0</v>
      </c>
      <c r="AH4288" s="177">
        <f t="shared" si="199"/>
        <v>0</v>
      </c>
    </row>
    <row r="4289" spans="23:34">
      <c r="W4289" s="177">
        <f t="shared" si="200"/>
        <v>0</v>
      </c>
      <c r="AB4289" s="178">
        <f t="shared" si="201"/>
        <v>0</v>
      </c>
      <c r="AH4289" s="177">
        <f t="shared" si="199"/>
        <v>0</v>
      </c>
    </row>
    <row r="4290" spans="23:34">
      <c r="W4290" s="177">
        <f t="shared" si="200"/>
        <v>0</v>
      </c>
      <c r="AB4290" s="178">
        <f t="shared" si="201"/>
        <v>0</v>
      </c>
      <c r="AH4290" s="177">
        <f t="shared" si="199"/>
        <v>0</v>
      </c>
    </row>
    <row r="4291" spans="23:34">
      <c r="W4291" s="177">
        <f t="shared" si="200"/>
        <v>0</v>
      </c>
      <c r="AB4291" s="178">
        <f t="shared" si="201"/>
        <v>0</v>
      </c>
      <c r="AH4291" s="177">
        <f t="shared" si="199"/>
        <v>0</v>
      </c>
    </row>
    <row r="4292" spans="23:34">
      <c r="W4292" s="177">
        <f t="shared" si="200"/>
        <v>0</v>
      </c>
      <c r="AB4292" s="178">
        <f t="shared" si="201"/>
        <v>0</v>
      </c>
      <c r="AH4292" s="177">
        <f t="shared" si="199"/>
        <v>0</v>
      </c>
    </row>
    <row r="4293" spans="23:34">
      <c r="W4293" s="177">
        <f t="shared" si="200"/>
        <v>0</v>
      </c>
      <c r="AB4293" s="178">
        <f t="shared" si="201"/>
        <v>0</v>
      </c>
      <c r="AH4293" s="177">
        <f t="shared" si="199"/>
        <v>0</v>
      </c>
    </row>
    <row r="4294" spans="23:34">
      <c r="W4294" s="177">
        <f t="shared" si="200"/>
        <v>0</v>
      </c>
      <c r="AB4294" s="178">
        <f t="shared" si="201"/>
        <v>0</v>
      </c>
      <c r="AH4294" s="177">
        <f t="shared" si="199"/>
        <v>0</v>
      </c>
    </row>
    <row r="4295" spans="23:34">
      <c r="W4295" s="177">
        <f t="shared" si="200"/>
        <v>0</v>
      </c>
      <c r="AB4295" s="178">
        <f t="shared" si="201"/>
        <v>0</v>
      </c>
      <c r="AH4295" s="177">
        <f t="shared" si="199"/>
        <v>0</v>
      </c>
    </row>
    <row r="4296" spans="23:34">
      <c r="W4296" s="177">
        <f t="shared" si="200"/>
        <v>0</v>
      </c>
      <c r="AB4296" s="178">
        <f t="shared" si="201"/>
        <v>0</v>
      </c>
      <c r="AH4296" s="177">
        <f t="shared" si="199"/>
        <v>0</v>
      </c>
    </row>
    <row r="4297" spans="23:34">
      <c r="W4297" s="177">
        <f t="shared" si="200"/>
        <v>0</v>
      </c>
      <c r="AB4297" s="178">
        <f t="shared" si="201"/>
        <v>0</v>
      </c>
      <c r="AH4297" s="177">
        <f t="shared" si="199"/>
        <v>0</v>
      </c>
    </row>
    <row r="4298" spans="23:34">
      <c r="W4298" s="177">
        <f t="shared" si="200"/>
        <v>0</v>
      </c>
      <c r="AB4298" s="178">
        <f t="shared" si="201"/>
        <v>0</v>
      </c>
      <c r="AH4298" s="177">
        <f t="shared" si="199"/>
        <v>0</v>
      </c>
    </row>
    <row r="4299" spans="23:34">
      <c r="W4299" s="177">
        <f t="shared" si="200"/>
        <v>0</v>
      </c>
      <c r="AB4299" s="178">
        <f t="shared" si="201"/>
        <v>0</v>
      </c>
      <c r="AH4299" s="177">
        <f t="shared" si="199"/>
        <v>0</v>
      </c>
    </row>
    <row r="4300" spans="23:34">
      <c r="W4300" s="177">
        <f t="shared" si="200"/>
        <v>0</v>
      </c>
      <c r="AB4300" s="178">
        <f t="shared" si="201"/>
        <v>0</v>
      </c>
      <c r="AH4300" s="177">
        <f t="shared" si="199"/>
        <v>0</v>
      </c>
    </row>
    <row r="4301" spans="23:34">
      <c r="W4301" s="177">
        <f t="shared" si="200"/>
        <v>0</v>
      </c>
      <c r="AB4301" s="178">
        <f t="shared" si="201"/>
        <v>0</v>
      </c>
      <c r="AH4301" s="177">
        <f t="shared" si="199"/>
        <v>0</v>
      </c>
    </row>
    <row r="4302" spans="23:34">
      <c r="W4302" s="177">
        <f t="shared" si="200"/>
        <v>0</v>
      </c>
      <c r="AB4302" s="178">
        <f t="shared" si="201"/>
        <v>0</v>
      </c>
      <c r="AH4302" s="177">
        <f t="shared" si="199"/>
        <v>0</v>
      </c>
    </row>
    <row r="4303" spans="23:34">
      <c r="W4303" s="177">
        <f t="shared" si="200"/>
        <v>0</v>
      </c>
      <c r="AB4303" s="178">
        <f t="shared" si="201"/>
        <v>0</v>
      </c>
      <c r="AH4303" s="177">
        <f t="shared" si="199"/>
        <v>0</v>
      </c>
    </row>
    <row r="4304" spans="23:34">
      <c r="W4304" s="177">
        <f t="shared" si="200"/>
        <v>0</v>
      </c>
      <c r="AB4304" s="178">
        <f t="shared" si="201"/>
        <v>0</v>
      </c>
      <c r="AH4304" s="177">
        <f t="shared" si="199"/>
        <v>0</v>
      </c>
    </row>
    <row r="4305" spans="23:34">
      <c r="W4305" s="177">
        <f t="shared" si="200"/>
        <v>0</v>
      </c>
      <c r="AB4305" s="178">
        <f t="shared" si="201"/>
        <v>0</v>
      </c>
      <c r="AH4305" s="177">
        <f t="shared" si="199"/>
        <v>0</v>
      </c>
    </row>
    <row r="4306" spans="23:34">
      <c r="W4306" s="177">
        <f t="shared" si="200"/>
        <v>0</v>
      </c>
      <c r="AB4306" s="178">
        <f t="shared" si="201"/>
        <v>0</v>
      </c>
      <c r="AH4306" s="177">
        <f t="shared" si="199"/>
        <v>0</v>
      </c>
    </row>
    <row r="4307" spans="23:34">
      <c r="W4307" s="177">
        <f t="shared" si="200"/>
        <v>0</v>
      </c>
      <c r="AB4307" s="178">
        <f t="shared" si="201"/>
        <v>0</v>
      </c>
      <c r="AH4307" s="177">
        <f t="shared" si="199"/>
        <v>0</v>
      </c>
    </row>
    <row r="4308" spans="23:34">
      <c r="W4308" s="177">
        <f t="shared" si="200"/>
        <v>0</v>
      </c>
      <c r="AB4308" s="178">
        <f t="shared" si="201"/>
        <v>0</v>
      </c>
      <c r="AH4308" s="177">
        <f t="shared" si="199"/>
        <v>0</v>
      </c>
    </row>
    <row r="4309" spans="23:34">
      <c r="W4309" s="177">
        <f t="shared" si="200"/>
        <v>0</v>
      </c>
      <c r="AB4309" s="178">
        <f t="shared" si="201"/>
        <v>0</v>
      </c>
      <c r="AH4309" s="177">
        <f t="shared" si="199"/>
        <v>0</v>
      </c>
    </row>
    <row r="4310" spans="23:34">
      <c r="W4310" s="177">
        <f t="shared" si="200"/>
        <v>0</v>
      </c>
      <c r="AB4310" s="178">
        <f t="shared" si="201"/>
        <v>0</v>
      </c>
      <c r="AH4310" s="177">
        <f t="shared" si="199"/>
        <v>0</v>
      </c>
    </row>
    <row r="4311" spans="23:34">
      <c r="W4311" s="177">
        <f t="shared" si="200"/>
        <v>0</v>
      </c>
      <c r="AB4311" s="178">
        <f t="shared" si="201"/>
        <v>0</v>
      </c>
      <c r="AH4311" s="177">
        <f t="shared" si="199"/>
        <v>0</v>
      </c>
    </row>
    <row r="4312" spans="23:34">
      <c r="W4312" s="177">
        <f t="shared" si="200"/>
        <v>0</v>
      </c>
      <c r="AB4312" s="178">
        <f t="shared" si="201"/>
        <v>0</v>
      </c>
      <c r="AH4312" s="177">
        <f t="shared" si="199"/>
        <v>0</v>
      </c>
    </row>
    <row r="4313" spans="23:34">
      <c r="W4313" s="177">
        <f t="shared" si="200"/>
        <v>0</v>
      </c>
      <c r="AB4313" s="178">
        <f t="shared" si="201"/>
        <v>0</v>
      </c>
      <c r="AH4313" s="177">
        <f t="shared" si="199"/>
        <v>0</v>
      </c>
    </row>
    <row r="4314" spans="23:34">
      <c r="W4314" s="177">
        <f t="shared" si="200"/>
        <v>0</v>
      </c>
      <c r="AB4314" s="178">
        <f t="shared" si="201"/>
        <v>0</v>
      </c>
      <c r="AH4314" s="177">
        <f t="shared" si="199"/>
        <v>0</v>
      </c>
    </row>
    <row r="4315" spans="23:34">
      <c r="W4315" s="177">
        <f t="shared" si="200"/>
        <v>0</v>
      </c>
      <c r="AB4315" s="178">
        <f t="shared" si="201"/>
        <v>0</v>
      </c>
      <c r="AH4315" s="177">
        <f t="shared" si="199"/>
        <v>0</v>
      </c>
    </row>
    <row r="4316" spans="23:34">
      <c r="W4316" s="177">
        <f t="shared" si="200"/>
        <v>0</v>
      </c>
      <c r="AB4316" s="178">
        <f t="shared" si="201"/>
        <v>0</v>
      </c>
      <c r="AH4316" s="177">
        <f t="shared" si="199"/>
        <v>0</v>
      </c>
    </row>
    <row r="4317" spans="23:34">
      <c r="W4317" s="177">
        <f t="shared" si="200"/>
        <v>0</v>
      </c>
      <c r="AB4317" s="178">
        <f t="shared" si="201"/>
        <v>0</v>
      </c>
      <c r="AH4317" s="177">
        <f t="shared" si="199"/>
        <v>0</v>
      </c>
    </row>
    <row r="4318" spans="23:34">
      <c r="W4318" s="177">
        <f t="shared" si="200"/>
        <v>0</v>
      </c>
      <c r="AB4318" s="178">
        <f t="shared" si="201"/>
        <v>0</v>
      </c>
      <c r="AH4318" s="177">
        <f t="shared" si="199"/>
        <v>0</v>
      </c>
    </row>
    <row r="4319" spans="23:34">
      <c r="W4319" s="177">
        <f t="shared" si="200"/>
        <v>0</v>
      </c>
      <c r="AB4319" s="178">
        <f t="shared" si="201"/>
        <v>0</v>
      </c>
      <c r="AH4319" s="177">
        <f t="shared" si="199"/>
        <v>0</v>
      </c>
    </row>
    <row r="4320" spans="23:34">
      <c r="W4320" s="177">
        <f t="shared" si="200"/>
        <v>0</v>
      </c>
      <c r="AB4320" s="178">
        <f t="shared" si="201"/>
        <v>0</v>
      </c>
      <c r="AH4320" s="177">
        <f t="shared" si="199"/>
        <v>0</v>
      </c>
    </row>
    <row r="4321" spans="23:34">
      <c r="W4321" s="177">
        <f t="shared" si="200"/>
        <v>0</v>
      </c>
      <c r="AB4321" s="178">
        <f t="shared" si="201"/>
        <v>0</v>
      </c>
      <c r="AH4321" s="177">
        <f t="shared" si="199"/>
        <v>0</v>
      </c>
    </row>
    <row r="4322" spans="23:34">
      <c r="W4322" s="177">
        <f t="shared" si="200"/>
        <v>0</v>
      </c>
      <c r="AB4322" s="178">
        <f t="shared" si="201"/>
        <v>0</v>
      </c>
      <c r="AH4322" s="177">
        <f t="shared" si="199"/>
        <v>0</v>
      </c>
    </row>
    <row r="4323" spans="23:34">
      <c r="W4323" s="177">
        <f t="shared" si="200"/>
        <v>0</v>
      </c>
      <c r="AB4323" s="178">
        <f t="shared" si="201"/>
        <v>0</v>
      </c>
      <c r="AH4323" s="177">
        <f t="shared" si="199"/>
        <v>0</v>
      </c>
    </row>
    <row r="4324" spans="23:34">
      <c r="W4324" s="177">
        <f t="shared" si="200"/>
        <v>0</v>
      </c>
      <c r="AB4324" s="178">
        <f t="shared" si="201"/>
        <v>0</v>
      </c>
      <c r="AH4324" s="177">
        <f t="shared" si="199"/>
        <v>0</v>
      </c>
    </row>
    <row r="4325" spans="23:34">
      <c r="W4325" s="177">
        <f t="shared" si="200"/>
        <v>0</v>
      </c>
      <c r="AB4325" s="178">
        <f t="shared" si="201"/>
        <v>0</v>
      </c>
      <c r="AH4325" s="177">
        <f t="shared" si="199"/>
        <v>0</v>
      </c>
    </row>
    <row r="4326" spans="23:34">
      <c r="W4326" s="177">
        <f t="shared" si="200"/>
        <v>0</v>
      </c>
      <c r="AB4326" s="178">
        <f t="shared" si="201"/>
        <v>0</v>
      </c>
      <c r="AH4326" s="177">
        <f t="shared" si="199"/>
        <v>0</v>
      </c>
    </row>
    <row r="4327" spans="23:34">
      <c r="W4327" s="177">
        <f t="shared" si="200"/>
        <v>0</v>
      </c>
      <c r="AB4327" s="178">
        <f t="shared" si="201"/>
        <v>0</v>
      </c>
      <c r="AH4327" s="177">
        <f t="shared" si="199"/>
        <v>0</v>
      </c>
    </row>
    <row r="4328" spans="23:34">
      <c r="W4328" s="177">
        <f t="shared" si="200"/>
        <v>0</v>
      </c>
      <c r="AB4328" s="178">
        <f t="shared" si="201"/>
        <v>0</v>
      </c>
      <c r="AH4328" s="177">
        <f t="shared" si="199"/>
        <v>0</v>
      </c>
    </row>
    <row r="4329" spans="23:34">
      <c r="W4329" s="177">
        <f t="shared" si="200"/>
        <v>0</v>
      </c>
      <c r="AB4329" s="178">
        <f t="shared" si="201"/>
        <v>0</v>
      </c>
      <c r="AH4329" s="177">
        <f t="shared" si="199"/>
        <v>0</v>
      </c>
    </row>
    <row r="4330" spans="23:34">
      <c r="W4330" s="177">
        <f t="shared" si="200"/>
        <v>0</v>
      </c>
      <c r="AB4330" s="178">
        <f t="shared" si="201"/>
        <v>0</v>
      </c>
      <c r="AH4330" s="177">
        <f t="shared" si="199"/>
        <v>0</v>
      </c>
    </row>
    <row r="4331" spans="23:34">
      <c r="W4331" s="177">
        <f t="shared" si="200"/>
        <v>0</v>
      </c>
      <c r="AB4331" s="178">
        <f t="shared" si="201"/>
        <v>0</v>
      </c>
      <c r="AH4331" s="177">
        <f t="shared" si="199"/>
        <v>0</v>
      </c>
    </row>
    <row r="4332" spans="23:34">
      <c r="W4332" s="177">
        <f t="shared" si="200"/>
        <v>0</v>
      </c>
      <c r="AB4332" s="178">
        <f t="shared" si="201"/>
        <v>0</v>
      </c>
      <c r="AH4332" s="177">
        <f t="shared" si="199"/>
        <v>0</v>
      </c>
    </row>
    <row r="4333" spans="23:34">
      <c r="W4333" s="177">
        <f t="shared" si="200"/>
        <v>0</v>
      </c>
      <c r="AB4333" s="178">
        <f t="shared" si="201"/>
        <v>0</v>
      </c>
      <c r="AH4333" s="177">
        <f t="shared" si="199"/>
        <v>0</v>
      </c>
    </row>
    <row r="4334" spans="23:34">
      <c r="W4334" s="177">
        <f t="shared" si="200"/>
        <v>0</v>
      </c>
      <c r="AB4334" s="178">
        <f t="shared" si="201"/>
        <v>0</v>
      </c>
      <c r="AH4334" s="177">
        <f t="shared" si="199"/>
        <v>0</v>
      </c>
    </row>
    <row r="4335" spans="23:34">
      <c r="W4335" s="177">
        <f t="shared" si="200"/>
        <v>0</v>
      </c>
      <c r="AB4335" s="178">
        <f t="shared" si="201"/>
        <v>0</v>
      </c>
      <c r="AH4335" s="177">
        <f t="shared" si="199"/>
        <v>0</v>
      </c>
    </row>
    <row r="4336" spans="23:34">
      <c r="W4336" s="177">
        <f t="shared" si="200"/>
        <v>0</v>
      </c>
      <c r="AB4336" s="178">
        <f t="shared" si="201"/>
        <v>0</v>
      </c>
      <c r="AH4336" s="177">
        <f t="shared" ref="AH4336:AH4399" si="202">SUM(AF4336:AG4336)</f>
        <v>0</v>
      </c>
    </row>
    <row r="4337" spans="23:34">
      <c r="W4337" s="177">
        <f t="shared" si="200"/>
        <v>0</v>
      </c>
      <c r="AB4337" s="178">
        <f t="shared" si="201"/>
        <v>0</v>
      </c>
      <c r="AH4337" s="177">
        <f t="shared" si="202"/>
        <v>0</v>
      </c>
    </row>
    <row r="4338" spans="23:34">
      <c r="W4338" s="177">
        <f t="shared" si="200"/>
        <v>0</v>
      </c>
      <c r="AB4338" s="178">
        <f t="shared" si="201"/>
        <v>0</v>
      </c>
      <c r="AH4338" s="177">
        <f t="shared" si="202"/>
        <v>0</v>
      </c>
    </row>
    <row r="4339" spans="23:34">
      <c r="W4339" s="177">
        <f t="shared" ref="W4339:W4402" si="203">SUM(Q4339:T4339)</f>
        <v>0</v>
      </c>
      <c r="AB4339" s="178">
        <f t="shared" si="201"/>
        <v>0</v>
      </c>
      <c r="AH4339" s="177">
        <f t="shared" si="202"/>
        <v>0</v>
      </c>
    </row>
    <row r="4340" spans="23:34">
      <c r="W4340" s="177">
        <f t="shared" si="203"/>
        <v>0</v>
      </c>
      <c r="AB4340" s="178">
        <f t="shared" si="201"/>
        <v>0</v>
      </c>
      <c r="AH4340" s="177">
        <f t="shared" si="202"/>
        <v>0</v>
      </c>
    </row>
    <row r="4341" spans="23:34">
      <c r="W4341" s="177">
        <f t="shared" si="203"/>
        <v>0</v>
      </c>
      <c r="AB4341" s="178">
        <f t="shared" si="201"/>
        <v>0</v>
      </c>
      <c r="AH4341" s="177">
        <f t="shared" si="202"/>
        <v>0</v>
      </c>
    </row>
    <row r="4342" spans="23:34">
      <c r="W4342" s="177">
        <f t="shared" si="203"/>
        <v>0</v>
      </c>
      <c r="AB4342" s="178">
        <f t="shared" si="201"/>
        <v>0</v>
      </c>
      <c r="AH4342" s="177">
        <f t="shared" si="202"/>
        <v>0</v>
      </c>
    </row>
    <row r="4343" spans="23:34">
      <c r="W4343" s="177">
        <f t="shared" si="203"/>
        <v>0</v>
      </c>
      <c r="AB4343" s="178">
        <f t="shared" si="201"/>
        <v>0</v>
      </c>
      <c r="AH4343" s="177">
        <f t="shared" si="202"/>
        <v>0</v>
      </c>
    </row>
    <row r="4344" spans="23:34">
      <c r="W4344" s="177">
        <f t="shared" si="203"/>
        <v>0</v>
      </c>
      <c r="AB4344" s="178">
        <f t="shared" si="201"/>
        <v>0</v>
      </c>
      <c r="AH4344" s="177">
        <f t="shared" si="202"/>
        <v>0</v>
      </c>
    </row>
    <row r="4345" spans="23:34">
      <c r="W4345" s="177">
        <f t="shared" si="203"/>
        <v>0</v>
      </c>
      <c r="AB4345" s="178">
        <f t="shared" si="201"/>
        <v>0</v>
      </c>
      <c r="AH4345" s="177">
        <f t="shared" si="202"/>
        <v>0</v>
      </c>
    </row>
    <row r="4346" spans="23:34">
      <c r="W4346" s="177">
        <f t="shared" si="203"/>
        <v>0</v>
      </c>
      <c r="AB4346" s="178">
        <f t="shared" si="201"/>
        <v>0</v>
      </c>
      <c r="AH4346" s="177">
        <f t="shared" si="202"/>
        <v>0</v>
      </c>
    </row>
    <row r="4347" spans="23:34">
      <c r="W4347" s="177">
        <f t="shared" si="203"/>
        <v>0</v>
      </c>
      <c r="AB4347" s="178">
        <f t="shared" ref="AB4347:AB4410" si="204">SUM(Z4347:AA4347)</f>
        <v>0</v>
      </c>
      <c r="AH4347" s="177">
        <f t="shared" si="202"/>
        <v>0</v>
      </c>
    </row>
    <row r="4348" spans="23:34">
      <c r="W4348" s="177">
        <f t="shared" si="203"/>
        <v>0</v>
      </c>
      <c r="AB4348" s="178">
        <f t="shared" si="204"/>
        <v>0</v>
      </c>
      <c r="AH4348" s="177">
        <f t="shared" si="202"/>
        <v>0</v>
      </c>
    </row>
    <row r="4349" spans="23:34">
      <c r="W4349" s="177">
        <f t="shared" si="203"/>
        <v>0</v>
      </c>
      <c r="AB4349" s="178">
        <f t="shared" si="204"/>
        <v>0</v>
      </c>
      <c r="AH4349" s="177">
        <f t="shared" si="202"/>
        <v>0</v>
      </c>
    </row>
    <row r="4350" spans="23:34">
      <c r="W4350" s="177">
        <f t="shared" si="203"/>
        <v>0</v>
      </c>
      <c r="AB4350" s="178">
        <f t="shared" si="204"/>
        <v>0</v>
      </c>
      <c r="AH4350" s="177">
        <f t="shared" si="202"/>
        <v>0</v>
      </c>
    </row>
    <row r="4351" spans="23:34">
      <c r="W4351" s="177">
        <f t="shared" si="203"/>
        <v>0</v>
      </c>
      <c r="AB4351" s="178">
        <f t="shared" si="204"/>
        <v>0</v>
      </c>
      <c r="AH4351" s="177">
        <f t="shared" si="202"/>
        <v>0</v>
      </c>
    </row>
    <row r="4352" spans="23:34">
      <c r="W4352" s="177">
        <f t="shared" si="203"/>
        <v>0</v>
      </c>
      <c r="AB4352" s="178">
        <f t="shared" si="204"/>
        <v>0</v>
      </c>
      <c r="AH4352" s="177">
        <f t="shared" si="202"/>
        <v>0</v>
      </c>
    </row>
    <row r="4353" spans="23:34">
      <c r="W4353" s="177">
        <f t="shared" si="203"/>
        <v>0</v>
      </c>
      <c r="AB4353" s="178">
        <f t="shared" si="204"/>
        <v>0</v>
      </c>
      <c r="AH4353" s="177">
        <f t="shared" si="202"/>
        <v>0</v>
      </c>
    </row>
    <row r="4354" spans="23:34">
      <c r="W4354" s="177">
        <f t="shared" si="203"/>
        <v>0</v>
      </c>
      <c r="AB4354" s="178">
        <f t="shared" si="204"/>
        <v>0</v>
      </c>
      <c r="AH4354" s="177">
        <f t="shared" si="202"/>
        <v>0</v>
      </c>
    </row>
    <row r="4355" spans="23:34">
      <c r="W4355" s="177">
        <f t="shared" si="203"/>
        <v>0</v>
      </c>
      <c r="AB4355" s="178">
        <f t="shared" si="204"/>
        <v>0</v>
      </c>
      <c r="AH4355" s="177">
        <f t="shared" si="202"/>
        <v>0</v>
      </c>
    </row>
    <row r="4356" spans="23:34">
      <c r="W4356" s="177">
        <f t="shared" si="203"/>
        <v>0</v>
      </c>
      <c r="AB4356" s="178">
        <f t="shared" si="204"/>
        <v>0</v>
      </c>
      <c r="AH4356" s="177">
        <f t="shared" si="202"/>
        <v>0</v>
      </c>
    </row>
    <row r="4357" spans="23:34">
      <c r="W4357" s="177">
        <f t="shared" si="203"/>
        <v>0</v>
      </c>
      <c r="AB4357" s="178">
        <f t="shared" si="204"/>
        <v>0</v>
      </c>
      <c r="AH4357" s="177">
        <f t="shared" si="202"/>
        <v>0</v>
      </c>
    </row>
    <row r="4358" spans="23:34">
      <c r="W4358" s="177">
        <f t="shared" si="203"/>
        <v>0</v>
      </c>
      <c r="AB4358" s="178">
        <f t="shared" si="204"/>
        <v>0</v>
      </c>
      <c r="AH4358" s="177">
        <f t="shared" si="202"/>
        <v>0</v>
      </c>
    </row>
    <row r="4359" spans="23:34">
      <c r="W4359" s="177">
        <f t="shared" si="203"/>
        <v>0</v>
      </c>
      <c r="AB4359" s="178">
        <f t="shared" si="204"/>
        <v>0</v>
      </c>
      <c r="AH4359" s="177">
        <f t="shared" si="202"/>
        <v>0</v>
      </c>
    </row>
    <row r="4360" spans="23:34">
      <c r="W4360" s="177">
        <f t="shared" si="203"/>
        <v>0</v>
      </c>
      <c r="AB4360" s="178">
        <f t="shared" si="204"/>
        <v>0</v>
      </c>
      <c r="AH4360" s="177">
        <f t="shared" si="202"/>
        <v>0</v>
      </c>
    </row>
    <row r="4361" spans="23:34">
      <c r="W4361" s="177">
        <f t="shared" si="203"/>
        <v>0</v>
      </c>
      <c r="AB4361" s="178">
        <f t="shared" si="204"/>
        <v>0</v>
      </c>
      <c r="AH4361" s="177">
        <f t="shared" si="202"/>
        <v>0</v>
      </c>
    </row>
    <row r="4362" spans="23:34">
      <c r="W4362" s="177">
        <f t="shared" si="203"/>
        <v>0</v>
      </c>
      <c r="AB4362" s="178">
        <f t="shared" si="204"/>
        <v>0</v>
      </c>
      <c r="AH4362" s="177">
        <f t="shared" si="202"/>
        <v>0</v>
      </c>
    </row>
    <row r="4363" spans="23:34">
      <c r="W4363" s="177">
        <f t="shared" si="203"/>
        <v>0</v>
      </c>
      <c r="AB4363" s="178">
        <f t="shared" si="204"/>
        <v>0</v>
      </c>
      <c r="AH4363" s="177">
        <f t="shared" si="202"/>
        <v>0</v>
      </c>
    </row>
    <row r="4364" spans="23:34">
      <c r="W4364" s="177">
        <f t="shared" si="203"/>
        <v>0</v>
      </c>
      <c r="AB4364" s="178">
        <f t="shared" si="204"/>
        <v>0</v>
      </c>
      <c r="AH4364" s="177">
        <f t="shared" si="202"/>
        <v>0</v>
      </c>
    </row>
    <row r="4365" spans="23:34">
      <c r="W4365" s="177">
        <f t="shared" si="203"/>
        <v>0</v>
      </c>
      <c r="AB4365" s="178">
        <f t="shared" si="204"/>
        <v>0</v>
      </c>
      <c r="AH4365" s="177">
        <f t="shared" si="202"/>
        <v>0</v>
      </c>
    </row>
    <row r="4366" spans="23:34">
      <c r="W4366" s="177">
        <f t="shared" si="203"/>
        <v>0</v>
      </c>
      <c r="AB4366" s="178">
        <f t="shared" si="204"/>
        <v>0</v>
      </c>
      <c r="AH4366" s="177">
        <f t="shared" si="202"/>
        <v>0</v>
      </c>
    </row>
    <row r="4367" spans="23:34">
      <c r="W4367" s="177">
        <f t="shared" si="203"/>
        <v>0</v>
      </c>
      <c r="AB4367" s="178">
        <f t="shared" si="204"/>
        <v>0</v>
      </c>
      <c r="AH4367" s="177">
        <f t="shared" si="202"/>
        <v>0</v>
      </c>
    </row>
    <row r="4368" spans="23:34">
      <c r="W4368" s="177">
        <f t="shared" si="203"/>
        <v>0</v>
      </c>
      <c r="AB4368" s="178">
        <f t="shared" si="204"/>
        <v>0</v>
      </c>
      <c r="AH4368" s="177">
        <f t="shared" si="202"/>
        <v>0</v>
      </c>
    </row>
    <row r="4369" spans="23:34">
      <c r="W4369" s="177">
        <f t="shared" si="203"/>
        <v>0</v>
      </c>
      <c r="AB4369" s="178">
        <f t="shared" si="204"/>
        <v>0</v>
      </c>
      <c r="AH4369" s="177">
        <f t="shared" si="202"/>
        <v>0</v>
      </c>
    </row>
    <row r="4370" spans="23:34">
      <c r="W4370" s="177">
        <f t="shared" si="203"/>
        <v>0</v>
      </c>
      <c r="AB4370" s="178">
        <f t="shared" si="204"/>
        <v>0</v>
      </c>
      <c r="AH4370" s="177">
        <f t="shared" si="202"/>
        <v>0</v>
      </c>
    </row>
    <row r="4371" spans="23:34">
      <c r="W4371" s="177">
        <f t="shared" si="203"/>
        <v>0</v>
      </c>
      <c r="AB4371" s="178">
        <f t="shared" si="204"/>
        <v>0</v>
      </c>
      <c r="AH4371" s="177">
        <f t="shared" si="202"/>
        <v>0</v>
      </c>
    </row>
    <row r="4372" spans="23:34">
      <c r="W4372" s="177">
        <f t="shared" si="203"/>
        <v>0</v>
      </c>
      <c r="AB4372" s="178">
        <f t="shared" si="204"/>
        <v>0</v>
      </c>
      <c r="AH4372" s="177">
        <f t="shared" si="202"/>
        <v>0</v>
      </c>
    </row>
    <row r="4373" spans="23:34">
      <c r="W4373" s="177">
        <f t="shared" si="203"/>
        <v>0</v>
      </c>
      <c r="AB4373" s="178">
        <f t="shared" si="204"/>
        <v>0</v>
      </c>
      <c r="AH4373" s="177">
        <f t="shared" si="202"/>
        <v>0</v>
      </c>
    </row>
    <row r="4374" spans="23:34">
      <c r="W4374" s="177">
        <f t="shared" si="203"/>
        <v>0</v>
      </c>
      <c r="AB4374" s="178">
        <f t="shared" si="204"/>
        <v>0</v>
      </c>
      <c r="AH4374" s="177">
        <f t="shared" si="202"/>
        <v>0</v>
      </c>
    </row>
    <row r="4375" spans="23:34">
      <c r="W4375" s="177">
        <f t="shared" si="203"/>
        <v>0</v>
      </c>
      <c r="AB4375" s="178">
        <f t="shared" si="204"/>
        <v>0</v>
      </c>
      <c r="AH4375" s="177">
        <f t="shared" si="202"/>
        <v>0</v>
      </c>
    </row>
    <row r="4376" spans="23:34">
      <c r="W4376" s="177">
        <f t="shared" si="203"/>
        <v>0</v>
      </c>
      <c r="AB4376" s="178">
        <f t="shared" si="204"/>
        <v>0</v>
      </c>
      <c r="AH4376" s="177">
        <f t="shared" si="202"/>
        <v>0</v>
      </c>
    </row>
    <row r="4377" spans="23:34">
      <c r="W4377" s="177">
        <f t="shared" si="203"/>
        <v>0</v>
      </c>
      <c r="AB4377" s="178">
        <f t="shared" si="204"/>
        <v>0</v>
      </c>
      <c r="AH4377" s="177">
        <f t="shared" si="202"/>
        <v>0</v>
      </c>
    </row>
    <row r="4378" spans="23:34">
      <c r="W4378" s="177">
        <f t="shared" si="203"/>
        <v>0</v>
      </c>
      <c r="AB4378" s="178">
        <f t="shared" si="204"/>
        <v>0</v>
      </c>
      <c r="AH4378" s="177">
        <f t="shared" si="202"/>
        <v>0</v>
      </c>
    </row>
    <row r="4379" spans="23:34">
      <c r="W4379" s="177">
        <f t="shared" si="203"/>
        <v>0</v>
      </c>
      <c r="AB4379" s="178">
        <f t="shared" si="204"/>
        <v>0</v>
      </c>
      <c r="AH4379" s="177">
        <f t="shared" si="202"/>
        <v>0</v>
      </c>
    </row>
    <row r="4380" spans="23:34">
      <c r="W4380" s="177">
        <f t="shared" si="203"/>
        <v>0</v>
      </c>
      <c r="AB4380" s="178">
        <f t="shared" si="204"/>
        <v>0</v>
      </c>
      <c r="AH4380" s="177">
        <f t="shared" si="202"/>
        <v>0</v>
      </c>
    </row>
    <row r="4381" spans="23:34">
      <c r="W4381" s="177">
        <f t="shared" si="203"/>
        <v>0</v>
      </c>
      <c r="AB4381" s="178">
        <f t="shared" si="204"/>
        <v>0</v>
      </c>
      <c r="AH4381" s="177">
        <f t="shared" si="202"/>
        <v>0</v>
      </c>
    </row>
    <row r="4382" spans="23:34">
      <c r="W4382" s="177">
        <f t="shared" si="203"/>
        <v>0</v>
      </c>
      <c r="AB4382" s="178">
        <f t="shared" si="204"/>
        <v>0</v>
      </c>
      <c r="AH4382" s="177">
        <f t="shared" si="202"/>
        <v>0</v>
      </c>
    </row>
    <row r="4383" spans="23:34">
      <c r="W4383" s="177">
        <f t="shared" si="203"/>
        <v>0</v>
      </c>
      <c r="AB4383" s="178">
        <f t="shared" si="204"/>
        <v>0</v>
      </c>
      <c r="AH4383" s="177">
        <f t="shared" si="202"/>
        <v>0</v>
      </c>
    </row>
    <row r="4384" spans="23:34">
      <c r="W4384" s="177">
        <f t="shared" si="203"/>
        <v>0</v>
      </c>
      <c r="AB4384" s="178">
        <f t="shared" si="204"/>
        <v>0</v>
      </c>
      <c r="AH4384" s="177">
        <f t="shared" si="202"/>
        <v>0</v>
      </c>
    </row>
    <row r="4385" spans="23:34">
      <c r="W4385" s="177">
        <f t="shared" si="203"/>
        <v>0</v>
      </c>
      <c r="AB4385" s="178">
        <f t="shared" si="204"/>
        <v>0</v>
      </c>
      <c r="AH4385" s="177">
        <f t="shared" si="202"/>
        <v>0</v>
      </c>
    </row>
    <row r="4386" spans="23:34">
      <c r="W4386" s="177">
        <f t="shared" si="203"/>
        <v>0</v>
      </c>
      <c r="AB4386" s="178">
        <f t="shared" si="204"/>
        <v>0</v>
      </c>
      <c r="AH4386" s="177">
        <f t="shared" si="202"/>
        <v>0</v>
      </c>
    </row>
    <row r="4387" spans="23:34">
      <c r="W4387" s="177">
        <f t="shared" si="203"/>
        <v>0</v>
      </c>
      <c r="AB4387" s="178">
        <f t="shared" si="204"/>
        <v>0</v>
      </c>
      <c r="AH4387" s="177">
        <f t="shared" si="202"/>
        <v>0</v>
      </c>
    </row>
    <row r="4388" spans="23:34">
      <c r="W4388" s="177">
        <f t="shared" si="203"/>
        <v>0</v>
      </c>
      <c r="AB4388" s="178">
        <f t="shared" si="204"/>
        <v>0</v>
      </c>
      <c r="AH4388" s="177">
        <f t="shared" si="202"/>
        <v>0</v>
      </c>
    </row>
    <row r="4389" spans="23:34">
      <c r="W4389" s="177">
        <f t="shared" si="203"/>
        <v>0</v>
      </c>
      <c r="AB4389" s="178">
        <f t="shared" si="204"/>
        <v>0</v>
      </c>
      <c r="AH4389" s="177">
        <f t="shared" si="202"/>
        <v>0</v>
      </c>
    </row>
    <row r="4390" spans="23:34">
      <c r="W4390" s="177">
        <f t="shared" si="203"/>
        <v>0</v>
      </c>
      <c r="AB4390" s="178">
        <f t="shared" si="204"/>
        <v>0</v>
      </c>
      <c r="AH4390" s="177">
        <f t="shared" si="202"/>
        <v>0</v>
      </c>
    </row>
    <row r="4391" spans="23:34">
      <c r="W4391" s="177">
        <f t="shared" si="203"/>
        <v>0</v>
      </c>
      <c r="AB4391" s="178">
        <f t="shared" si="204"/>
        <v>0</v>
      </c>
      <c r="AH4391" s="177">
        <f t="shared" si="202"/>
        <v>0</v>
      </c>
    </row>
    <row r="4392" spans="23:34">
      <c r="W4392" s="177">
        <f t="shared" si="203"/>
        <v>0</v>
      </c>
      <c r="AB4392" s="178">
        <f t="shared" si="204"/>
        <v>0</v>
      </c>
      <c r="AH4392" s="177">
        <f t="shared" si="202"/>
        <v>0</v>
      </c>
    </row>
    <row r="4393" spans="23:34">
      <c r="W4393" s="177">
        <f t="shared" si="203"/>
        <v>0</v>
      </c>
      <c r="AB4393" s="178">
        <f t="shared" si="204"/>
        <v>0</v>
      </c>
      <c r="AH4393" s="177">
        <f t="shared" si="202"/>
        <v>0</v>
      </c>
    </row>
    <row r="4394" spans="23:34">
      <c r="W4394" s="177">
        <f t="shared" si="203"/>
        <v>0</v>
      </c>
      <c r="AB4394" s="178">
        <f t="shared" si="204"/>
        <v>0</v>
      </c>
      <c r="AH4394" s="177">
        <f t="shared" si="202"/>
        <v>0</v>
      </c>
    </row>
    <row r="4395" spans="23:34">
      <c r="W4395" s="177">
        <f t="shared" si="203"/>
        <v>0</v>
      </c>
      <c r="AB4395" s="178">
        <f t="shared" si="204"/>
        <v>0</v>
      </c>
      <c r="AH4395" s="177">
        <f t="shared" si="202"/>
        <v>0</v>
      </c>
    </row>
    <row r="4396" spans="23:34">
      <c r="W4396" s="177">
        <f t="shared" si="203"/>
        <v>0</v>
      </c>
      <c r="AB4396" s="178">
        <f t="shared" si="204"/>
        <v>0</v>
      </c>
      <c r="AH4396" s="177">
        <f t="shared" si="202"/>
        <v>0</v>
      </c>
    </row>
    <row r="4397" spans="23:34">
      <c r="W4397" s="177">
        <f t="shared" si="203"/>
        <v>0</v>
      </c>
      <c r="AB4397" s="178">
        <f t="shared" si="204"/>
        <v>0</v>
      </c>
      <c r="AH4397" s="177">
        <f t="shared" si="202"/>
        <v>0</v>
      </c>
    </row>
    <row r="4398" spans="23:34">
      <c r="W4398" s="177">
        <f t="shared" si="203"/>
        <v>0</v>
      </c>
      <c r="AB4398" s="178">
        <f t="shared" si="204"/>
        <v>0</v>
      </c>
      <c r="AH4398" s="177">
        <f t="shared" si="202"/>
        <v>0</v>
      </c>
    </row>
    <row r="4399" spans="23:34">
      <c r="W4399" s="177">
        <f t="shared" si="203"/>
        <v>0</v>
      </c>
      <c r="AB4399" s="178">
        <f t="shared" si="204"/>
        <v>0</v>
      </c>
      <c r="AH4399" s="177">
        <f t="shared" si="202"/>
        <v>0</v>
      </c>
    </row>
    <row r="4400" spans="23:34">
      <c r="W4400" s="177">
        <f t="shared" si="203"/>
        <v>0</v>
      </c>
      <c r="AB4400" s="178">
        <f t="shared" si="204"/>
        <v>0</v>
      </c>
      <c r="AH4400" s="177">
        <f t="shared" ref="AH4400:AH4463" si="205">SUM(AF4400:AG4400)</f>
        <v>0</v>
      </c>
    </row>
    <row r="4401" spans="23:34">
      <c r="W4401" s="177">
        <f t="shared" si="203"/>
        <v>0</v>
      </c>
      <c r="AB4401" s="178">
        <f t="shared" si="204"/>
        <v>0</v>
      </c>
      <c r="AH4401" s="177">
        <f t="shared" si="205"/>
        <v>0</v>
      </c>
    </row>
    <row r="4402" spans="23:34">
      <c r="W4402" s="177">
        <f t="shared" si="203"/>
        <v>0</v>
      </c>
      <c r="AB4402" s="178">
        <f t="shared" si="204"/>
        <v>0</v>
      </c>
      <c r="AH4402" s="177">
        <f t="shared" si="205"/>
        <v>0</v>
      </c>
    </row>
    <row r="4403" spans="23:34">
      <c r="W4403" s="177">
        <f t="shared" ref="W4403:W4466" si="206">SUM(Q4403:T4403)</f>
        <v>0</v>
      </c>
      <c r="AB4403" s="178">
        <f t="shared" si="204"/>
        <v>0</v>
      </c>
      <c r="AH4403" s="177">
        <f t="shared" si="205"/>
        <v>0</v>
      </c>
    </row>
    <row r="4404" spans="23:34">
      <c r="W4404" s="177">
        <f t="shared" si="206"/>
        <v>0</v>
      </c>
      <c r="AB4404" s="178">
        <f t="shared" si="204"/>
        <v>0</v>
      </c>
      <c r="AH4404" s="177">
        <f t="shared" si="205"/>
        <v>0</v>
      </c>
    </row>
    <row r="4405" spans="23:34">
      <c r="W4405" s="177">
        <f t="shared" si="206"/>
        <v>0</v>
      </c>
      <c r="AB4405" s="178">
        <f t="shared" si="204"/>
        <v>0</v>
      </c>
      <c r="AH4405" s="177">
        <f t="shared" si="205"/>
        <v>0</v>
      </c>
    </row>
    <row r="4406" spans="23:34">
      <c r="W4406" s="177">
        <f t="shared" si="206"/>
        <v>0</v>
      </c>
      <c r="AB4406" s="178">
        <f t="shared" si="204"/>
        <v>0</v>
      </c>
      <c r="AH4406" s="177">
        <f t="shared" si="205"/>
        <v>0</v>
      </c>
    </row>
    <row r="4407" spans="23:34">
      <c r="W4407" s="177">
        <f t="shared" si="206"/>
        <v>0</v>
      </c>
      <c r="AB4407" s="178">
        <f t="shared" si="204"/>
        <v>0</v>
      </c>
      <c r="AH4407" s="177">
        <f t="shared" si="205"/>
        <v>0</v>
      </c>
    </row>
    <row r="4408" spans="23:34">
      <c r="W4408" s="177">
        <f t="shared" si="206"/>
        <v>0</v>
      </c>
      <c r="AB4408" s="178">
        <f t="shared" si="204"/>
        <v>0</v>
      </c>
      <c r="AH4408" s="177">
        <f t="shared" si="205"/>
        <v>0</v>
      </c>
    </row>
    <row r="4409" spans="23:34">
      <c r="W4409" s="177">
        <f t="shared" si="206"/>
        <v>0</v>
      </c>
      <c r="AB4409" s="178">
        <f t="shared" si="204"/>
        <v>0</v>
      </c>
      <c r="AH4409" s="177">
        <f t="shared" si="205"/>
        <v>0</v>
      </c>
    </row>
    <row r="4410" spans="23:34">
      <c r="W4410" s="177">
        <f t="shared" si="206"/>
        <v>0</v>
      </c>
      <c r="AB4410" s="178">
        <f t="shared" si="204"/>
        <v>0</v>
      </c>
      <c r="AH4410" s="177">
        <f t="shared" si="205"/>
        <v>0</v>
      </c>
    </row>
    <row r="4411" spans="23:34">
      <c r="W4411" s="177">
        <f t="shared" si="206"/>
        <v>0</v>
      </c>
      <c r="AB4411" s="178">
        <f t="shared" ref="AB4411:AB4474" si="207">SUM(Z4411:AA4411)</f>
        <v>0</v>
      </c>
      <c r="AH4411" s="177">
        <f t="shared" si="205"/>
        <v>0</v>
      </c>
    </row>
    <row r="4412" spans="23:34">
      <c r="W4412" s="177">
        <f t="shared" si="206"/>
        <v>0</v>
      </c>
      <c r="AB4412" s="178">
        <f t="shared" si="207"/>
        <v>0</v>
      </c>
      <c r="AH4412" s="177">
        <f t="shared" si="205"/>
        <v>0</v>
      </c>
    </row>
    <row r="4413" spans="23:34">
      <c r="W4413" s="177">
        <f t="shared" si="206"/>
        <v>0</v>
      </c>
      <c r="AB4413" s="178">
        <f t="shared" si="207"/>
        <v>0</v>
      </c>
      <c r="AH4413" s="177">
        <f t="shared" si="205"/>
        <v>0</v>
      </c>
    </row>
    <row r="4414" spans="23:34">
      <c r="W4414" s="177">
        <f t="shared" si="206"/>
        <v>0</v>
      </c>
      <c r="AB4414" s="178">
        <f t="shared" si="207"/>
        <v>0</v>
      </c>
      <c r="AH4414" s="177">
        <f t="shared" si="205"/>
        <v>0</v>
      </c>
    </row>
    <row r="4415" spans="23:34">
      <c r="W4415" s="177">
        <f t="shared" si="206"/>
        <v>0</v>
      </c>
      <c r="AB4415" s="178">
        <f t="shared" si="207"/>
        <v>0</v>
      </c>
      <c r="AH4415" s="177">
        <f t="shared" si="205"/>
        <v>0</v>
      </c>
    </row>
    <row r="4416" spans="23:34">
      <c r="W4416" s="177">
        <f t="shared" si="206"/>
        <v>0</v>
      </c>
      <c r="AB4416" s="178">
        <f t="shared" si="207"/>
        <v>0</v>
      </c>
      <c r="AH4416" s="177">
        <f t="shared" si="205"/>
        <v>0</v>
      </c>
    </row>
    <row r="4417" spans="23:34">
      <c r="W4417" s="177">
        <f t="shared" si="206"/>
        <v>0</v>
      </c>
      <c r="AB4417" s="178">
        <f t="shared" si="207"/>
        <v>0</v>
      </c>
      <c r="AH4417" s="177">
        <f t="shared" si="205"/>
        <v>0</v>
      </c>
    </row>
    <row r="4418" spans="23:34">
      <c r="W4418" s="177">
        <f t="shared" si="206"/>
        <v>0</v>
      </c>
      <c r="AB4418" s="178">
        <f t="shared" si="207"/>
        <v>0</v>
      </c>
      <c r="AH4418" s="177">
        <f t="shared" si="205"/>
        <v>0</v>
      </c>
    </row>
    <row r="4419" spans="23:34">
      <c r="W4419" s="177">
        <f t="shared" si="206"/>
        <v>0</v>
      </c>
      <c r="AB4419" s="178">
        <f t="shared" si="207"/>
        <v>0</v>
      </c>
      <c r="AH4419" s="177">
        <f t="shared" si="205"/>
        <v>0</v>
      </c>
    </row>
    <row r="4420" spans="23:34">
      <c r="W4420" s="177">
        <f t="shared" si="206"/>
        <v>0</v>
      </c>
      <c r="AB4420" s="178">
        <f t="shared" si="207"/>
        <v>0</v>
      </c>
      <c r="AH4420" s="177">
        <f t="shared" si="205"/>
        <v>0</v>
      </c>
    </row>
    <row r="4421" spans="23:34">
      <c r="W4421" s="177">
        <f t="shared" si="206"/>
        <v>0</v>
      </c>
      <c r="AB4421" s="178">
        <f t="shared" si="207"/>
        <v>0</v>
      </c>
      <c r="AH4421" s="177">
        <f t="shared" si="205"/>
        <v>0</v>
      </c>
    </row>
    <row r="4422" spans="23:34">
      <c r="W4422" s="177">
        <f t="shared" si="206"/>
        <v>0</v>
      </c>
      <c r="AB4422" s="178">
        <f t="shared" si="207"/>
        <v>0</v>
      </c>
      <c r="AH4422" s="177">
        <f t="shared" si="205"/>
        <v>0</v>
      </c>
    </row>
    <row r="4423" spans="23:34">
      <c r="W4423" s="177">
        <f t="shared" si="206"/>
        <v>0</v>
      </c>
      <c r="AB4423" s="178">
        <f t="shared" si="207"/>
        <v>0</v>
      </c>
      <c r="AH4423" s="177">
        <f t="shared" si="205"/>
        <v>0</v>
      </c>
    </row>
    <row r="4424" spans="23:34">
      <c r="W4424" s="177">
        <f t="shared" si="206"/>
        <v>0</v>
      </c>
      <c r="AB4424" s="178">
        <f t="shared" si="207"/>
        <v>0</v>
      </c>
      <c r="AH4424" s="177">
        <f t="shared" si="205"/>
        <v>0</v>
      </c>
    </row>
    <row r="4425" spans="23:34">
      <c r="W4425" s="177">
        <f t="shared" si="206"/>
        <v>0</v>
      </c>
      <c r="AB4425" s="178">
        <f t="shared" si="207"/>
        <v>0</v>
      </c>
      <c r="AH4425" s="177">
        <f t="shared" si="205"/>
        <v>0</v>
      </c>
    </row>
    <row r="4426" spans="23:34">
      <c r="W4426" s="177">
        <f t="shared" si="206"/>
        <v>0</v>
      </c>
      <c r="AB4426" s="178">
        <f t="shared" si="207"/>
        <v>0</v>
      </c>
      <c r="AH4426" s="177">
        <f t="shared" si="205"/>
        <v>0</v>
      </c>
    </row>
    <row r="4427" spans="23:34">
      <c r="W4427" s="177">
        <f t="shared" si="206"/>
        <v>0</v>
      </c>
      <c r="AB4427" s="178">
        <f t="shared" si="207"/>
        <v>0</v>
      </c>
      <c r="AH4427" s="177">
        <f t="shared" si="205"/>
        <v>0</v>
      </c>
    </row>
    <row r="4428" spans="23:34">
      <c r="W4428" s="177">
        <f t="shared" si="206"/>
        <v>0</v>
      </c>
      <c r="AB4428" s="178">
        <f t="shared" si="207"/>
        <v>0</v>
      </c>
      <c r="AH4428" s="177">
        <f t="shared" si="205"/>
        <v>0</v>
      </c>
    </row>
    <row r="4429" spans="23:34">
      <c r="W4429" s="177">
        <f t="shared" si="206"/>
        <v>0</v>
      </c>
      <c r="AB4429" s="178">
        <f t="shared" si="207"/>
        <v>0</v>
      </c>
      <c r="AH4429" s="177">
        <f t="shared" si="205"/>
        <v>0</v>
      </c>
    </row>
    <row r="4430" spans="23:34">
      <c r="W4430" s="177">
        <f t="shared" si="206"/>
        <v>0</v>
      </c>
      <c r="AB4430" s="178">
        <f t="shared" si="207"/>
        <v>0</v>
      </c>
      <c r="AH4430" s="177">
        <f t="shared" si="205"/>
        <v>0</v>
      </c>
    </row>
    <row r="4431" spans="23:34">
      <c r="W4431" s="177">
        <f t="shared" si="206"/>
        <v>0</v>
      </c>
      <c r="AB4431" s="178">
        <f t="shared" si="207"/>
        <v>0</v>
      </c>
      <c r="AH4431" s="177">
        <f t="shared" si="205"/>
        <v>0</v>
      </c>
    </row>
    <row r="4432" spans="23:34">
      <c r="W4432" s="177">
        <f t="shared" si="206"/>
        <v>0</v>
      </c>
      <c r="AB4432" s="178">
        <f t="shared" si="207"/>
        <v>0</v>
      </c>
      <c r="AH4432" s="177">
        <f t="shared" si="205"/>
        <v>0</v>
      </c>
    </row>
    <row r="4433" spans="23:34">
      <c r="W4433" s="177">
        <f t="shared" si="206"/>
        <v>0</v>
      </c>
      <c r="AB4433" s="178">
        <f t="shared" si="207"/>
        <v>0</v>
      </c>
      <c r="AH4433" s="177">
        <f t="shared" si="205"/>
        <v>0</v>
      </c>
    </row>
    <row r="4434" spans="23:34">
      <c r="W4434" s="177">
        <f t="shared" si="206"/>
        <v>0</v>
      </c>
      <c r="AB4434" s="178">
        <f t="shared" si="207"/>
        <v>0</v>
      </c>
      <c r="AH4434" s="177">
        <f t="shared" si="205"/>
        <v>0</v>
      </c>
    </row>
    <row r="4435" spans="23:34">
      <c r="W4435" s="177">
        <f t="shared" si="206"/>
        <v>0</v>
      </c>
      <c r="AB4435" s="178">
        <f t="shared" si="207"/>
        <v>0</v>
      </c>
      <c r="AH4435" s="177">
        <f t="shared" si="205"/>
        <v>0</v>
      </c>
    </row>
    <row r="4436" spans="23:34">
      <c r="W4436" s="177">
        <f t="shared" si="206"/>
        <v>0</v>
      </c>
      <c r="AB4436" s="178">
        <f t="shared" si="207"/>
        <v>0</v>
      </c>
      <c r="AH4436" s="177">
        <f t="shared" si="205"/>
        <v>0</v>
      </c>
    </row>
    <row r="4437" spans="23:34">
      <c r="W4437" s="177">
        <f t="shared" si="206"/>
        <v>0</v>
      </c>
      <c r="AB4437" s="178">
        <f t="shared" si="207"/>
        <v>0</v>
      </c>
      <c r="AH4437" s="177">
        <f t="shared" si="205"/>
        <v>0</v>
      </c>
    </row>
    <row r="4438" spans="23:34">
      <c r="W4438" s="177">
        <f t="shared" si="206"/>
        <v>0</v>
      </c>
      <c r="AB4438" s="178">
        <f t="shared" si="207"/>
        <v>0</v>
      </c>
      <c r="AH4438" s="177">
        <f t="shared" si="205"/>
        <v>0</v>
      </c>
    </row>
    <row r="4439" spans="23:34">
      <c r="W4439" s="177">
        <f t="shared" si="206"/>
        <v>0</v>
      </c>
      <c r="AB4439" s="178">
        <f t="shared" si="207"/>
        <v>0</v>
      </c>
      <c r="AH4439" s="177">
        <f t="shared" si="205"/>
        <v>0</v>
      </c>
    </row>
    <row r="4440" spans="23:34">
      <c r="W4440" s="177">
        <f t="shared" si="206"/>
        <v>0</v>
      </c>
      <c r="AB4440" s="178">
        <f t="shared" si="207"/>
        <v>0</v>
      </c>
      <c r="AH4440" s="177">
        <f t="shared" si="205"/>
        <v>0</v>
      </c>
    </row>
    <row r="4441" spans="23:34">
      <c r="W4441" s="177">
        <f t="shared" si="206"/>
        <v>0</v>
      </c>
      <c r="AB4441" s="178">
        <f t="shared" si="207"/>
        <v>0</v>
      </c>
      <c r="AH4441" s="177">
        <f t="shared" si="205"/>
        <v>0</v>
      </c>
    </row>
    <row r="4442" spans="23:34">
      <c r="W4442" s="177">
        <f t="shared" si="206"/>
        <v>0</v>
      </c>
      <c r="AB4442" s="178">
        <f t="shared" si="207"/>
        <v>0</v>
      </c>
      <c r="AH4442" s="177">
        <f t="shared" si="205"/>
        <v>0</v>
      </c>
    </row>
    <row r="4443" spans="23:34">
      <c r="W4443" s="177">
        <f t="shared" si="206"/>
        <v>0</v>
      </c>
      <c r="AB4443" s="178">
        <f t="shared" si="207"/>
        <v>0</v>
      </c>
      <c r="AH4443" s="177">
        <f t="shared" si="205"/>
        <v>0</v>
      </c>
    </row>
    <row r="4444" spans="23:34">
      <c r="W4444" s="177">
        <f t="shared" si="206"/>
        <v>0</v>
      </c>
      <c r="AB4444" s="178">
        <f t="shared" si="207"/>
        <v>0</v>
      </c>
      <c r="AH4444" s="177">
        <f t="shared" si="205"/>
        <v>0</v>
      </c>
    </row>
    <row r="4445" spans="23:34">
      <c r="W4445" s="177">
        <f t="shared" si="206"/>
        <v>0</v>
      </c>
      <c r="AB4445" s="178">
        <f t="shared" si="207"/>
        <v>0</v>
      </c>
      <c r="AH4445" s="177">
        <f t="shared" si="205"/>
        <v>0</v>
      </c>
    </row>
    <row r="4446" spans="23:34">
      <c r="W4446" s="177">
        <f t="shared" si="206"/>
        <v>0</v>
      </c>
      <c r="AB4446" s="178">
        <f t="shared" si="207"/>
        <v>0</v>
      </c>
      <c r="AH4446" s="177">
        <f t="shared" si="205"/>
        <v>0</v>
      </c>
    </row>
    <row r="4447" spans="23:34">
      <c r="W4447" s="177">
        <f t="shared" si="206"/>
        <v>0</v>
      </c>
      <c r="AB4447" s="178">
        <f t="shared" si="207"/>
        <v>0</v>
      </c>
      <c r="AH4447" s="177">
        <f t="shared" si="205"/>
        <v>0</v>
      </c>
    </row>
    <row r="4448" spans="23:34">
      <c r="W4448" s="177">
        <f t="shared" si="206"/>
        <v>0</v>
      </c>
      <c r="AB4448" s="178">
        <f t="shared" si="207"/>
        <v>0</v>
      </c>
      <c r="AH4448" s="177">
        <f t="shared" si="205"/>
        <v>0</v>
      </c>
    </row>
    <row r="4449" spans="23:34">
      <c r="W4449" s="177">
        <f t="shared" si="206"/>
        <v>0</v>
      </c>
      <c r="AB4449" s="178">
        <f t="shared" si="207"/>
        <v>0</v>
      </c>
      <c r="AH4449" s="177">
        <f t="shared" si="205"/>
        <v>0</v>
      </c>
    </row>
    <row r="4450" spans="23:34">
      <c r="W4450" s="177">
        <f t="shared" si="206"/>
        <v>0</v>
      </c>
      <c r="AB4450" s="178">
        <f t="shared" si="207"/>
        <v>0</v>
      </c>
      <c r="AH4450" s="177">
        <f t="shared" si="205"/>
        <v>0</v>
      </c>
    </row>
    <row r="4451" spans="23:34">
      <c r="W4451" s="177">
        <f t="shared" si="206"/>
        <v>0</v>
      </c>
      <c r="AB4451" s="178">
        <f t="shared" si="207"/>
        <v>0</v>
      </c>
      <c r="AH4451" s="177">
        <f t="shared" si="205"/>
        <v>0</v>
      </c>
    </row>
    <row r="4452" spans="23:34">
      <c r="W4452" s="177">
        <f t="shared" si="206"/>
        <v>0</v>
      </c>
      <c r="AB4452" s="178">
        <f t="shared" si="207"/>
        <v>0</v>
      </c>
      <c r="AH4452" s="177">
        <f t="shared" si="205"/>
        <v>0</v>
      </c>
    </row>
    <row r="4453" spans="23:34">
      <c r="W4453" s="177">
        <f t="shared" si="206"/>
        <v>0</v>
      </c>
      <c r="AB4453" s="178">
        <f t="shared" si="207"/>
        <v>0</v>
      </c>
      <c r="AH4453" s="177">
        <f t="shared" si="205"/>
        <v>0</v>
      </c>
    </row>
    <row r="4454" spans="23:34">
      <c r="W4454" s="177">
        <f t="shared" si="206"/>
        <v>0</v>
      </c>
      <c r="AB4454" s="178">
        <f t="shared" si="207"/>
        <v>0</v>
      </c>
      <c r="AH4454" s="177">
        <f t="shared" si="205"/>
        <v>0</v>
      </c>
    </row>
    <row r="4455" spans="23:34">
      <c r="W4455" s="177">
        <f t="shared" si="206"/>
        <v>0</v>
      </c>
      <c r="AB4455" s="178">
        <f t="shared" si="207"/>
        <v>0</v>
      </c>
      <c r="AH4455" s="177">
        <f t="shared" si="205"/>
        <v>0</v>
      </c>
    </row>
    <row r="4456" spans="23:34">
      <c r="W4456" s="177">
        <f t="shared" si="206"/>
        <v>0</v>
      </c>
      <c r="AB4456" s="178">
        <f t="shared" si="207"/>
        <v>0</v>
      </c>
      <c r="AH4456" s="177">
        <f t="shared" si="205"/>
        <v>0</v>
      </c>
    </row>
    <row r="4457" spans="23:34">
      <c r="W4457" s="177">
        <f t="shared" si="206"/>
        <v>0</v>
      </c>
      <c r="AB4457" s="178">
        <f t="shared" si="207"/>
        <v>0</v>
      </c>
      <c r="AH4457" s="177">
        <f t="shared" si="205"/>
        <v>0</v>
      </c>
    </row>
    <row r="4458" spans="23:34">
      <c r="W4458" s="177">
        <f t="shared" si="206"/>
        <v>0</v>
      </c>
      <c r="AB4458" s="178">
        <f t="shared" si="207"/>
        <v>0</v>
      </c>
      <c r="AH4458" s="177">
        <f t="shared" si="205"/>
        <v>0</v>
      </c>
    </row>
    <row r="4459" spans="23:34">
      <c r="W4459" s="177">
        <f t="shared" si="206"/>
        <v>0</v>
      </c>
      <c r="AB4459" s="178">
        <f t="shared" si="207"/>
        <v>0</v>
      </c>
      <c r="AH4459" s="177">
        <f t="shared" si="205"/>
        <v>0</v>
      </c>
    </row>
    <row r="4460" spans="23:34">
      <c r="W4460" s="177">
        <f t="shared" si="206"/>
        <v>0</v>
      </c>
      <c r="AB4460" s="178">
        <f t="shared" si="207"/>
        <v>0</v>
      </c>
      <c r="AH4460" s="177">
        <f t="shared" si="205"/>
        <v>0</v>
      </c>
    </row>
    <row r="4461" spans="23:34">
      <c r="W4461" s="177">
        <f t="shared" si="206"/>
        <v>0</v>
      </c>
      <c r="AB4461" s="178">
        <f t="shared" si="207"/>
        <v>0</v>
      </c>
      <c r="AH4461" s="177">
        <f t="shared" si="205"/>
        <v>0</v>
      </c>
    </row>
    <row r="4462" spans="23:34">
      <c r="W4462" s="177">
        <f t="shared" si="206"/>
        <v>0</v>
      </c>
      <c r="AB4462" s="178">
        <f t="shared" si="207"/>
        <v>0</v>
      </c>
      <c r="AH4462" s="177">
        <f t="shared" si="205"/>
        <v>0</v>
      </c>
    </row>
    <row r="4463" spans="23:34">
      <c r="W4463" s="177">
        <f t="shared" si="206"/>
        <v>0</v>
      </c>
      <c r="AB4463" s="178">
        <f t="shared" si="207"/>
        <v>0</v>
      </c>
      <c r="AH4463" s="177">
        <f t="shared" si="205"/>
        <v>0</v>
      </c>
    </row>
    <row r="4464" spans="23:34">
      <c r="W4464" s="177">
        <f t="shared" si="206"/>
        <v>0</v>
      </c>
      <c r="AB4464" s="178">
        <f t="shared" si="207"/>
        <v>0</v>
      </c>
      <c r="AH4464" s="177">
        <f t="shared" ref="AH4464:AH4527" si="208">SUM(AF4464:AG4464)</f>
        <v>0</v>
      </c>
    </row>
    <row r="4465" spans="23:34">
      <c r="W4465" s="177">
        <f t="shared" si="206"/>
        <v>0</v>
      </c>
      <c r="AB4465" s="178">
        <f t="shared" si="207"/>
        <v>0</v>
      </c>
      <c r="AH4465" s="177">
        <f t="shared" si="208"/>
        <v>0</v>
      </c>
    </row>
    <row r="4466" spans="23:34">
      <c r="W4466" s="177">
        <f t="shared" si="206"/>
        <v>0</v>
      </c>
      <c r="AB4466" s="178">
        <f t="shared" si="207"/>
        <v>0</v>
      </c>
      <c r="AH4466" s="177">
        <f t="shared" si="208"/>
        <v>0</v>
      </c>
    </row>
    <row r="4467" spans="23:34">
      <c r="W4467" s="177">
        <f t="shared" ref="W4467:W4530" si="209">SUM(Q4467:T4467)</f>
        <v>0</v>
      </c>
      <c r="AB4467" s="178">
        <f t="shared" si="207"/>
        <v>0</v>
      </c>
      <c r="AH4467" s="177">
        <f t="shared" si="208"/>
        <v>0</v>
      </c>
    </row>
    <row r="4468" spans="23:34">
      <c r="W4468" s="177">
        <f t="shared" si="209"/>
        <v>0</v>
      </c>
      <c r="AB4468" s="178">
        <f t="shared" si="207"/>
        <v>0</v>
      </c>
      <c r="AH4468" s="177">
        <f t="shared" si="208"/>
        <v>0</v>
      </c>
    </row>
    <row r="4469" spans="23:34">
      <c r="W4469" s="177">
        <f t="shared" si="209"/>
        <v>0</v>
      </c>
      <c r="AB4469" s="178">
        <f t="shared" si="207"/>
        <v>0</v>
      </c>
      <c r="AH4469" s="177">
        <f t="shared" si="208"/>
        <v>0</v>
      </c>
    </row>
    <row r="4470" spans="23:34">
      <c r="W4470" s="177">
        <f t="shared" si="209"/>
        <v>0</v>
      </c>
      <c r="AB4470" s="178">
        <f t="shared" si="207"/>
        <v>0</v>
      </c>
      <c r="AH4470" s="177">
        <f t="shared" si="208"/>
        <v>0</v>
      </c>
    </row>
    <row r="4471" spans="23:34">
      <c r="W4471" s="177">
        <f t="shared" si="209"/>
        <v>0</v>
      </c>
      <c r="AB4471" s="178">
        <f t="shared" si="207"/>
        <v>0</v>
      </c>
      <c r="AH4471" s="177">
        <f t="shared" si="208"/>
        <v>0</v>
      </c>
    </row>
    <row r="4472" spans="23:34">
      <c r="W4472" s="177">
        <f t="shared" si="209"/>
        <v>0</v>
      </c>
      <c r="AB4472" s="178">
        <f t="shared" si="207"/>
        <v>0</v>
      </c>
      <c r="AH4472" s="177">
        <f t="shared" si="208"/>
        <v>0</v>
      </c>
    </row>
    <row r="4473" spans="23:34">
      <c r="W4473" s="177">
        <f t="shared" si="209"/>
        <v>0</v>
      </c>
      <c r="AB4473" s="178">
        <f t="shared" si="207"/>
        <v>0</v>
      </c>
      <c r="AH4473" s="177">
        <f t="shared" si="208"/>
        <v>0</v>
      </c>
    </row>
    <row r="4474" spans="23:34">
      <c r="W4474" s="177">
        <f t="shared" si="209"/>
        <v>0</v>
      </c>
      <c r="AB4474" s="178">
        <f t="shared" si="207"/>
        <v>0</v>
      </c>
      <c r="AH4474" s="177">
        <f t="shared" si="208"/>
        <v>0</v>
      </c>
    </row>
    <row r="4475" spans="23:34">
      <c r="W4475" s="177">
        <f t="shared" si="209"/>
        <v>0</v>
      </c>
      <c r="AB4475" s="178">
        <f t="shared" ref="AB4475:AB4538" si="210">SUM(Z4475:AA4475)</f>
        <v>0</v>
      </c>
      <c r="AH4475" s="177">
        <f t="shared" si="208"/>
        <v>0</v>
      </c>
    </row>
    <row r="4476" spans="23:34">
      <c r="W4476" s="177">
        <f t="shared" si="209"/>
        <v>0</v>
      </c>
      <c r="AB4476" s="178">
        <f t="shared" si="210"/>
        <v>0</v>
      </c>
      <c r="AH4476" s="177">
        <f t="shared" si="208"/>
        <v>0</v>
      </c>
    </row>
    <row r="4477" spans="23:34">
      <c r="W4477" s="177">
        <f t="shared" si="209"/>
        <v>0</v>
      </c>
      <c r="AB4477" s="178">
        <f t="shared" si="210"/>
        <v>0</v>
      </c>
      <c r="AH4477" s="177">
        <f t="shared" si="208"/>
        <v>0</v>
      </c>
    </row>
    <row r="4478" spans="23:34">
      <c r="W4478" s="177">
        <f t="shared" si="209"/>
        <v>0</v>
      </c>
      <c r="AB4478" s="178">
        <f t="shared" si="210"/>
        <v>0</v>
      </c>
      <c r="AH4478" s="177">
        <f t="shared" si="208"/>
        <v>0</v>
      </c>
    </row>
    <row r="4479" spans="23:34">
      <c r="W4479" s="177">
        <f t="shared" si="209"/>
        <v>0</v>
      </c>
      <c r="AB4479" s="178">
        <f t="shared" si="210"/>
        <v>0</v>
      </c>
      <c r="AH4479" s="177">
        <f t="shared" si="208"/>
        <v>0</v>
      </c>
    </row>
    <row r="4480" spans="23:34">
      <c r="W4480" s="177">
        <f t="shared" si="209"/>
        <v>0</v>
      </c>
      <c r="AB4480" s="178">
        <f t="shared" si="210"/>
        <v>0</v>
      </c>
      <c r="AH4480" s="177">
        <f t="shared" si="208"/>
        <v>0</v>
      </c>
    </row>
    <row r="4481" spans="23:34">
      <c r="W4481" s="177">
        <f t="shared" si="209"/>
        <v>0</v>
      </c>
      <c r="AB4481" s="178">
        <f t="shared" si="210"/>
        <v>0</v>
      </c>
      <c r="AH4481" s="177">
        <f t="shared" si="208"/>
        <v>0</v>
      </c>
    </row>
    <row r="4482" spans="23:34">
      <c r="W4482" s="177">
        <f t="shared" si="209"/>
        <v>0</v>
      </c>
      <c r="AB4482" s="178">
        <f t="shared" si="210"/>
        <v>0</v>
      </c>
      <c r="AH4482" s="177">
        <f t="shared" si="208"/>
        <v>0</v>
      </c>
    </row>
    <row r="4483" spans="23:34">
      <c r="W4483" s="177">
        <f t="shared" si="209"/>
        <v>0</v>
      </c>
      <c r="AB4483" s="178">
        <f t="shared" si="210"/>
        <v>0</v>
      </c>
      <c r="AH4483" s="177">
        <f t="shared" si="208"/>
        <v>0</v>
      </c>
    </row>
    <row r="4484" spans="23:34">
      <c r="W4484" s="177">
        <f t="shared" si="209"/>
        <v>0</v>
      </c>
      <c r="AB4484" s="178">
        <f t="shared" si="210"/>
        <v>0</v>
      </c>
      <c r="AH4484" s="177">
        <f t="shared" si="208"/>
        <v>0</v>
      </c>
    </row>
    <row r="4485" spans="23:34">
      <c r="W4485" s="177">
        <f t="shared" si="209"/>
        <v>0</v>
      </c>
      <c r="AB4485" s="178">
        <f t="shared" si="210"/>
        <v>0</v>
      </c>
      <c r="AH4485" s="177">
        <f t="shared" si="208"/>
        <v>0</v>
      </c>
    </row>
    <row r="4486" spans="23:34">
      <c r="W4486" s="177">
        <f t="shared" si="209"/>
        <v>0</v>
      </c>
      <c r="AB4486" s="178">
        <f t="shared" si="210"/>
        <v>0</v>
      </c>
      <c r="AH4486" s="177">
        <f t="shared" si="208"/>
        <v>0</v>
      </c>
    </row>
    <row r="4487" spans="23:34">
      <c r="W4487" s="177">
        <f t="shared" si="209"/>
        <v>0</v>
      </c>
      <c r="AB4487" s="178">
        <f t="shared" si="210"/>
        <v>0</v>
      </c>
      <c r="AH4487" s="177">
        <f t="shared" si="208"/>
        <v>0</v>
      </c>
    </row>
    <row r="4488" spans="23:34">
      <c r="W4488" s="177">
        <f t="shared" si="209"/>
        <v>0</v>
      </c>
      <c r="AB4488" s="178">
        <f t="shared" si="210"/>
        <v>0</v>
      </c>
      <c r="AH4488" s="177">
        <f t="shared" si="208"/>
        <v>0</v>
      </c>
    </row>
    <row r="4489" spans="23:34">
      <c r="W4489" s="177">
        <f t="shared" si="209"/>
        <v>0</v>
      </c>
      <c r="AB4489" s="178">
        <f t="shared" si="210"/>
        <v>0</v>
      </c>
      <c r="AH4489" s="177">
        <f t="shared" si="208"/>
        <v>0</v>
      </c>
    </row>
    <row r="4490" spans="23:34">
      <c r="W4490" s="177">
        <f t="shared" si="209"/>
        <v>0</v>
      </c>
      <c r="AB4490" s="178">
        <f t="shared" si="210"/>
        <v>0</v>
      </c>
      <c r="AH4490" s="177">
        <f t="shared" si="208"/>
        <v>0</v>
      </c>
    </row>
    <row r="4491" spans="23:34">
      <c r="W4491" s="177">
        <f t="shared" si="209"/>
        <v>0</v>
      </c>
      <c r="AB4491" s="178">
        <f t="shared" si="210"/>
        <v>0</v>
      </c>
      <c r="AH4491" s="177">
        <f t="shared" si="208"/>
        <v>0</v>
      </c>
    </row>
    <row r="4492" spans="23:34">
      <c r="W4492" s="177">
        <f t="shared" si="209"/>
        <v>0</v>
      </c>
      <c r="AB4492" s="178">
        <f t="shared" si="210"/>
        <v>0</v>
      </c>
      <c r="AH4492" s="177">
        <f t="shared" si="208"/>
        <v>0</v>
      </c>
    </row>
    <row r="4493" spans="23:34">
      <c r="W4493" s="177">
        <f t="shared" si="209"/>
        <v>0</v>
      </c>
      <c r="AB4493" s="178">
        <f t="shared" si="210"/>
        <v>0</v>
      </c>
      <c r="AH4493" s="177">
        <f t="shared" si="208"/>
        <v>0</v>
      </c>
    </row>
    <row r="4494" spans="23:34">
      <c r="W4494" s="177">
        <f t="shared" si="209"/>
        <v>0</v>
      </c>
      <c r="AB4494" s="178">
        <f t="shared" si="210"/>
        <v>0</v>
      </c>
      <c r="AH4494" s="177">
        <f t="shared" si="208"/>
        <v>0</v>
      </c>
    </row>
    <row r="4495" spans="23:34">
      <c r="W4495" s="177">
        <f t="shared" si="209"/>
        <v>0</v>
      </c>
      <c r="AB4495" s="178">
        <f t="shared" si="210"/>
        <v>0</v>
      </c>
      <c r="AH4495" s="177">
        <f t="shared" si="208"/>
        <v>0</v>
      </c>
    </row>
    <row r="4496" spans="23:34">
      <c r="W4496" s="177">
        <f t="shared" si="209"/>
        <v>0</v>
      </c>
      <c r="AB4496" s="178">
        <f t="shared" si="210"/>
        <v>0</v>
      </c>
      <c r="AH4496" s="177">
        <f t="shared" si="208"/>
        <v>0</v>
      </c>
    </row>
    <row r="4497" spans="23:34">
      <c r="W4497" s="177">
        <f t="shared" si="209"/>
        <v>0</v>
      </c>
      <c r="AB4497" s="178">
        <f t="shared" si="210"/>
        <v>0</v>
      </c>
      <c r="AH4497" s="177">
        <f t="shared" si="208"/>
        <v>0</v>
      </c>
    </row>
    <row r="4498" spans="23:34">
      <c r="W4498" s="177">
        <f t="shared" si="209"/>
        <v>0</v>
      </c>
      <c r="AB4498" s="178">
        <f t="shared" si="210"/>
        <v>0</v>
      </c>
      <c r="AH4498" s="177">
        <f t="shared" si="208"/>
        <v>0</v>
      </c>
    </row>
    <row r="4499" spans="23:34">
      <c r="W4499" s="177">
        <f t="shared" si="209"/>
        <v>0</v>
      </c>
      <c r="AB4499" s="178">
        <f t="shared" si="210"/>
        <v>0</v>
      </c>
      <c r="AH4499" s="177">
        <f t="shared" si="208"/>
        <v>0</v>
      </c>
    </row>
    <row r="4500" spans="23:34">
      <c r="W4500" s="177">
        <f t="shared" si="209"/>
        <v>0</v>
      </c>
      <c r="AB4500" s="178">
        <f t="shared" si="210"/>
        <v>0</v>
      </c>
      <c r="AH4500" s="177">
        <f t="shared" si="208"/>
        <v>0</v>
      </c>
    </row>
    <row r="4501" spans="23:34">
      <c r="W4501" s="177">
        <f t="shared" si="209"/>
        <v>0</v>
      </c>
      <c r="AB4501" s="178">
        <f t="shared" si="210"/>
        <v>0</v>
      </c>
      <c r="AH4501" s="177">
        <f t="shared" si="208"/>
        <v>0</v>
      </c>
    </row>
    <row r="4502" spans="23:34">
      <c r="W4502" s="177">
        <f t="shared" si="209"/>
        <v>0</v>
      </c>
      <c r="AB4502" s="178">
        <f t="shared" si="210"/>
        <v>0</v>
      </c>
      <c r="AH4502" s="177">
        <f t="shared" si="208"/>
        <v>0</v>
      </c>
    </row>
    <row r="4503" spans="23:34">
      <c r="W4503" s="177">
        <f t="shared" si="209"/>
        <v>0</v>
      </c>
      <c r="AB4503" s="178">
        <f t="shared" si="210"/>
        <v>0</v>
      </c>
      <c r="AH4503" s="177">
        <f t="shared" si="208"/>
        <v>0</v>
      </c>
    </row>
    <row r="4504" spans="23:34">
      <c r="W4504" s="177">
        <f t="shared" si="209"/>
        <v>0</v>
      </c>
      <c r="AB4504" s="178">
        <f t="shared" si="210"/>
        <v>0</v>
      </c>
      <c r="AH4504" s="177">
        <f t="shared" si="208"/>
        <v>0</v>
      </c>
    </row>
    <row r="4505" spans="23:34">
      <c r="W4505" s="177">
        <f t="shared" si="209"/>
        <v>0</v>
      </c>
      <c r="AB4505" s="178">
        <f t="shared" si="210"/>
        <v>0</v>
      </c>
      <c r="AH4505" s="177">
        <f t="shared" si="208"/>
        <v>0</v>
      </c>
    </row>
    <row r="4506" spans="23:34">
      <c r="W4506" s="177">
        <f t="shared" si="209"/>
        <v>0</v>
      </c>
      <c r="AB4506" s="178">
        <f t="shared" si="210"/>
        <v>0</v>
      </c>
      <c r="AH4506" s="177">
        <f t="shared" si="208"/>
        <v>0</v>
      </c>
    </row>
    <row r="4507" spans="23:34">
      <c r="W4507" s="177">
        <f t="shared" si="209"/>
        <v>0</v>
      </c>
      <c r="AB4507" s="178">
        <f t="shared" si="210"/>
        <v>0</v>
      </c>
      <c r="AH4507" s="177">
        <f t="shared" si="208"/>
        <v>0</v>
      </c>
    </row>
    <row r="4508" spans="23:34">
      <c r="W4508" s="177">
        <f t="shared" si="209"/>
        <v>0</v>
      </c>
      <c r="AB4508" s="178">
        <f t="shared" si="210"/>
        <v>0</v>
      </c>
      <c r="AH4508" s="177">
        <f t="shared" si="208"/>
        <v>0</v>
      </c>
    </row>
    <row r="4509" spans="23:34">
      <c r="W4509" s="177">
        <f t="shared" si="209"/>
        <v>0</v>
      </c>
      <c r="AB4509" s="178">
        <f t="shared" si="210"/>
        <v>0</v>
      </c>
      <c r="AH4509" s="177">
        <f t="shared" si="208"/>
        <v>0</v>
      </c>
    </row>
    <row r="4510" spans="23:34">
      <c r="W4510" s="177">
        <f t="shared" si="209"/>
        <v>0</v>
      </c>
      <c r="AB4510" s="178">
        <f t="shared" si="210"/>
        <v>0</v>
      </c>
      <c r="AH4510" s="177">
        <f t="shared" si="208"/>
        <v>0</v>
      </c>
    </row>
    <row r="4511" spans="23:34">
      <c r="W4511" s="177">
        <f t="shared" si="209"/>
        <v>0</v>
      </c>
      <c r="AB4511" s="178">
        <f t="shared" si="210"/>
        <v>0</v>
      </c>
      <c r="AH4511" s="177">
        <f t="shared" si="208"/>
        <v>0</v>
      </c>
    </row>
    <row r="4512" spans="23:34">
      <c r="W4512" s="177">
        <f t="shared" si="209"/>
        <v>0</v>
      </c>
      <c r="AB4512" s="178">
        <f t="shared" si="210"/>
        <v>0</v>
      </c>
      <c r="AH4512" s="177">
        <f t="shared" si="208"/>
        <v>0</v>
      </c>
    </row>
    <row r="4513" spans="23:34">
      <c r="W4513" s="177">
        <f t="shared" si="209"/>
        <v>0</v>
      </c>
      <c r="AB4513" s="178">
        <f t="shared" si="210"/>
        <v>0</v>
      </c>
      <c r="AH4513" s="177">
        <f t="shared" si="208"/>
        <v>0</v>
      </c>
    </row>
    <row r="4514" spans="23:34">
      <c r="W4514" s="177">
        <f t="shared" si="209"/>
        <v>0</v>
      </c>
      <c r="AB4514" s="178">
        <f t="shared" si="210"/>
        <v>0</v>
      </c>
      <c r="AH4514" s="177">
        <f t="shared" si="208"/>
        <v>0</v>
      </c>
    </row>
    <row r="4515" spans="23:34">
      <c r="W4515" s="177">
        <f t="shared" si="209"/>
        <v>0</v>
      </c>
      <c r="AB4515" s="178">
        <f t="shared" si="210"/>
        <v>0</v>
      </c>
      <c r="AH4515" s="177">
        <f t="shared" si="208"/>
        <v>0</v>
      </c>
    </row>
    <row r="4516" spans="23:34">
      <c r="W4516" s="177">
        <f t="shared" si="209"/>
        <v>0</v>
      </c>
      <c r="AB4516" s="178">
        <f t="shared" si="210"/>
        <v>0</v>
      </c>
      <c r="AH4516" s="177">
        <f t="shared" si="208"/>
        <v>0</v>
      </c>
    </row>
    <row r="4517" spans="23:34">
      <c r="W4517" s="177">
        <f t="shared" si="209"/>
        <v>0</v>
      </c>
      <c r="AB4517" s="178">
        <f t="shared" si="210"/>
        <v>0</v>
      </c>
      <c r="AH4517" s="177">
        <f t="shared" si="208"/>
        <v>0</v>
      </c>
    </row>
    <row r="4518" spans="23:34">
      <c r="W4518" s="177">
        <f t="shared" si="209"/>
        <v>0</v>
      </c>
      <c r="AB4518" s="178">
        <f t="shared" si="210"/>
        <v>0</v>
      </c>
      <c r="AH4518" s="177">
        <f t="shared" si="208"/>
        <v>0</v>
      </c>
    </row>
    <row r="4519" spans="23:34">
      <c r="W4519" s="177">
        <f t="shared" si="209"/>
        <v>0</v>
      </c>
      <c r="AB4519" s="178">
        <f t="shared" si="210"/>
        <v>0</v>
      </c>
      <c r="AH4519" s="177">
        <f t="shared" si="208"/>
        <v>0</v>
      </c>
    </row>
    <row r="4520" spans="23:34">
      <c r="W4520" s="177">
        <f t="shared" si="209"/>
        <v>0</v>
      </c>
      <c r="AB4520" s="178">
        <f t="shared" si="210"/>
        <v>0</v>
      </c>
      <c r="AH4520" s="177">
        <f t="shared" si="208"/>
        <v>0</v>
      </c>
    </row>
    <row r="4521" spans="23:34">
      <c r="W4521" s="177">
        <f t="shared" si="209"/>
        <v>0</v>
      </c>
      <c r="AB4521" s="178">
        <f t="shared" si="210"/>
        <v>0</v>
      </c>
      <c r="AH4521" s="177">
        <f t="shared" si="208"/>
        <v>0</v>
      </c>
    </row>
    <row r="4522" spans="23:34">
      <c r="W4522" s="177">
        <f t="shared" si="209"/>
        <v>0</v>
      </c>
      <c r="AB4522" s="178">
        <f t="shared" si="210"/>
        <v>0</v>
      </c>
      <c r="AH4522" s="177">
        <f t="shared" si="208"/>
        <v>0</v>
      </c>
    </row>
    <row r="4523" spans="23:34">
      <c r="W4523" s="177">
        <f t="shared" si="209"/>
        <v>0</v>
      </c>
      <c r="AB4523" s="178">
        <f t="shared" si="210"/>
        <v>0</v>
      </c>
      <c r="AH4523" s="177">
        <f t="shared" si="208"/>
        <v>0</v>
      </c>
    </row>
    <row r="4524" spans="23:34">
      <c r="W4524" s="177">
        <f t="shared" si="209"/>
        <v>0</v>
      </c>
      <c r="AB4524" s="178">
        <f t="shared" si="210"/>
        <v>0</v>
      </c>
      <c r="AH4524" s="177">
        <f t="shared" si="208"/>
        <v>0</v>
      </c>
    </row>
    <row r="4525" spans="23:34">
      <c r="W4525" s="177">
        <f t="shared" si="209"/>
        <v>0</v>
      </c>
      <c r="AB4525" s="178">
        <f t="shared" si="210"/>
        <v>0</v>
      </c>
      <c r="AH4525" s="177">
        <f t="shared" si="208"/>
        <v>0</v>
      </c>
    </row>
    <row r="4526" spans="23:34">
      <c r="W4526" s="177">
        <f t="shared" si="209"/>
        <v>0</v>
      </c>
      <c r="AB4526" s="178">
        <f t="shared" si="210"/>
        <v>0</v>
      </c>
      <c r="AH4526" s="177">
        <f t="shared" si="208"/>
        <v>0</v>
      </c>
    </row>
    <row r="4527" spans="23:34">
      <c r="W4527" s="177">
        <f t="shared" si="209"/>
        <v>0</v>
      </c>
      <c r="AB4527" s="178">
        <f t="shared" si="210"/>
        <v>0</v>
      </c>
      <c r="AH4527" s="177">
        <f t="shared" si="208"/>
        <v>0</v>
      </c>
    </row>
    <row r="4528" spans="23:34">
      <c r="W4528" s="177">
        <f t="shared" si="209"/>
        <v>0</v>
      </c>
      <c r="AB4528" s="178">
        <f t="shared" si="210"/>
        <v>0</v>
      </c>
      <c r="AH4528" s="177">
        <f t="shared" ref="AH4528:AH4591" si="211">SUM(AF4528:AG4528)</f>
        <v>0</v>
      </c>
    </row>
    <row r="4529" spans="23:34">
      <c r="W4529" s="177">
        <f t="shared" si="209"/>
        <v>0</v>
      </c>
      <c r="AB4529" s="178">
        <f t="shared" si="210"/>
        <v>0</v>
      </c>
      <c r="AH4529" s="177">
        <f t="shared" si="211"/>
        <v>0</v>
      </c>
    </row>
    <row r="4530" spans="23:34">
      <c r="W4530" s="177">
        <f t="shared" si="209"/>
        <v>0</v>
      </c>
      <c r="AB4530" s="178">
        <f t="shared" si="210"/>
        <v>0</v>
      </c>
      <c r="AH4530" s="177">
        <f t="shared" si="211"/>
        <v>0</v>
      </c>
    </row>
    <row r="4531" spans="23:34">
      <c r="W4531" s="177">
        <f t="shared" ref="W4531:W4594" si="212">SUM(Q4531:T4531)</f>
        <v>0</v>
      </c>
      <c r="AB4531" s="178">
        <f t="shared" si="210"/>
        <v>0</v>
      </c>
      <c r="AH4531" s="177">
        <f t="shared" si="211"/>
        <v>0</v>
      </c>
    </row>
    <row r="4532" spans="23:34">
      <c r="W4532" s="177">
        <f t="shared" si="212"/>
        <v>0</v>
      </c>
      <c r="AB4532" s="178">
        <f t="shared" si="210"/>
        <v>0</v>
      </c>
      <c r="AH4532" s="177">
        <f t="shared" si="211"/>
        <v>0</v>
      </c>
    </row>
    <row r="4533" spans="23:34">
      <c r="W4533" s="177">
        <f t="shared" si="212"/>
        <v>0</v>
      </c>
      <c r="AB4533" s="178">
        <f t="shared" si="210"/>
        <v>0</v>
      </c>
      <c r="AH4533" s="177">
        <f t="shared" si="211"/>
        <v>0</v>
      </c>
    </row>
    <row r="4534" spans="23:34">
      <c r="W4534" s="177">
        <f t="shared" si="212"/>
        <v>0</v>
      </c>
      <c r="AB4534" s="178">
        <f t="shared" si="210"/>
        <v>0</v>
      </c>
      <c r="AH4534" s="177">
        <f t="shared" si="211"/>
        <v>0</v>
      </c>
    </row>
    <row r="4535" spans="23:34">
      <c r="W4535" s="177">
        <f t="shared" si="212"/>
        <v>0</v>
      </c>
      <c r="AB4535" s="178">
        <f t="shared" si="210"/>
        <v>0</v>
      </c>
      <c r="AH4535" s="177">
        <f t="shared" si="211"/>
        <v>0</v>
      </c>
    </row>
    <row r="4536" spans="23:34">
      <c r="W4536" s="177">
        <f t="shared" si="212"/>
        <v>0</v>
      </c>
      <c r="AB4536" s="178">
        <f t="shared" si="210"/>
        <v>0</v>
      </c>
      <c r="AH4536" s="177">
        <f t="shared" si="211"/>
        <v>0</v>
      </c>
    </row>
    <row r="4537" spans="23:34">
      <c r="W4537" s="177">
        <f t="shared" si="212"/>
        <v>0</v>
      </c>
      <c r="AB4537" s="178">
        <f t="shared" si="210"/>
        <v>0</v>
      </c>
      <c r="AH4537" s="177">
        <f t="shared" si="211"/>
        <v>0</v>
      </c>
    </row>
    <row r="4538" spans="23:34">
      <c r="W4538" s="177">
        <f t="shared" si="212"/>
        <v>0</v>
      </c>
      <c r="AB4538" s="178">
        <f t="shared" si="210"/>
        <v>0</v>
      </c>
      <c r="AH4538" s="177">
        <f t="shared" si="211"/>
        <v>0</v>
      </c>
    </row>
    <row r="4539" spans="23:34">
      <c r="W4539" s="177">
        <f t="shared" si="212"/>
        <v>0</v>
      </c>
      <c r="AB4539" s="178">
        <f t="shared" ref="AB4539:AB4602" si="213">SUM(Z4539:AA4539)</f>
        <v>0</v>
      </c>
      <c r="AH4539" s="177">
        <f t="shared" si="211"/>
        <v>0</v>
      </c>
    </row>
    <row r="4540" spans="23:34">
      <c r="W4540" s="177">
        <f t="shared" si="212"/>
        <v>0</v>
      </c>
      <c r="AB4540" s="178">
        <f t="shared" si="213"/>
        <v>0</v>
      </c>
      <c r="AH4540" s="177">
        <f t="shared" si="211"/>
        <v>0</v>
      </c>
    </row>
    <row r="4541" spans="23:34">
      <c r="W4541" s="177">
        <f t="shared" si="212"/>
        <v>0</v>
      </c>
      <c r="AB4541" s="178">
        <f t="shared" si="213"/>
        <v>0</v>
      </c>
      <c r="AH4541" s="177">
        <f t="shared" si="211"/>
        <v>0</v>
      </c>
    </row>
    <row r="4542" spans="23:34">
      <c r="W4542" s="177">
        <f t="shared" si="212"/>
        <v>0</v>
      </c>
      <c r="AB4542" s="178">
        <f t="shared" si="213"/>
        <v>0</v>
      </c>
      <c r="AH4542" s="177">
        <f t="shared" si="211"/>
        <v>0</v>
      </c>
    </row>
    <row r="4543" spans="23:34">
      <c r="W4543" s="177">
        <f t="shared" si="212"/>
        <v>0</v>
      </c>
      <c r="AB4543" s="178">
        <f t="shared" si="213"/>
        <v>0</v>
      </c>
      <c r="AH4543" s="177">
        <f t="shared" si="211"/>
        <v>0</v>
      </c>
    </row>
    <row r="4544" spans="23:34">
      <c r="W4544" s="177">
        <f t="shared" si="212"/>
        <v>0</v>
      </c>
      <c r="AB4544" s="178">
        <f t="shared" si="213"/>
        <v>0</v>
      </c>
      <c r="AH4544" s="177">
        <f t="shared" si="211"/>
        <v>0</v>
      </c>
    </row>
    <row r="4545" spans="23:34">
      <c r="W4545" s="177">
        <f t="shared" si="212"/>
        <v>0</v>
      </c>
      <c r="AB4545" s="178">
        <f t="shared" si="213"/>
        <v>0</v>
      </c>
      <c r="AH4545" s="177">
        <f t="shared" si="211"/>
        <v>0</v>
      </c>
    </row>
    <row r="4546" spans="23:34">
      <c r="W4546" s="177">
        <f t="shared" si="212"/>
        <v>0</v>
      </c>
      <c r="AB4546" s="178">
        <f t="shared" si="213"/>
        <v>0</v>
      </c>
      <c r="AH4546" s="177">
        <f t="shared" si="211"/>
        <v>0</v>
      </c>
    </row>
    <row r="4547" spans="23:34">
      <c r="W4547" s="177">
        <f t="shared" si="212"/>
        <v>0</v>
      </c>
      <c r="AB4547" s="178">
        <f t="shared" si="213"/>
        <v>0</v>
      </c>
      <c r="AH4547" s="177">
        <f t="shared" si="211"/>
        <v>0</v>
      </c>
    </row>
    <row r="4548" spans="23:34">
      <c r="W4548" s="177">
        <f t="shared" si="212"/>
        <v>0</v>
      </c>
      <c r="AB4548" s="178">
        <f t="shared" si="213"/>
        <v>0</v>
      </c>
      <c r="AH4548" s="177">
        <f t="shared" si="211"/>
        <v>0</v>
      </c>
    </row>
    <row r="4549" spans="23:34">
      <c r="W4549" s="177">
        <f t="shared" si="212"/>
        <v>0</v>
      </c>
      <c r="AB4549" s="178">
        <f t="shared" si="213"/>
        <v>0</v>
      </c>
      <c r="AH4549" s="177">
        <f t="shared" si="211"/>
        <v>0</v>
      </c>
    </row>
    <row r="4550" spans="23:34">
      <c r="W4550" s="177">
        <f t="shared" si="212"/>
        <v>0</v>
      </c>
      <c r="AB4550" s="178">
        <f t="shared" si="213"/>
        <v>0</v>
      </c>
      <c r="AH4550" s="177">
        <f t="shared" si="211"/>
        <v>0</v>
      </c>
    </row>
    <row r="4551" spans="23:34">
      <c r="W4551" s="177">
        <f t="shared" si="212"/>
        <v>0</v>
      </c>
      <c r="AB4551" s="178">
        <f t="shared" si="213"/>
        <v>0</v>
      </c>
      <c r="AH4551" s="177">
        <f t="shared" si="211"/>
        <v>0</v>
      </c>
    </row>
    <row r="4552" spans="23:34">
      <c r="W4552" s="177">
        <f t="shared" si="212"/>
        <v>0</v>
      </c>
      <c r="AB4552" s="178">
        <f t="shared" si="213"/>
        <v>0</v>
      </c>
      <c r="AH4552" s="177">
        <f t="shared" si="211"/>
        <v>0</v>
      </c>
    </row>
    <row r="4553" spans="23:34">
      <c r="W4553" s="177">
        <f t="shared" si="212"/>
        <v>0</v>
      </c>
      <c r="AB4553" s="178">
        <f t="shared" si="213"/>
        <v>0</v>
      </c>
      <c r="AH4553" s="177">
        <f t="shared" si="211"/>
        <v>0</v>
      </c>
    </row>
    <row r="4554" spans="23:34">
      <c r="W4554" s="177">
        <f t="shared" si="212"/>
        <v>0</v>
      </c>
      <c r="AB4554" s="178">
        <f t="shared" si="213"/>
        <v>0</v>
      </c>
      <c r="AH4554" s="177">
        <f t="shared" si="211"/>
        <v>0</v>
      </c>
    </row>
    <row r="4555" spans="23:34">
      <c r="W4555" s="177">
        <f t="shared" si="212"/>
        <v>0</v>
      </c>
      <c r="AB4555" s="178">
        <f t="shared" si="213"/>
        <v>0</v>
      </c>
      <c r="AH4555" s="177">
        <f t="shared" si="211"/>
        <v>0</v>
      </c>
    </row>
    <row r="4556" spans="23:34">
      <c r="W4556" s="177">
        <f t="shared" si="212"/>
        <v>0</v>
      </c>
      <c r="AB4556" s="178">
        <f t="shared" si="213"/>
        <v>0</v>
      </c>
      <c r="AH4556" s="177">
        <f t="shared" si="211"/>
        <v>0</v>
      </c>
    </row>
    <row r="4557" spans="23:34">
      <c r="W4557" s="177">
        <f t="shared" si="212"/>
        <v>0</v>
      </c>
      <c r="AB4557" s="178">
        <f t="shared" si="213"/>
        <v>0</v>
      </c>
      <c r="AH4557" s="177">
        <f t="shared" si="211"/>
        <v>0</v>
      </c>
    </row>
    <row r="4558" spans="23:34">
      <c r="W4558" s="177">
        <f t="shared" si="212"/>
        <v>0</v>
      </c>
      <c r="AB4558" s="178">
        <f t="shared" si="213"/>
        <v>0</v>
      </c>
      <c r="AH4558" s="177">
        <f t="shared" si="211"/>
        <v>0</v>
      </c>
    </row>
    <row r="4559" spans="23:34">
      <c r="W4559" s="177">
        <f t="shared" si="212"/>
        <v>0</v>
      </c>
      <c r="AB4559" s="178">
        <f t="shared" si="213"/>
        <v>0</v>
      </c>
      <c r="AH4559" s="177">
        <f t="shared" si="211"/>
        <v>0</v>
      </c>
    </row>
    <row r="4560" spans="23:34">
      <c r="W4560" s="177">
        <f t="shared" si="212"/>
        <v>0</v>
      </c>
      <c r="AB4560" s="178">
        <f t="shared" si="213"/>
        <v>0</v>
      </c>
      <c r="AH4560" s="177">
        <f t="shared" si="211"/>
        <v>0</v>
      </c>
    </row>
    <row r="4561" spans="23:34">
      <c r="W4561" s="177">
        <f t="shared" si="212"/>
        <v>0</v>
      </c>
      <c r="AB4561" s="178">
        <f t="shared" si="213"/>
        <v>0</v>
      </c>
      <c r="AH4561" s="177">
        <f t="shared" si="211"/>
        <v>0</v>
      </c>
    </row>
    <row r="4562" spans="23:34">
      <c r="W4562" s="177">
        <f t="shared" si="212"/>
        <v>0</v>
      </c>
      <c r="AB4562" s="178">
        <f t="shared" si="213"/>
        <v>0</v>
      </c>
      <c r="AH4562" s="177">
        <f t="shared" si="211"/>
        <v>0</v>
      </c>
    </row>
    <row r="4563" spans="23:34">
      <c r="W4563" s="177">
        <f t="shared" si="212"/>
        <v>0</v>
      </c>
      <c r="AB4563" s="178">
        <f t="shared" si="213"/>
        <v>0</v>
      </c>
      <c r="AH4563" s="177">
        <f t="shared" si="211"/>
        <v>0</v>
      </c>
    </row>
    <row r="4564" spans="23:34">
      <c r="W4564" s="177">
        <f t="shared" si="212"/>
        <v>0</v>
      </c>
      <c r="AB4564" s="178">
        <f t="shared" si="213"/>
        <v>0</v>
      </c>
      <c r="AH4564" s="177">
        <f t="shared" si="211"/>
        <v>0</v>
      </c>
    </row>
    <row r="4565" spans="23:34">
      <c r="W4565" s="177">
        <f t="shared" si="212"/>
        <v>0</v>
      </c>
      <c r="AB4565" s="178">
        <f t="shared" si="213"/>
        <v>0</v>
      </c>
      <c r="AH4565" s="177">
        <f t="shared" si="211"/>
        <v>0</v>
      </c>
    </row>
    <row r="4566" spans="23:34">
      <c r="W4566" s="177">
        <f t="shared" si="212"/>
        <v>0</v>
      </c>
      <c r="AB4566" s="178">
        <f t="shared" si="213"/>
        <v>0</v>
      </c>
      <c r="AH4566" s="177">
        <f t="shared" si="211"/>
        <v>0</v>
      </c>
    </row>
    <row r="4567" spans="23:34">
      <c r="W4567" s="177">
        <f t="shared" si="212"/>
        <v>0</v>
      </c>
      <c r="AB4567" s="178">
        <f t="shared" si="213"/>
        <v>0</v>
      </c>
      <c r="AH4567" s="177">
        <f t="shared" si="211"/>
        <v>0</v>
      </c>
    </row>
    <row r="4568" spans="23:34">
      <c r="W4568" s="177">
        <f t="shared" si="212"/>
        <v>0</v>
      </c>
      <c r="AB4568" s="178">
        <f t="shared" si="213"/>
        <v>0</v>
      </c>
      <c r="AH4568" s="177">
        <f t="shared" si="211"/>
        <v>0</v>
      </c>
    </row>
    <row r="4569" spans="23:34">
      <c r="W4569" s="177">
        <f t="shared" si="212"/>
        <v>0</v>
      </c>
      <c r="AB4569" s="178">
        <f t="shared" si="213"/>
        <v>0</v>
      </c>
      <c r="AH4569" s="177">
        <f t="shared" si="211"/>
        <v>0</v>
      </c>
    </row>
    <row r="4570" spans="23:34">
      <c r="W4570" s="177">
        <f t="shared" si="212"/>
        <v>0</v>
      </c>
      <c r="AB4570" s="178">
        <f t="shared" si="213"/>
        <v>0</v>
      </c>
      <c r="AH4570" s="177">
        <f t="shared" si="211"/>
        <v>0</v>
      </c>
    </row>
    <row r="4571" spans="23:34">
      <c r="W4571" s="177">
        <f t="shared" si="212"/>
        <v>0</v>
      </c>
      <c r="AB4571" s="178">
        <f t="shared" si="213"/>
        <v>0</v>
      </c>
      <c r="AH4571" s="177">
        <f t="shared" si="211"/>
        <v>0</v>
      </c>
    </row>
    <row r="4572" spans="23:34">
      <c r="W4572" s="177">
        <f t="shared" si="212"/>
        <v>0</v>
      </c>
      <c r="AB4572" s="178">
        <f t="shared" si="213"/>
        <v>0</v>
      </c>
      <c r="AH4572" s="177">
        <f t="shared" si="211"/>
        <v>0</v>
      </c>
    </row>
    <row r="4573" spans="23:34">
      <c r="W4573" s="177">
        <f t="shared" si="212"/>
        <v>0</v>
      </c>
      <c r="AB4573" s="178">
        <f t="shared" si="213"/>
        <v>0</v>
      </c>
      <c r="AH4573" s="177">
        <f t="shared" si="211"/>
        <v>0</v>
      </c>
    </row>
    <row r="4574" spans="23:34">
      <c r="W4574" s="177">
        <f t="shared" si="212"/>
        <v>0</v>
      </c>
      <c r="AB4574" s="178">
        <f t="shared" si="213"/>
        <v>0</v>
      </c>
      <c r="AH4574" s="177">
        <f t="shared" si="211"/>
        <v>0</v>
      </c>
    </row>
    <row r="4575" spans="23:34">
      <c r="W4575" s="177">
        <f t="shared" si="212"/>
        <v>0</v>
      </c>
      <c r="AB4575" s="178">
        <f t="shared" si="213"/>
        <v>0</v>
      </c>
      <c r="AH4575" s="177">
        <f t="shared" si="211"/>
        <v>0</v>
      </c>
    </row>
    <row r="4576" spans="23:34">
      <c r="W4576" s="177">
        <f t="shared" si="212"/>
        <v>0</v>
      </c>
      <c r="AB4576" s="178">
        <f t="shared" si="213"/>
        <v>0</v>
      </c>
      <c r="AH4576" s="177">
        <f t="shared" si="211"/>
        <v>0</v>
      </c>
    </row>
    <row r="4577" spans="23:34">
      <c r="W4577" s="177">
        <f t="shared" si="212"/>
        <v>0</v>
      </c>
      <c r="AB4577" s="178">
        <f t="shared" si="213"/>
        <v>0</v>
      </c>
      <c r="AH4577" s="177">
        <f t="shared" si="211"/>
        <v>0</v>
      </c>
    </row>
    <row r="4578" spans="23:34">
      <c r="W4578" s="177">
        <f t="shared" si="212"/>
        <v>0</v>
      </c>
      <c r="AB4578" s="178">
        <f t="shared" si="213"/>
        <v>0</v>
      </c>
      <c r="AH4578" s="177">
        <f t="shared" si="211"/>
        <v>0</v>
      </c>
    </row>
    <row r="4579" spans="23:34">
      <c r="W4579" s="177">
        <f t="shared" si="212"/>
        <v>0</v>
      </c>
      <c r="AB4579" s="178">
        <f t="shared" si="213"/>
        <v>0</v>
      </c>
      <c r="AH4579" s="177">
        <f t="shared" si="211"/>
        <v>0</v>
      </c>
    </row>
    <row r="4580" spans="23:34">
      <c r="W4580" s="177">
        <f t="shared" si="212"/>
        <v>0</v>
      </c>
      <c r="AB4580" s="178">
        <f t="shared" si="213"/>
        <v>0</v>
      </c>
      <c r="AH4580" s="177">
        <f t="shared" si="211"/>
        <v>0</v>
      </c>
    </row>
    <row r="4581" spans="23:34">
      <c r="W4581" s="177">
        <f t="shared" si="212"/>
        <v>0</v>
      </c>
      <c r="AB4581" s="178">
        <f t="shared" si="213"/>
        <v>0</v>
      </c>
      <c r="AH4581" s="177">
        <f t="shared" si="211"/>
        <v>0</v>
      </c>
    </row>
    <row r="4582" spans="23:34">
      <c r="W4582" s="177">
        <f t="shared" si="212"/>
        <v>0</v>
      </c>
      <c r="AB4582" s="178">
        <f t="shared" si="213"/>
        <v>0</v>
      </c>
      <c r="AH4582" s="177">
        <f t="shared" si="211"/>
        <v>0</v>
      </c>
    </row>
    <row r="4583" spans="23:34">
      <c r="W4583" s="177">
        <f t="shared" si="212"/>
        <v>0</v>
      </c>
      <c r="AB4583" s="178">
        <f t="shared" si="213"/>
        <v>0</v>
      </c>
      <c r="AH4583" s="177">
        <f t="shared" si="211"/>
        <v>0</v>
      </c>
    </row>
    <row r="4584" spans="23:34">
      <c r="W4584" s="177">
        <f t="shared" si="212"/>
        <v>0</v>
      </c>
      <c r="AB4584" s="178">
        <f t="shared" si="213"/>
        <v>0</v>
      </c>
      <c r="AH4584" s="177">
        <f t="shared" si="211"/>
        <v>0</v>
      </c>
    </row>
    <row r="4585" spans="23:34">
      <c r="W4585" s="177">
        <f t="shared" si="212"/>
        <v>0</v>
      </c>
      <c r="AB4585" s="178">
        <f t="shared" si="213"/>
        <v>0</v>
      </c>
      <c r="AH4585" s="177">
        <f t="shared" si="211"/>
        <v>0</v>
      </c>
    </row>
    <row r="4586" spans="23:34">
      <c r="W4586" s="177">
        <f t="shared" si="212"/>
        <v>0</v>
      </c>
      <c r="AB4586" s="178">
        <f t="shared" si="213"/>
        <v>0</v>
      </c>
      <c r="AH4586" s="177">
        <f t="shared" si="211"/>
        <v>0</v>
      </c>
    </row>
    <row r="4587" spans="23:34">
      <c r="W4587" s="177">
        <f t="shared" si="212"/>
        <v>0</v>
      </c>
      <c r="AB4587" s="178">
        <f t="shared" si="213"/>
        <v>0</v>
      </c>
      <c r="AH4587" s="177">
        <f t="shared" si="211"/>
        <v>0</v>
      </c>
    </row>
    <row r="4588" spans="23:34">
      <c r="W4588" s="177">
        <f t="shared" si="212"/>
        <v>0</v>
      </c>
      <c r="AB4588" s="178">
        <f t="shared" si="213"/>
        <v>0</v>
      </c>
      <c r="AH4588" s="177">
        <f t="shared" si="211"/>
        <v>0</v>
      </c>
    </row>
    <row r="4589" spans="23:34">
      <c r="W4589" s="177">
        <f t="shared" si="212"/>
        <v>0</v>
      </c>
      <c r="AB4589" s="178">
        <f t="shared" si="213"/>
        <v>0</v>
      </c>
      <c r="AH4589" s="177">
        <f t="shared" si="211"/>
        <v>0</v>
      </c>
    </row>
    <row r="4590" spans="23:34">
      <c r="W4590" s="177">
        <f t="shared" si="212"/>
        <v>0</v>
      </c>
      <c r="AB4590" s="178">
        <f t="shared" si="213"/>
        <v>0</v>
      </c>
      <c r="AH4590" s="177">
        <f t="shared" si="211"/>
        <v>0</v>
      </c>
    </row>
    <row r="4591" spans="23:34">
      <c r="W4591" s="177">
        <f t="shared" si="212"/>
        <v>0</v>
      </c>
      <c r="AB4591" s="178">
        <f t="shared" si="213"/>
        <v>0</v>
      </c>
      <c r="AH4591" s="177">
        <f t="shared" si="211"/>
        <v>0</v>
      </c>
    </row>
    <row r="4592" spans="23:34">
      <c r="W4592" s="177">
        <f t="shared" si="212"/>
        <v>0</v>
      </c>
      <c r="AB4592" s="178">
        <f t="shared" si="213"/>
        <v>0</v>
      </c>
      <c r="AH4592" s="177">
        <f t="shared" ref="AH4592:AH4655" si="214">SUM(AF4592:AG4592)</f>
        <v>0</v>
      </c>
    </row>
    <row r="4593" spans="23:34">
      <c r="W4593" s="177">
        <f t="shared" si="212"/>
        <v>0</v>
      </c>
      <c r="AB4593" s="178">
        <f t="shared" si="213"/>
        <v>0</v>
      </c>
      <c r="AH4593" s="177">
        <f t="shared" si="214"/>
        <v>0</v>
      </c>
    </row>
    <row r="4594" spans="23:34">
      <c r="W4594" s="177">
        <f t="shared" si="212"/>
        <v>0</v>
      </c>
      <c r="AB4594" s="178">
        <f t="shared" si="213"/>
        <v>0</v>
      </c>
      <c r="AH4594" s="177">
        <f t="shared" si="214"/>
        <v>0</v>
      </c>
    </row>
    <row r="4595" spans="23:34">
      <c r="W4595" s="177">
        <f t="shared" ref="W4595:W4658" si="215">SUM(Q4595:T4595)</f>
        <v>0</v>
      </c>
      <c r="AB4595" s="178">
        <f t="shared" si="213"/>
        <v>0</v>
      </c>
      <c r="AH4595" s="177">
        <f t="shared" si="214"/>
        <v>0</v>
      </c>
    </row>
    <row r="4596" spans="23:34">
      <c r="W4596" s="177">
        <f t="shared" si="215"/>
        <v>0</v>
      </c>
      <c r="AB4596" s="178">
        <f t="shared" si="213"/>
        <v>0</v>
      </c>
      <c r="AH4596" s="177">
        <f t="shared" si="214"/>
        <v>0</v>
      </c>
    </row>
    <row r="4597" spans="23:34">
      <c r="W4597" s="177">
        <f t="shared" si="215"/>
        <v>0</v>
      </c>
      <c r="AB4597" s="178">
        <f t="shared" si="213"/>
        <v>0</v>
      </c>
      <c r="AH4597" s="177">
        <f t="shared" si="214"/>
        <v>0</v>
      </c>
    </row>
    <row r="4598" spans="23:34">
      <c r="W4598" s="177">
        <f t="shared" si="215"/>
        <v>0</v>
      </c>
      <c r="AB4598" s="178">
        <f t="shared" si="213"/>
        <v>0</v>
      </c>
      <c r="AH4598" s="177">
        <f t="shared" si="214"/>
        <v>0</v>
      </c>
    </row>
    <row r="4599" spans="23:34">
      <c r="W4599" s="177">
        <f t="shared" si="215"/>
        <v>0</v>
      </c>
      <c r="AB4599" s="178">
        <f t="shared" si="213"/>
        <v>0</v>
      </c>
      <c r="AH4599" s="177">
        <f t="shared" si="214"/>
        <v>0</v>
      </c>
    </row>
    <row r="4600" spans="23:34">
      <c r="W4600" s="177">
        <f t="shared" si="215"/>
        <v>0</v>
      </c>
      <c r="AB4600" s="178">
        <f t="shared" si="213"/>
        <v>0</v>
      </c>
      <c r="AH4600" s="177">
        <f t="shared" si="214"/>
        <v>0</v>
      </c>
    </row>
    <row r="4601" spans="23:34">
      <c r="W4601" s="177">
        <f t="shared" si="215"/>
        <v>0</v>
      </c>
      <c r="AB4601" s="178">
        <f t="shared" si="213"/>
        <v>0</v>
      </c>
      <c r="AH4601" s="177">
        <f t="shared" si="214"/>
        <v>0</v>
      </c>
    </row>
    <row r="4602" spans="23:34">
      <c r="W4602" s="177">
        <f t="shared" si="215"/>
        <v>0</v>
      </c>
      <c r="AB4602" s="178">
        <f t="shared" si="213"/>
        <v>0</v>
      </c>
      <c r="AH4602" s="177">
        <f t="shared" si="214"/>
        <v>0</v>
      </c>
    </row>
    <row r="4603" spans="23:34">
      <c r="W4603" s="177">
        <f t="shared" si="215"/>
        <v>0</v>
      </c>
      <c r="AB4603" s="178">
        <f t="shared" ref="AB4603:AB4666" si="216">SUM(Z4603:AA4603)</f>
        <v>0</v>
      </c>
      <c r="AH4603" s="177">
        <f t="shared" si="214"/>
        <v>0</v>
      </c>
    </row>
    <row r="4604" spans="23:34">
      <c r="W4604" s="177">
        <f t="shared" si="215"/>
        <v>0</v>
      </c>
      <c r="AB4604" s="178">
        <f t="shared" si="216"/>
        <v>0</v>
      </c>
      <c r="AH4604" s="177">
        <f t="shared" si="214"/>
        <v>0</v>
      </c>
    </row>
    <row r="4605" spans="23:34">
      <c r="W4605" s="177">
        <f t="shared" si="215"/>
        <v>0</v>
      </c>
      <c r="AB4605" s="178">
        <f t="shared" si="216"/>
        <v>0</v>
      </c>
      <c r="AH4605" s="177">
        <f t="shared" si="214"/>
        <v>0</v>
      </c>
    </row>
    <row r="4606" spans="23:34">
      <c r="W4606" s="177">
        <f t="shared" si="215"/>
        <v>0</v>
      </c>
      <c r="AB4606" s="178">
        <f t="shared" si="216"/>
        <v>0</v>
      </c>
      <c r="AH4606" s="177">
        <f t="shared" si="214"/>
        <v>0</v>
      </c>
    </row>
    <row r="4607" spans="23:34">
      <c r="W4607" s="177">
        <f t="shared" si="215"/>
        <v>0</v>
      </c>
      <c r="AB4607" s="178">
        <f t="shared" si="216"/>
        <v>0</v>
      </c>
      <c r="AH4607" s="177">
        <f t="shared" si="214"/>
        <v>0</v>
      </c>
    </row>
    <row r="4608" spans="23:34">
      <c r="W4608" s="177">
        <f t="shared" si="215"/>
        <v>0</v>
      </c>
      <c r="AB4608" s="178">
        <f t="shared" si="216"/>
        <v>0</v>
      </c>
      <c r="AH4608" s="177">
        <f t="shared" si="214"/>
        <v>0</v>
      </c>
    </row>
    <row r="4609" spans="23:34">
      <c r="W4609" s="177">
        <f t="shared" si="215"/>
        <v>0</v>
      </c>
      <c r="AB4609" s="178">
        <f t="shared" si="216"/>
        <v>0</v>
      </c>
      <c r="AH4609" s="177">
        <f t="shared" si="214"/>
        <v>0</v>
      </c>
    </row>
    <row r="4610" spans="23:34">
      <c r="W4610" s="177">
        <f t="shared" si="215"/>
        <v>0</v>
      </c>
      <c r="AB4610" s="178">
        <f t="shared" si="216"/>
        <v>0</v>
      </c>
      <c r="AH4610" s="177">
        <f t="shared" si="214"/>
        <v>0</v>
      </c>
    </row>
    <row r="4611" spans="23:34">
      <c r="W4611" s="177">
        <f t="shared" si="215"/>
        <v>0</v>
      </c>
      <c r="AB4611" s="178">
        <f t="shared" si="216"/>
        <v>0</v>
      </c>
      <c r="AH4611" s="177">
        <f t="shared" si="214"/>
        <v>0</v>
      </c>
    </row>
    <row r="4612" spans="23:34">
      <c r="W4612" s="177">
        <f t="shared" si="215"/>
        <v>0</v>
      </c>
      <c r="AB4612" s="178">
        <f t="shared" si="216"/>
        <v>0</v>
      </c>
      <c r="AH4612" s="177">
        <f t="shared" si="214"/>
        <v>0</v>
      </c>
    </row>
    <row r="4613" spans="23:34">
      <c r="W4613" s="177">
        <f t="shared" si="215"/>
        <v>0</v>
      </c>
      <c r="AB4613" s="178">
        <f t="shared" si="216"/>
        <v>0</v>
      </c>
      <c r="AH4613" s="177">
        <f t="shared" si="214"/>
        <v>0</v>
      </c>
    </row>
    <row r="4614" spans="23:34">
      <c r="W4614" s="177">
        <f t="shared" si="215"/>
        <v>0</v>
      </c>
      <c r="AB4614" s="178">
        <f t="shared" si="216"/>
        <v>0</v>
      </c>
      <c r="AH4614" s="177">
        <f t="shared" si="214"/>
        <v>0</v>
      </c>
    </row>
    <row r="4615" spans="23:34">
      <c r="W4615" s="177">
        <f t="shared" si="215"/>
        <v>0</v>
      </c>
      <c r="AB4615" s="178">
        <f t="shared" si="216"/>
        <v>0</v>
      </c>
      <c r="AH4615" s="177">
        <f t="shared" si="214"/>
        <v>0</v>
      </c>
    </row>
    <row r="4616" spans="23:34">
      <c r="W4616" s="177">
        <f t="shared" si="215"/>
        <v>0</v>
      </c>
      <c r="AB4616" s="178">
        <f t="shared" si="216"/>
        <v>0</v>
      </c>
      <c r="AH4616" s="177">
        <f t="shared" si="214"/>
        <v>0</v>
      </c>
    </row>
    <row r="4617" spans="23:34">
      <c r="W4617" s="177">
        <f t="shared" si="215"/>
        <v>0</v>
      </c>
      <c r="AB4617" s="178">
        <f t="shared" si="216"/>
        <v>0</v>
      </c>
      <c r="AH4617" s="177">
        <f t="shared" si="214"/>
        <v>0</v>
      </c>
    </row>
    <row r="4618" spans="23:34">
      <c r="W4618" s="177">
        <f t="shared" si="215"/>
        <v>0</v>
      </c>
      <c r="AB4618" s="178">
        <f t="shared" si="216"/>
        <v>0</v>
      </c>
      <c r="AH4618" s="177">
        <f t="shared" si="214"/>
        <v>0</v>
      </c>
    </row>
    <row r="4619" spans="23:34">
      <c r="W4619" s="177">
        <f t="shared" si="215"/>
        <v>0</v>
      </c>
      <c r="AB4619" s="178">
        <f t="shared" si="216"/>
        <v>0</v>
      </c>
      <c r="AH4619" s="177">
        <f t="shared" si="214"/>
        <v>0</v>
      </c>
    </row>
    <row r="4620" spans="23:34">
      <c r="W4620" s="177">
        <f t="shared" si="215"/>
        <v>0</v>
      </c>
      <c r="AB4620" s="178">
        <f t="shared" si="216"/>
        <v>0</v>
      </c>
      <c r="AH4620" s="177">
        <f t="shared" si="214"/>
        <v>0</v>
      </c>
    </row>
    <row r="4621" spans="23:34">
      <c r="W4621" s="177">
        <f t="shared" si="215"/>
        <v>0</v>
      </c>
      <c r="AB4621" s="178">
        <f t="shared" si="216"/>
        <v>0</v>
      </c>
      <c r="AH4621" s="177">
        <f t="shared" si="214"/>
        <v>0</v>
      </c>
    </row>
    <row r="4622" spans="23:34">
      <c r="W4622" s="177">
        <f t="shared" si="215"/>
        <v>0</v>
      </c>
      <c r="AB4622" s="178">
        <f t="shared" si="216"/>
        <v>0</v>
      </c>
      <c r="AH4622" s="177">
        <f t="shared" si="214"/>
        <v>0</v>
      </c>
    </row>
    <row r="4623" spans="23:34">
      <c r="W4623" s="177">
        <f t="shared" si="215"/>
        <v>0</v>
      </c>
      <c r="AB4623" s="178">
        <f t="shared" si="216"/>
        <v>0</v>
      </c>
      <c r="AH4623" s="177">
        <f t="shared" si="214"/>
        <v>0</v>
      </c>
    </row>
    <row r="4624" spans="23:34">
      <c r="W4624" s="177">
        <f t="shared" si="215"/>
        <v>0</v>
      </c>
      <c r="AB4624" s="178">
        <f t="shared" si="216"/>
        <v>0</v>
      </c>
      <c r="AH4624" s="177">
        <f t="shared" si="214"/>
        <v>0</v>
      </c>
    </row>
    <row r="4625" spans="23:34">
      <c r="W4625" s="177">
        <f t="shared" si="215"/>
        <v>0</v>
      </c>
      <c r="AB4625" s="178">
        <f t="shared" si="216"/>
        <v>0</v>
      </c>
      <c r="AH4625" s="177">
        <f t="shared" si="214"/>
        <v>0</v>
      </c>
    </row>
    <row r="4626" spans="23:34">
      <c r="W4626" s="177">
        <f t="shared" si="215"/>
        <v>0</v>
      </c>
      <c r="AB4626" s="178">
        <f t="shared" si="216"/>
        <v>0</v>
      </c>
      <c r="AH4626" s="177">
        <f t="shared" si="214"/>
        <v>0</v>
      </c>
    </row>
    <row r="4627" spans="23:34">
      <c r="W4627" s="177">
        <f t="shared" si="215"/>
        <v>0</v>
      </c>
      <c r="AB4627" s="178">
        <f t="shared" si="216"/>
        <v>0</v>
      </c>
      <c r="AH4627" s="177">
        <f t="shared" si="214"/>
        <v>0</v>
      </c>
    </row>
    <row r="4628" spans="23:34">
      <c r="W4628" s="177">
        <f t="shared" si="215"/>
        <v>0</v>
      </c>
      <c r="AB4628" s="178">
        <f t="shared" si="216"/>
        <v>0</v>
      </c>
      <c r="AH4628" s="177">
        <f t="shared" si="214"/>
        <v>0</v>
      </c>
    </row>
    <row r="4629" spans="23:34">
      <c r="W4629" s="177">
        <f t="shared" si="215"/>
        <v>0</v>
      </c>
      <c r="AB4629" s="178">
        <f t="shared" si="216"/>
        <v>0</v>
      </c>
      <c r="AH4629" s="177">
        <f t="shared" si="214"/>
        <v>0</v>
      </c>
    </row>
    <row r="4630" spans="23:34">
      <c r="W4630" s="177">
        <f t="shared" si="215"/>
        <v>0</v>
      </c>
      <c r="AB4630" s="178">
        <f t="shared" si="216"/>
        <v>0</v>
      </c>
      <c r="AH4630" s="177">
        <f t="shared" si="214"/>
        <v>0</v>
      </c>
    </row>
    <row r="4631" spans="23:34">
      <c r="W4631" s="177">
        <f t="shared" si="215"/>
        <v>0</v>
      </c>
      <c r="AB4631" s="178">
        <f t="shared" si="216"/>
        <v>0</v>
      </c>
      <c r="AH4631" s="177">
        <f t="shared" si="214"/>
        <v>0</v>
      </c>
    </row>
    <row r="4632" spans="23:34">
      <c r="W4632" s="177">
        <f t="shared" si="215"/>
        <v>0</v>
      </c>
      <c r="AB4632" s="178">
        <f t="shared" si="216"/>
        <v>0</v>
      </c>
      <c r="AH4632" s="177">
        <f t="shared" si="214"/>
        <v>0</v>
      </c>
    </row>
    <row r="4633" spans="23:34">
      <c r="W4633" s="177">
        <f t="shared" si="215"/>
        <v>0</v>
      </c>
      <c r="AB4633" s="178">
        <f t="shared" si="216"/>
        <v>0</v>
      </c>
      <c r="AH4633" s="177">
        <f t="shared" si="214"/>
        <v>0</v>
      </c>
    </row>
    <row r="4634" spans="23:34">
      <c r="W4634" s="177">
        <f t="shared" si="215"/>
        <v>0</v>
      </c>
      <c r="AB4634" s="178">
        <f t="shared" si="216"/>
        <v>0</v>
      </c>
      <c r="AH4634" s="177">
        <f t="shared" si="214"/>
        <v>0</v>
      </c>
    </row>
    <row r="4635" spans="23:34">
      <c r="W4635" s="177">
        <f t="shared" si="215"/>
        <v>0</v>
      </c>
      <c r="AB4635" s="178">
        <f t="shared" si="216"/>
        <v>0</v>
      </c>
      <c r="AH4635" s="177">
        <f t="shared" si="214"/>
        <v>0</v>
      </c>
    </row>
    <row r="4636" spans="23:34">
      <c r="W4636" s="177">
        <f t="shared" si="215"/>
        <v>0</v>
      </c>
      <c r="AB4636" s="178">
        <f t="shared" si="216"/>
        <v>0</v>
      </c>
      <c r="AH4636" s="177">
        <f t="shared" si="214"/>
        <v>0</v>
      </c>
    </row>
    <row r="4637" spans="23:34">
      <c r="W4637" s="177">
        <f t="shared" si="215"/>
        <v>0</v>
      </c>
      <c r="AB4637" s="178">
        <f t="shared" si="216"/>
        <v>0</v>
      </c>
      <c r="AH4637" s="177">
        <f t="shared" si="214"/>
        <v>0</v>
      </c>
    </row>
    <row r="4638" spans="23:34">
      <c r="W4638" s="177">
        <f t="shared" si="215"/>
        <v>0</v>
      </c>
      <c r="AB4638" s="178">
        <f t="shared" si="216"/>
        <v>0</v>
      </c>
      <c r="AH4638" s="177">
        <f t="shared" si="214"/>
        <v>0</v>
      </c>
    </row>
    <row r="4639" spans="23:34">
      <c r="W4639" s="177">
        <f t="shared" si="215"/>
        <v>0</v>
      </c>
      <c r="AB4639" s="178">
        <f t="shared" si="216"/>
        <v>0</v>
      </c>
      <c r="AH4639" s="177">
        <f t="shared" si="214"/>
        <v>0</v>
      </c>
    </row>
    <row r="4640" spans="23:34">
      <c r="W4640" s="177">
        <f t="shared" si="215"/>
        <v>0</v>
      </c>
      <c r="AB4640" s="178">
        <f t="shared" si="216"/>
        <v>0</v>
      </c>
      <c r="AH4640" s="177">
        <f t="shared" si="214"/>
        <v>0</v>
      </c>
    </row>
    <row r="4641" spans="23:34">
      <c r="W4641" s="177">
        <f t="shared" si="215"/>
        <v>0</v>
      </c>
      <c r="AB4641" s="178">
        <f t="shared" si="216"/>
        <v>0</v>
      </c>
      <c r="AH4641" s="177">
        <f t="shared" si="214"/>
        <v>0</v>
      </c>
    </row>
    <row r="4642" spans="23:34">
      <c r="W4642" s="177">
        <f t="shared" si="215"/>
        <v>0</v>
      </c>
      <c r="AB4642" s="178">
        <f t="shared" si="216"/>
        <v>0</v>
      </c>
      <c r="AH4642" s="177">
        <f t="shared" si="214"/>
        <v>0</v>
      </c>
    </row>
    <row r="4643" spans="23:34">
      <c r="W4643" s="177">
        <f t="shared" si="215"/>
        <v>0</v>
      </c>
      <c r="AB4643" s="178">
        <f t="shared" si="216"/>
        <v>0</v>
      </c>
      <c r="AH4643" s="177">
        <f t="shared" si="214"/>
        <v>0</v>
      </c>
    </row>
    <row r="4644" spans="23:34">
      <c r="W4644" s="177">
        <f t="shared" si="215"/>
        <v>0</v>
      </c>
      <c r="AB4644" s="178">
        <f t="shared" si="216"/>
        <v>0</v>
      </c>
      <c r="AH4644" s="177">
        <f t="shared" si="214"/>
        <v>0</v>
      </c>
    </row>
    <row r="4645" spans="23:34">
      <c r="W4645" s="177">
        <f t="shared" si="215"/>
        <v>0</v>
      </c>
      <c r="AB4645" s="178">
        <f t="shared" si="216"/>
        <v>0</v>
      </c>
      <c r="AH4645" s="177">
        <f t="shared" si="214"/>
        <v>0</v>
      </c>
    </row>
    <row r="4646" spans="23:34">
      <c r="W4646" s="177">
        <f t="shared" si="215"/>
        <v>0</v>
      </c>
      <c r="AB4646" s="178">
        <f t="shared" si="216"/>
        <v>0</v>
      </c>
      <c r="AH4646" s="177">
        <f t="shared" si="214"/>
        <v>0</v>
      </c>
    </row>
    <row r="4647" spans="23:34">
      <c r="W4647" s="177">
        <f t="shared" si="215"/>
        <v>0</v>
      </c>
      <c r="AB4647" s="178">
        <f t="shared" si="216"/>
        <v>0</v>
      </c>
      <c r="AH4647" s="177">
        <f t="shared" si="214"/>
        <v>0</v>
      </c>
    </row>
    <row r="4648" spans="23:34">
      <c r="W4648" s="177">
        <f t="shared" si="215"/>
        <v>0</v>
      </c>
      <c r="AB4648" s="178">
        <f t="shared" si="216"/>
        <v>0</v>
      </c>
      <c r="AH4648" s="177">
        <f t="shared" si="214"/>
        <v>0</v>
      </c>
    </row>
    <row r="4649" spans="23:34">
      <c r="W4649" s="177">
        <f t="shared" si="215"/>
        <v>0</v>
      </c>
      <c r="AB4649" s="178">
        <f t="shared" si="216"/>
        <v>0</v>
      </c>
      <c r="AH4649" s="177">
        <f t="shared" si="214"/>
        <v>0</v>
      </c>
    </row>
    <row r="4650" spans="23:34">
      <c r="W4650" s="177">
        <f t="shared" si="215"/>
        <v>0</v>
      </c>
      <c r="AB4650" s="178">
        <f t="shared" si="216"/>
        <v>0</v>
      </c>
      <c r="AH4650" s="177">
        <f t="shared" si="214"/>
        <v>0</v>
      </c>
    </row>
    <row r="4651" spans="23:34">
      <c r="W4651" s="177">
        <f t="shared" si="215"/>
        <v>0</v>
      </c>
      <c r="AB4651" s="178">
        <f t="shared" si="216"/>
        <v>0</v>
      </c>
      <c r="AH4651" s="177">
        <f t="shared" si="214"/>
        <v>0</v>
      </c>
    </row>
    <row r="4652" spans="23:34">
      <c r="W4652" s="177">
        <f t="shared" si="215"/>
        <v>0</v>
      </c>
      <c r="AB4652" s="178">
        <f t="shared" si="216"/>
        <v>0</v>
      </c>
      <c r="AH4652" s="177">
        <f t="shared" si="214"/>
        <v>0</v>
      </c>
    </row>
    <row r="4653" spans="23:34">
      <c r="W4653" s="177">
        <f t="shared" si="215"/>
        <v>0</v>
      </c>
      <c r="AB4653" s="178">
        <f t="shared" si="216"/>
        <v>0</v>
      </c>
      <c r="AH4653" s="177">
        <f t="shared" si="214"/>
        <v>0</v>
      </c>
    </row>
    <row r="4654" spans="23:34">
      <c r="W4654" s="177">
        <f t="shared" si="215"/>
        <v>0</v>
      </c>
      <c r="AB4654" s="178">
        <f t="shared" si="216"/>
        <v>0</v>
      </c>
      <c r="AH4654" s="177">
        <f t="shared" si="214"/>
        <v>0</v>
      </c>
    </row>
    <row r="4655" spans="23:34">
      <c r="W4655" s="177">
        <f t="shared" si="215"/>
        <v>0</v>
      </c>
      <c r="AB4655" s="178">
        <f t="shared" si="216"/>
        <v>0</v>
      </c>
      <c r="AH4655" s="177">
        <f t="shared" si="214"/>
        <v>0</v>
      </c>
    </row>
    <row r="4656" spans="23:34">
      <c r="W4656" s="177">
        <f t="shared" si="215"/>
        <v>0</v>
      </c>
      <c r="AB4656" s="178">
        <f t="shared" si="216"/>
        <v>0</v>
      </c>
      <c r="AH4656" s="177">
        <f t="shared" ref="AH4656:AH4719" si="217">SUM(AF4656:AG4656)</f>
        <v>0</v>
      </c>
    </row>
    <row r="4657" spans="23:34">
      <c r="W4657" s="177">
        <f t="shared" si="215"/>
        <v>0</v>
      </c>
      <c r="AB4657" s="178">
        <f t="shared" si="216"/>
        <v>0</v>
      </c>
      <c r="AH4657" s="177">
        <f t="shared" si="217"/>
        <v>0</v>
      </c>
    </row>
    <row r="4658" spans="23:34">
      <c r="W4658" s="177">
        <f t="shared" si="215"/>
        <v>0</v>
      </c>
      <c r="AB4658" s="178">
        <f t="shared" si="216"/>
        <v>0</v>
      </c>
      <c r="AH4658" s="177">
        <f t="shared" si="217"/>
        <v>0</v>
      </c>
    </row>
    <row r="4659" spans="23:34">
      <c r="W4659" s="177">
        <f t="shared" ref="W4659:W4722" si="218">SUM(Q4659:T4659)</f>
        <v>0</v>
      </c>
      <c r="AB4659" s="178">
        <f t="shared" si="216"/>
        <v>0</v>
      </c>
      <c r="AH4659" s="177">
        <f t="shared" si="217"/>
        <v>0</v>
      </c>
    </row>
    <row r="4660" spans="23:34">
      <c r="W4660" s="177">
        <f t="shared" si="218"/>
        <v>0</v>
      </c>
      <c r="AB4660" s="178">
        <f t="shared" si="216"/>
        <v>0</v>
      </c>
      <c r="AH4660" s="177">
        <f t="shared" si="217"/>
        <v>0</v>
      </c>
    </row>
    <row r="4661" spans="23:34">
      <c r="W4661" s="177">
        <f t="shared" si="218"/>
        <v>0</v>
      </c>
      <c r="AB4661" s="178">
        <f t="shared" si="216"/>
        <v>0</v>
      </c>
      <c r="AH4661" s="177">
        <f t="shared" si="217"/>
        <v>0</v>
      </c>
    </row>
    <row r="4662" spans="23:34">
      <c r="W4662" s="177">
        <f t="shared" si="218"/>
        <v>0</v>
      </c>
      <c r="AB4662" s="178">
        <f t="shared" si="216"/>
        <v>0</v>
      </c>
      <c r="AH4662" s="177">
        <f t="shared" si="217"/>
        <v>0</v>
      </c>
    </row>
    <row r="4663" spans="23:34">
      <c r="W4663" s="177">
        <f t="shared" si="218"/>
        <v>0</v>
      </c>
      <c r="AB4663" s="178">
        <f t="shared" si="216"/>
        <v>0</v>
      </c>
      <c r="AH4663" s="177">
        <f t="shared" si="217"/>
        <v>0</v>
      </c>
    </row>
    <row r="4664" spans="23:34">
      <c r="W4664" s="177">
        <f t="shared" si="218"/>
        <v>0</v>
      </c>
      <c r="AB4664" s="178">
        <f t="shared" si="216"/>
        <v>0</v>
      </c>
      <c r="AH4664" s="177">
        <f t="shared" si="217"/>
        <v>0</v>
      </c>
    </row>
    <row r="4665" spans="23:34">
      <c r="W4665" s="177">
        <f t="shared" si="218"/>
        <v>0</v>
      </c>
      <c r="AB4665" s="178">
        <f t="shared" si="216"/>
        <v>0</v>
      </c>
      <c r="AH4665" s="177">
        <f t="shared" si="217"/>
        <v>0</v>
      </c>
    </row>
    <row r="4666" spans="23:34">
      <c r="W4666" s="177">
        <f t="shared" si="218"/>
        <v>0</v>
      </c>
      <c r="AB4666" s="178">
        <f t="shared" si="216"/>
        <v>0</v>
      </c>
      <c r="AH4666" s="177">
        <f t="shared" si="217"/>
        <v>0</v>
      </c>
    </row>
    <row r="4667" spans="23:34">
      <c r="W4667" s="177">
        <f t="shared" si="218"/>
        <v>0</v>
      </c>
      <c r="AB4667" s="178">
        <f t="shared" ref="AB4667:AB4730" si="219">SUM(Z4667:AA4667)</f>
        <v>0</v>
      </c>
      <c r="AH4667" s="177">
        <f t="shared" si="217"/>
        <v>0</v>
      </c>
    </row>
    <row r="4668" spans="23:34">
      <c r="W4668" s="177">
        <f t="shared" si="218"/>
        <v>0</v>
      </c>
      <c r="AB4668" s="178">
        <f t="shared" si="219"/>
        <v>0</v>
      </c>
      <c r="AH4668" s="177">
        <f t="shared" si="217"/>
        <v>0</v>
      </c>
    </row>
    <row r="4669" spans="23:34">
      <c r="W4669" s="177">
        <f t="shared" si="218"/>
        <v>0</v>
      </c>
      <c r="AB4669" s="178">
        <f t="shared" si="219"/>
        <v>0</v>
      </c>
      <c r="AH4669" s="177">
        <f t="shared" si="217"/>
        <v>0</v>
      </c>
    </row>
    <row r="4670" spans="23:34">
      <c r="W4670" s="177">
        <f t="shared" si="218"/>
        <v>0</v>
      </c>
      <c r="AB4670" s="178">
        <f t="shared" si="219"/>
        <v>0</v>
      </c>
      <c r="AH4670" s="177">
        <f t="shared" si="217"/>
        <v>0</v>
      </c>
    </row>
    <row r="4671" spans="23:34">
      <c r="W4671" s="177">
        <f t="shared" si="218"/>
        <v>0</v>
      </c>
      <c r="AB4671" s="178">
        <f t="shared" si="219"/>
        <v>0</v>
      </c>
      <c r="AH4671" s="177">
        <f t="shared" si="217"/>
        <v>0</v>
      </c>
    </row>
    <row r="4672" spans="23:34">
      <c r="W4672" s="177">
        <f t="shared" si="218"/>
        <v>0</v>
      </c>
      <c r="AB4672" s="178">
        <f t="shared" si="219"/>
        <v>0</v>
      </c>
      <c r="AH4672" s="177">
        <f t="shared" si="217"/>
        <v>0</v>
      </c>
    </row>
    <row r="4673" spans="23:34">
      <c r="W4673" s="177">
        <f t="shared" si="218"/>
        <v>0</v>
      </c>
      <c r="AB4673" s="178">
        <f t="shared" si="219"/>
        <v>0</v>
      </c>
      <c r="AH4673" s="177">
        <f t="shared" si="217"/>
        <v>0</v>
      </c>
    </row>
    <row r="4674" spans="23:34">
      <c r="W4674" s="177">
        <f t="shared" si="218"/>
        <v>0</v>
      </c>
      <c r="AB4674" s="178">
        <f t="shared" si="219"/>
        <v>0</v>
      </c>
      <c r="AH4674" s="177">
        <f t="shared" si="217"/>
        <v>0</v>
      </c>
    </row>
    <row r="4675" spans="23:34">
      <c r="W4675" s="177">
        <f t="shared" si="218"/>
        <v>0</v>
      </c>
      <c r="AB4675" s="178">
        <f t="shared" si="219"/>
        <v>0</v>
      </c>
      <c r="AH4675" s="177">
        <f t="shared" si="217"/>
        <v>0</v>
      </c>
    </row>
    <row r="4676" spans="23:34">
      <c r="W4676" s="177">
        <f t="shared" si="218"/>
        <v>0</v>
      </c>
      <c r="AB4676" s="178">
        <f t="shared" si="219"/>
        <v>0</v>
      </c>
      <c r="AH4676" s="177">
        <f t="shared" si="217"/>
        <v>0</v>
      </c>
    </row>
    <row r="4677" spans="23:34">
      <c r="W4677" s="177">
        <f t="shared" si="218"/>
        <v>0</v>
      </c>
      <c r="AB4677" s="178">
        <f t="shared" si="219"/>
        <v>0</v>
      </c>
      <c r="AH4677" s="177">
        <f t="shared" si="217"/>
        <v>0</v>
      </c>
    </row>
    <row r="4678" spans="23:34">
      <c r="W4678" s="177">
        <f t="shared" si="218"/>
        <v>0</v>
      </c>
      <c r="AB4678" s="178">
        <f t="shared" si="219"/>
        <v>0</v>
      </c>
      <c r="AH4678" s="177">
        <f t="shared" si="217"/>
        <v>0</v>
      </c>
    </row>
    <row r="4679" spans="23:34">
      <c r="W4679" s="177">
        <f t="shared" si="218"/>
        <v>0</v>
      </c>
      <c r="AB4679" s="178">
        <f t="shared" si="219"/>
        <v>0</v>
      </c>
      <c r="AH4679" s="177">
        <f t="shared" si="217"/>
        <v>0</v>
      </c>
    </row>
    <row r="4680" spans="23:34">
      <c r="W4680" s="177">
        <f t="shared" si="218"/>
        <v>0</v>
      </c>
      <c r="AB4680" s="178">
        <f t="shared" si="219"/>
        <v>0</v>
      </c>
      <c r="AH4680" s="177">
        <f t="shared" si="217"/>
        <v>0</v>
      </c>
    </row>
    <row r="4681" spans="23:34">
      <c r="W4681" s="177">
        <f t="shared" si="218"/>
        <v>0</v>
      </c>
      <c r="AB4681" s="178">
        <f t="shared" si="219"/>
        <v>0</v>
      </c>
      <c r="AH4681" s="177">
        <f t="shared" si="217"/>
        <v>0</v>
      </c>
    </row>
    <row r="4682" spans="23:34">
      <c r="W4682" s="177">
        <f t="shared" si="218"/>
        <v>0</v>
      </c>
      <c r="AB4682" s="178">
        <f t="shared" si="219"/>
        <v>0</v>
      </c>
      <c r="AH4682" s="177">
        <f t="shared" si="217"/>
        <v>0</v>
      </c>
    </row>
    <row r="4683" spans="23:34">
      <c r="W4683" s="177">
        <f t="shared" si="218"/>
        <v>0</v>
      </c>
      <c r="AB4683" s="178">
        <f t="shared" si="219"/>
        <v>0</v>
      </c>
      <c r="AH4683" s="177">
        <f t="shared" si="217"/>
        <v>0</v>
      </c>
    </row>
    <row r="4684" spans="23:34">
      <c r="W4684" s="177">
        <f t="shared" si="218"/>
        <v>0</v>
      </c>
      <c r="AB4684" s="178">
        <f t="shared" si="219"/>
        <v>0</v>
      </c>
      <c r="AH4684" s="177">
        <f t="shared" si="217"/>
        <v>0</v>
      </c>
    </row>
    <row r="4685" spans="23:34">
      <c r="W4685" s="177">
        <f t="shared" si="218"/>
        <v>0</v>
      </c>
      <c r="AB4685" s="178">
        <f t="shared" si="219"/>
        <v>0</v>
      </c>
      <c r="AH4685" s="177">
        <f t="shared" si="217"/>
        <v>0</v>
      </c>
    </row>
    <row r="4686" spans="23:34">
      <c r="W4686" s="177">
        <f t="shared" si="218"/>
        <v>0</v>
      </c>
      <c r="AB4686" s="178">
        <f t="shared" si="219"/>
        <v>0</v>
      </c>
      <c r="AH4686" s="177">
        <f t="shared" si="217"/>
        <v>0</v>
      </c>
    </row>
    <row r="4687" spans="23:34">
      <c r="W4687" s="177">
        <f t="shared" si="218"/>
        <v>0</v>
      </c>
      <c r="AB4687" s="178">
        <f t="shared" si="219"/>
        <v>0</v>
      </c>
      <c r="AH4687" s="177">
        <f t="shared" si="217"/>
        <v>0</v>
      </c>
    </row>
    <row r="4688" spans="23:34">
      <c r="W4688" s="177">
        <f t="shared" si="218"/>
        <v>0</v>
      </c>
      <c r="AB4688" s="178">
        <f t="shared" si="219"/>
        <v>0</v>
      </c>
      <c r="AH4688" s="177">
        <f t="shared" si="217"/>
        <v>0</v>
      </c>
    </row>
    <row r="4689" spans="23:34">
      <c r="W4689" s="177">
        <f t="shared" si="218"/>
        <v>0</v>
      </c>
      <c r="AB4689" s="178">
        <f t="shared" si="219"/>
        <v>0</v>
      </c>
      <c r="AH4689" s="177">
        <f t="shared" si="217"/>
        <v>0</v>
      </c>
    </row>
    <row r="4690" spans="23:34">
      <c r="W4690" s="177">
        <f t="shared" si="218"/>
        <v>0</v>
      </c>
      <c r="AB4690" s="178">
        <f t="shared" si="219"/>
        <v>0</v>
      </c>
      <c r="AH4690" s="177">
        <f t="shared" si="217"/>
        <v>0</v>
      </c>
    </row>
    <row r="4691" spans="23:34">
      <c r="W4691" s="177">
        <f t="shared" si="218"/>
        <v>0</v>
      </c>
      <c r="AB4691" s="178">
        <f t="shared" si="219"/>
        <v>0</v>
      </c>
      <c r="AH4691" s="177">
        <f t="shared" si="217"/>
        <v>0</v>
      </c>
    </row>
    <row r="4692" spans="23:34">
      <c r="W4692" s="177">
        <f t="shared" si="218"/>
        <v>0</v>
      </c>
      <c r="AB4692" s="178">
        <f t="shared" si="219"/>
        <v>0</v>
      </c>
      <c r="AH4692" s="177">
        <f t="shared" si="217"/>
        <v>0</v>
      </c>
    </row>
    <row r="4693" spans="23:34">
      <c r="W4693" s="177">
        <f t="shared" si="218"/>
        <v>0</v>
      </c>
      <c r="AB4693" s="178">
        <f t="shared" si="219"/>
        <v>0</v>
      </c>
      <c r="AH4693" s="177">
        <f t="shared" si="217"/>
        <v>0</v>
      </c>
    </row>
    <row r="4694" spans="23:34">
      <c r="W4694" s="177">
        <f t="shared" si="218"/>
        <v>0</v>
      </c>
      <c r="AB4694" s="178">
        <f t="shared" si="219"/>
        <v>0</v>
      </c>
      <c r="AH4694" s="177">
        <f t="shared" si="217"/>
        <v>0</v>
      </c>
    </row>
    <row r="4695" spans="23:34">
      <c r="W4695" s="177">
        <f t="shared" si="218"/>
        <v>0</v>
      </c>
      <c r="AB4695" s="178">
        <f t="shared" si="219"/>
        <v>0</v>
      </c>
      <c r="AH4695" s="177">
        <f t="shared" si="217"/>
        <v>0</v>
      </c>
    </row>
    <row r="4696" spans="23:34">
      <c r="W4696" s="177">
        <f t="shared" si="218"/>
        <v>0</v>
      </c>
      <c r="AB4696" s="178">
        <f t="shared" si="219"/>
        <v>0</v>
      </c>
      <c r="AH4696" s="177">
        <f t="shared" si="217"/>
        <v>0</v>
      </c>
    </row>
    <row r="4697" spans="23:34">
      <c r="W4697" s="177">
        <f t="shared" si="218"/>
        <v>0</v>
      </c>
      <c r="AB4697" s="178">
        <f t="shared" si="219"/>
        <v>0</v>
      </c>
      <c r="AH4697" s="177">
        <f t="shared" si="217"/>
        <v>0</v>
      </c>
    </row>
    <row r="4698" spans="23:34">
      <c r="W4698" s="177">
        <f t="shared" si="218"/>
        <v>0</v>
      </c>
      <c r="AB4698" s="178">
        <f t="shared" si="219"/>
        <v>0</v>
      </c>
      <c r="AH4698" s="177">
        <f t="shared" si="217"/>
        <v>0</v>
      </c>
    </row>
    <row r="4699" spans="23:34">
      <c r="W4699" s="177">
        <f t="shared" si="218"/>
        <v>0</v>
      </c>
      <c r="AB4699" s="178">
        <f t="shared" si="219"/>
        <v>0</v>
      </c>
      <c r="AH4699" s="177">
        <f t="shared" si="217"/>
        <v>0</v>
      </c>
    </row>
    <row r="4700" spans="23:34">
      <c r="W4700" s="177">
        <f t="shared" si="218"/>
        <v>0</v>
      </c>
      <c r="AB4700" s="178">
        <f t="shared" si="219"/>
        <v>0</v>
      </c>
      <c r="AH4700" s="177">
        <f t="shared" si="217"/>
        <v>0</v>
      </c>
    </row>
    <row r="4701" spans="23:34">
      <c r="W4701" s="177">
        <f t="shared" si="218"/>
        <v>0</v>
      </c>
      <c r="AB4701" s="178">
        <f t="shared" si="219"/>
        <v>0</v>
      </c>
      <c r="AH4701" s="177">
        <f t="shared" si="217"/>
        <v>0</v>
      </c>
    </row>
    <row r="4702" spans="23:34">
      <c r="W4702" s="177">
        <f t="shared" si="218"/>
        <v>0</v>
      </c>
      <c r="AB4702" s="178">
        <f t="shared" si="219"/>
        <v>0</v>
      </c>
      <c r="AH4702" s="177">
        <f t="shared" si="217"/>
        <v>0</v>
      </c>
    </row>
    <row r="4703" spans="23:34">
      <c r="W4703" s="177">
        <f t="shared" si="218"/>
        <v>0</v>
      </c>
      <c r="AB4703" s="178">
        <f t="shared" si="219"/>
        <v>0</v>
      </c>
      <c r="AH4703" s="177">
        <f t="shared" si="217"/>
        <v>0</v>
      </c>
    </row>
    <row r="4704" spans="23:34">
      <c r="W4704" s="177">
        <f t="shared" si="218"/>
        <v>0</v>
      </c>
      <c r="AB4704" s="178">
        <f t="shared" si="219"/>
        <v>0</v>
      </c>
      <c r="AH4704" s="177">
        <f t="shared" si="217"/>
        <v>0</v>
      </c>
    </row>
    <row r="4705" spans="23:34">
      <c r="W4705" s="177">
        <f t="shared" si="218"/>
        <v>0</v>
      </c>
      <c r="AB4705" s="178">
        <f t="shared" si="219"/>
        <v>0</v>
      </c>
      <c r="AH4705" s="177">
        <f t="shared" si="217"/>
        <v>0</v>
      </c>
    </row>
    <row r="4706" spans="23:34">
      <c r="W4706" s="177">
        <f t="shared" si="218"/>
        <v>0</v>
      </c>
      <c r="AB4706" s="178">
        <f t="shared" si="219"/>
        <v>0</v>
      </c>
      <c r="AH4706" s="177">
        <f t="shared" si="217"/>
        <v>0</v>
      </c>
    </row>
    <row r="4707" spans="23:34">
      <c r="W4707" s="177">
        <f t="shared" si="218"/>
        <v>0</v>
      </c>
      <c r="AB4707" s="178">
        <f t="shared" si="219"/>
        <v>0</v>
      </c>
      <c r="AH4707" s="177">
        <f t="shared" si="217"/>
        <v>0</v>
      </c>
    </row>
    <row r="4708" spans="23:34">
      <c r="W4708" s="177">
        <f t="shared" si="218"/>
        <v>0</v>
      </c>
      <c r="AB4708" s="178">
        <f t="shared" si="219"/>
        <v>0</v>
      </c>
      <c r="AH4708" s="177">
        <f t="shared" si="217"/>
        <v>0</v>
      </c>
    </row>
    <row r="4709" spans="23:34">
      <c r="W4709" s="177">
        <f t="shared" si="218"/>
        <v>0</v>
      </c>
      <c r="AB4709" s="178">
        <f t="shared" si="219"/>
        <v>0</v>
      </c>
      <c r="AH4709" s="177">
        <f t="shared" si="217"/>
        <v>0</v>
      </c>
    </row>
    <row r="4710" spans="23:34">
      <c r="W4710" s="177">
        <f t="shared" si="218"/>
        <v>0</v>
      </c>
      <c r="AB4710" s="178">
        <f t="shared" si="219"/>
        <v>0</v>
      </c>
      <c r="AH4710" s="177">
        <f t="shared" si="217"/>
        <v>0</v>
      </c>
    </row>
    <row r="4711" spans="23:34">
      <c r="W4711" s="177">
        <f t="shared" si="218"/>
        <v>0</v>
      </c>
      <c r="AB4711" s="178">
        <f t="shared" si="219"/>
        <v>0</v>
      </c>
      <c r="AH4711" s="177">
        <f t="shared" si="217"/>
        <v>0</v>
      </c>
    </row>
    <row r="4712" spans="23:34">
      <c r="W4712" s="177">
        <f t="shared" si="218"/>
        <v>0</v>
      </c>
      <c r="AB4712" s="178">
        <f t="shared" si="219"/>
        <v>0</v>
      </c>
      <c r="AH4712" s="177">
        <f t="shared" si="217"/>
        <v>0</v>
      </c>
    </row>
    <row r="4713" spans="23:34">
      <c r="W4713" s="177">
        <f t="shared" si="218"/>
        <v>0</v>
      </c>
      <c r="AB4713" s="178">
        <f t="shared" si="219"/>
        <v>0</v>
      </c>
      <c r="AH4713" s="177">
        <f t="shared" si="217"/>
        <v>0</v>
      </c>
    </row>
    <row r="4714" spans="23:34">
      <c r="W4714" s="177">
        <f t="shared" si="218"/>
        <v>0</v>
      </c>
      <c r="AB4714" s="178">
        <f t="shared" si="219"/>
        <v>0</v>
      </c>
      <c r="AH4714" s="177">
        <f t="shared" si="217"/>
        <v>0</v>
      </c>
    </row>
    <row r="4715" spans="23:34">
      <c r="W4715" s="177">
        <f t="shared" si="218"/>
        <v>0</v>
      </c>
      <c r="AB4715" s="178">
        <f t="shared" si="219"/>
        <v>0</v>
      </c>
      <c r="AH4715" s="177">
        <f t="shared" si="217"/>
        <v>0</v>
      </c>
    </row>
    <row r="4716" spans="23:34">
      <c r="W4716" s="177">
        <f t="shared" si="218"/>
        <v>0</v>
      </c>
      <c r="AB4716" s="178">
        <f t="shared" si="219"/>
        <v>0</v>
      </c>
      <c r="AH4716" s="177">
        <f t="shared" si="217"/>
        <v>0</v>
      </c>
    </row>
    <row r="4717" spans="23:34">
      <c r="W4717" s="177">
        <f t="shared" si="218"/>
        <v>0</v>
      </c>
      <c r="AB4717" s="178">
        <f t="shared" si="219"/>
        <v>0</v>
      </c>
      <c r="AH4717" s="177">
        <f t="shared" si="217"/>
        <v>0</v>
      </c>
    </row>
    <row r="4718" spans="23:34">
      <c r="W4718" s="177">
        <f t="shared" si="218"/>
        <v>0</v>
      </c>
      <c r="AB4718" s="178">
        <f t="shared" si="219"/>
        <v>0</v>
      </c>
      <c r="AH4718" s="177">
        <f t="shared" si="217"/>
        <v>0</v>
      </c>
    </row>
    <row r="4719" spans="23:34">
      <c r="W4719" s="177">
        <f t="shared" si="218"/>
        <v>0</v>
      </c>
      <c r="AB4719" s="178">
        <f t="shared" si="219"/>
        <v>0</v>
      </c>
      <c r="AH4719" s="177">
        <f t="shared" si="217"/>
        <v>0</v>
      </c>
    </row>
    <row r="4720" spans="23:34">
      <c r="W4720" s="177">
        <f t="shared" si="218"/>
        <v>0</v>
      </c>
      <c r="AB4720" s="178">
        <f t="shared" si="219"/>
        <v>0</v>
      </c>
      <c r="AH4720" s="177">
        <f t="shared" ref="AH4720:AH4783" si="220">SUM(AF4720:AG4720)</f>
        <v>0</v>
      </c>
    </row>
    <row r="4721" spans="23:34">
      <c r="W4721" s="177">
        <f t="shared" si="218"/>
        <v>0</v>
      </c>
      <c r="AB4721" s="178">
        <f t="shared" si="219"/>
        <v>0</v>
      </c>
      <c r="AH4721" s="177">
        <f t="shared" si="220"/>
        <v>0</v>
      </c>
    </row>
    <row r="4722" spans="23:34">
      <c r="W4722" s="177">
        <f t="shared" si="218"/>
        <v>0</v>
      </c>
      <c r="AB4722" s="178">
        <f t="shared" si="219"/>
        <v>0</v>
      </c>
      <c r="AH4722" s="177">
        <f t="shared" si="220"/>
        <v>0</v>
      </c>
    </row>
    <row r="4723" spans="23:34">
      <c r="W4723" s="177">
        <f t="shared" ref="W4723:W4786" si="221">SUM(Q4723:T4723)</f>
        <v>0</v>
      </c>
      <c r="AB4723" s="178">
        <f t="shared" si="219"/>
        <v>0</v>
      </c>
      <c r="AH4723" s="177">
        <f t="shared" si="220"/>
        <v>0</v>
      </c>
    </row>
    <row r="4724" spans="23:34">
      <c r="W4724" s="177">
        <f t="shared" si="221"/>
        <v>0</v>
      </c>
      <c r="AB4724" s="178">
        <f t="shared" si="219"/>
        <v>0</v>
      </c>
      <c r="AH4724" s="177">
        <f t="shared" si="220"/>
        <v>0</v>
      </c>
    </row>
    <row r="4725" spans="23:34">
      <c r="W4725" s="177">
        <f t="shared" si="221"/>
        <v>0</v>
      </c>
      <c r="AB4725" s="178">
        <f t="shared" si="219"/>
        <v>0</v>
      </c>
      <c r="AH4725" s="177">
        <f t="shared" si="220"/>
        <v>0</v>
      </c>
    </row>
    <row r="4726" spans="23:34">
      <c r="W4726" s="177">
        <f t="shared" si="221"/>
        <v>0</v>
      </c>
      <c r="AB4726" s="178">
        <f t="shared" si="219"/>
        <v>0</v>
      </c>
      <c r="AH4726" s="177">
        <f t="shared" si="220"/>
        <v>0</v>
      </c>
    </row>
    <row r="4727" spans="23:34">
      <c r="W4727" s="177">
        <f t="shared" si="221"/>
        <v>0</v>
      </c>
      <c r="AB4727" s="178">
        <f t="shared" si="219"/>
        <v>0</v>
      </c>
      <c r="AH4727" s="177">
        <f t="shared" si="220"/>
        <v>0</v>
      </c>
    </row>
    <row r="4728" spans="23:34">
      <c r="W4728" s="177">
        <f t="shared" si="221"/>
        <v>0</v>
      </c>
      <c r="AB4728" s="178">
        <f t="shared" si="219"/>
        <v>0</v>
      </c>
      <c r="AH4728" s="177">
        <f t="shared" si="220"/>
        <v>0</v>
      </c>
    </row>
    <row r="4729" spans="23:34">
      <c r="W4729" s="177">
        <f t="shared" si="221"/>
        <v>0</v>
      </c>
      <c r="AB4729" s="178">
        <f t="shared" si="219"/>
        <v>0</v>
      </c>
      <c r="AH4729" s="177">
        <f t="shared" si="220"/>
        <v>0</v>
      </c>
    </row>
    <row r="4730" spans="23:34">
      <c r="W4730" s="177">
        <f t="shared" si="221"/>
        <v>0</v>
      </c>
      <c r="AB4730" s="178">
        <f t="shared" si="219"/>
        <v>0</v>
      </c>
      <c r="AH4730" s="177">
        <f t="shared" si="220"/>
        <v>0</v>
      </c>
    </row>
    <row r="4731" spans="23:34">
      <c r="W4731" s="177">
        <f t="shared" si="221"/>
        <v>0</v>
      </c>
      <c r="AB4731" s="178">
        <f t="shared" ref="AB4731:AB4794" si="222">SUM(Z4731:AA4731)</f>
        <v>0</v>
      </c>
      <c r="AH4731" s="177">
        <f t="shared" si="220"/>
        <v>0</v>
      </c>
    </row>
    <row r="4732" spans="23:34">
      <c r="W4732" s="177">
        <f t="shared" si="221"/>
        <v>0</v>
      </c>
      <c r="AB4732" s="178">
        <f t="shared" si="222"/>
        <v>0</v>
      </c>
      <c r="AH4732" s="177">
        <f t="shared" si="220"/>
        <v>0</v>
      </c>
    </row>
    <row r="4733" spans="23:34">
      <c r="W4733" s="177">
        <f t="shared" si="221"/>
        <v>0</v>
      </c>
      <c r="AB4733" s="178">
        <f t="shared" si="222"/>
        <v>0</v>
      </c>
      <c r="AH4733" s="177">
        <f t="shared" si="220"/>
        <v>0</v>
      </c>
    </row>
    <row r="4734" spans="23:34">
      <c r="W4734" s="177">
        <f t="shared" si="221"/>
        <v>0</v>
      </c>
      <c r="AB4734" s="178">
        <f t="shared" si="222"/>
        <v>0</v>
      </c>
      <c r="AH4734" s="177">
        <f t="shared" si="220"/>
        <v>0</v>
      </c>
    </row>
    <row r="4735" spans="23:34">
      <c r="W4735" s="177">
        <f t="shared" si="221"/>
        <v>0</v>
      </c>
      <c r="AB4735" s="178">
        <f t="shared" si="222"/>
        <v>0</v>
      </c>
      <c r="AH4735" s="177">
        <f t="shared" si="220"/>
        <v>0</v>
      </c>
    </row>
    <row r="4736" spans="23:34">
      <c r="W4736" s="177">
        <f t="shared" si="221"/>
        <v>0</v>
      </c>
      <c r="AB4736" s="178">
        <f t="shared" si="222"/>
        <v>0</v>
      </c>
      <c r="AH4736" s="177">
        <f t="shared" si="220"/>
        <v>0</v>
      </c>
    </row>
    <row r="4737" spans="23:34">
      <c r="W4737" s="177">
        <f t="shared" si="221"/>
        <v>0</v>
      </c>
      <c r="AB4737" s="178">
        <f t="shared" si="222"/>
        <v>0</v>
      </c>
      <c r="AH4737" s="177">
        <f t="shared" si="220"/>
        <v>0</v>
      </c>
    </row>
    <row r="4738" spans="23:34">
      <c r="W4738" s="177">
        <f t="shared" si="221"/>
        <v>0</v>
      </c>
      <c r="AB4738" s="178">
        <f t="shared" si="222"/>
        <v>0</v>
      </c>
      <c r="AH4738" s="177">
        <f t="shared" si="220"/>
        <v>0</v>
      </c>
    </row>
    <row r="4739" spans="23:34">
      <c r="W4739" s="177">
        <f t="shared" si="221"/>
        <v>0</v>
      </c>
      <c r="AB4739" s="178">
        <f t="shared" si="222"/>
        <v>0</v>
      </c>
      <c r="AH4739" s="177">
        <f t="shared" si="220"/>
        <v>0</v>
      </c>
    </row>
    <row r="4740" spans="23:34">
      <c r="W4740" s="177">
        <f t="shared" si="221"/>
        <v>0</v>
      </c>
      <c r="AB4740" s="178">
        <f t="shared" si="222"/>
        <v>0</v>
      </c>
      <c r="AH4740" s="177">
        <f t="shared" si="220"/>
        <v>0</v>
      </c>
    </row>
    <row r="4741" spans="23:34">
      <c r="W4741" s="177">
        <f t="shared" si="221"/>
        <v>0</v>
      </c>
      <c r="AB4741" s="178">
        <f t="shared" si="222"/>
        <v>0</v>
      </c>
      <c r="AH4741" s="177">
        <f t="shared" si="220"/>
        <v>0</v>
      </c>
    </row>
    <row r="4742" spans="23:34">
      <c r="W4742" s="177">
        <f t="shared" si="221"/>
        <v>0</v>
      </c>
      <c r="AB4742" s="178">
        <f t="shared" si="222"/>
        <v>0</v>
      </c>
      <c r="AH4742" s="177">
        <f t="shared" si="220"/>
        <v>0</v>
      </c>
    </row>
    <row r="4743" spans="23:34">
      <c r="W4743" s="177">
        <f t="shared" si="221"/>
        <v>0</v>
      </c>
      <c r="AB4743" s="178">
        <f t="shared" si="222"/>
        <v>0</v>
      </c>
      <c r="AH4743" s="177">
        <f t="shared" si="220"/>
        <v>0</v>
      </c>
    </row>
    <row r="4744" spans="23:34">
      <c r="W4744" s="177">
        <f t="shared" si="221"/>
        <v>0</v>
      </c>
      <c r="AB4744" s="178">
        <f t="shared" si="222"/>
        <v>0</v>
      </c>
      <c r="AH4744" s="177">
        <f t="shared" si="220"/>
        <v>0</v>
      </c>
    </row>
    <row r="4745" spans="23:34">
      <c r="W4745" s="177">
        <f t="shared" si="221"/>
        <v>0</v>
      </c>
      <c r="AB4745" s="178">
        <f t="shared" si="222"/>
        <v>0</v>
      </c>
      <c r="AH4745" s="177">
        <f t="shared" si="220"/>
        <v>0</v>
      </c>
    </row>
    <row r="4746" spans="23:34">
      <c r="W4746" s="177">
        <f t="shared" si="221"/>
        <v>0</v>
      </c>
      <c r="AB4746" s="178">
        <f t="shared" si="222"/>
        <v>0</v>
      </c>
      <c r="AH4746" s="177">
        <f t="shared" si="220"/>
        <v>0</v>
      </c>
    </row>
    <row r="4747" spans="23:34">
      <c r="W4747" s="177">
        <f t="shared" si="221"/>
        <v>0</v>
      </c>
      <c r="AB4747" s="178">
        <f t="shared" si="222"/>
        <v>0</v>
      </c>
      <c r="AH4747" s="177">
        <f t="shared" si="220"/>
        <v>0</v>
      </c>
    </row>
    <row r="4748" spans="23:34">
      <c r="W4748" s="177">
        <f t="shared" si="221"/>
        <v>0</v>
      </c>
      <c r="AB4748" s="178">
        <f t="shared" si="222"/>
        <v>0</v>
      </c>
      <c r="AH4748" s="177">
        <f t="shared" si="220"/>
        <v>0</v>
      </c>
    </row>
    <row r="4749" spans="23:34">
      <c r="W4749" s="177">
        <f t="shared" si="221"/>
        <v>0</v>
      </c>
      <c r="AB4749" s="178">
        <f t="shared" si="222"/>
        <v>0</v>
      </c>
      <c r="AH4749" s="177">
        <f t="shared" si="220"/>
        <v>0</v>
      </c>
    </row>
    <row r="4750" spans="23:34">
      <c r="W4750" s="177">
        <f t="shared" si="221"/>
        <v>0</v>
      </c>
      <c r="AB4750" s="178">
        <f t="shared" si="222"/>
        <v>0</v>
      </c>
      <c r="AH4750" s="177">
        <f t="shared" si="220"/>
        <v>0</v>
      </c>
    </row>
    <row r="4751" spans="23:34">
      <c r="W4751" s="177">
        <f t="shared" si="221"/>
        <v>0</v>
      </c>
      <c r="AB4751" s="178">
        <f t="shared" si="222"/>
        <v>0</v>
      </c>
      <c r="AH4751" s="177">
        <f t="shared" si="220"/>
        <v>0</v>
      </c>
    </row>
    <row r="4752" spans="23:34">
      <c r="W4752" s="177">
        <f t="shared" si="221"/>
        <v>0</v>
      </c>
      <c r="AB4752" s="178">
        <f t="shared" si="222"/>
        <v>0</v>
      </c>
      <c r="AH4752" s="177">
        <f t="shared" si="220"/>
        <v>0</v>
      </c>
    </row>
    <row r="4753" spans="23:34">
      <c r="W4753" s="177">
        <f t="shared" si="221"/>
        <v>0</v>
      </c>
      <c r="AB4753" s="178">
        <f t="shared" si="222"/>
        <v>0</v>
      </c>
      <c r="AH4753" s="177">
        <f t="shared" si="220"/>
        <v>0</v>
      </c>
    </row>
    <row r="4754" spans="23:34">
      <c r="W4754" s="177">
        <f t="shared" si="221"/>
        <v>0</v>
      </c>
      <c r="AB4754" s="178">
        <f t="shared" si="222"/>
        <v>0</v>
      </c>
      <c r="AH4754" s="177">
        <f t="shared" si="220"/>
        <v>0</v>
      </c>
    </row>
    <row r="4755" spans="23:34">
      <c r="W4755" s="177">
        <f t="shared" si="221"/>
        <v>0</v>
      </c>
      <c r="AB4755" s="178">
        <f t="shared" si="222"/>
        <v>0</v>
      </c>
      <c r="AH4755" s="177">
        <f t="shared" si="220"/>
        <v>0</v>
      </c>
    </row>
    <row r="4756" spans="23:34">
      <c r="W4756" s="177">
        <f t="shared" si="221"/>
        <v>0</v>
      </c>
      <c r="AB4756" s="178">
        <f t="shared" si="222"/>
        <v>0</v>
      </c>
      <c r="AH4756" s="177">
        <f t="shared" si="220"/>
        <v>0</v>
      </c>
    </row>
    <row r="4757" spans="23:34">
      <c r="W4757" s="177">
        <f t="shared" si="221"/>
        <v>0</v>
      </c>
      <c r="AB4757" s="178">
        <f t="shared" si="222"/>
        <v>0</v>
      </c>
      <c r="AH4757" s="177">
        <f t="shared" si="220"/>
        <v>0</v>
      </c>
    </row>
    <row r="4758" spans="23:34">
      <c r="W4758" s="177">
        <f t="shared" si="221"/>
        <v>0</v>
      </c>
      <c r="AB4758" s="178">
        <f t="shared" si="222"/>
        <v>0</v>
      </c>
      <c r="AH4758" s="177">
        <f t="shared" si="220"/>
        <v>0</v>
      </c>
    </row>
    <row r="4759" spans="23:34">
      <c r="W4759" s="177">
        <f t="shared" si="221"/>
        <v>0</v>
      </c>
      <c r="AB4759" s="178">
        <f t="shared" si="222"/>
        <v>0</v>
      </c>
      <c r="AH4759" s="177">
        <f t="shared" si="220"/>
        <v>0</v>
      </c>
    </row>
    <row r="4760" spans="23:34">
      <c r="W4760" s="177">
        <f t="shared" si="221"/>
        <v>0</v>
      </c>
      <c r="AB4760" s="178">
        <f t="shared" si="222"/>
        <v>0</v>
      </c>
      <c r="AH4760" s="177">
        <f t="shared" si="220"/>
        <v>0</v>
      </c>
    </row>
    <row r="4761" spans="23:34">
      <c r="W4761" s="177">
        <f t="shared" si="221"/>
        <v>0</v>
      </c>
      <c r="AB4761" s="178">
        <f t="shared" si="222"/>
        <v>0</v>
      </c>
      <c r="AH4761" s="177">
        <f t="shared" si="220"/>
        <v>0</v>
      </c>
    </row>
    <row r="4762" spans="23:34">
      <c r="W4762" s="177">
        <f t="shared" si="221"/>
        <v>0</v>
      </c>
      <c r="AB4762" s="178">
        <f t="shared" si="222"/>
        <v>0</v>
      </c>
      <c r="AH4762" s="177">
        <f t="shared" si="220"/>
        <v>0</v>
      </c>
    </row>
    <row r="4763" spans="23:34">
      <c r="W4763" s="177">
        <f t="shared" si="221"/>
        <v>0</v>
      </c>
      <c r="AB4763" s="178">
        <f t="shared" si="222"/>
        <v>0</v>
      </c>
      <c r="AH4763" s="177">
        <f t="shared" si="220"/>
        <v>0</v>
      </c>
    </row>
    <row r="4764" spans="23:34">
      <c r="W4764" s="177">
        <f t="shared" si="221"/>
        <v>0</v>
      </c>
      <c r="AB4764" s="178">
        <f t="shared" si="222"/>
        <v>0</v>
      </c>
      <c r="AH4764" s="177">
        <f t="shared" si="220"/>
        <v>0</v>
      </c>
    </row>
    <row r="4765" spans="23:34">
      <c r="W4765" s="177">
        <f t="shared" si="221"/>
        <v>0</v>
      </c>
      <c r="AB4765" s="178">
        <f t="shared" si="222"/>
        <v>0</v>
      </c>
      <c r="AH4765" s="177">
        <f t="shared" si="220"/>
        <v>0</v>
      </c>
    </row>
    <row r="4766" spans="23:34">
      <c r="W4766" s="177">
        <f t="shared" si="221"/>
        <v>0</v>
      </c>
      <c r="AB4766" s="178">
        <f t="shared" si="222"/>
        <v>0</v>
      </c>
      <c r="AH4766" s="177">
        <f t="shared" si="220"/>
        <v>0</v>
      </c>
    </row>
    <row r="4767" spans="23:34">
      <c r="W4767" s="177">
        <f t="shared" si="221"/>
        <v>0</v>
      </c>
      <c r="AB4767" s="178">
        <f t="shared" si="222"/>
        <v>0</v>
      </c>
      <c r="AH4767" s="177">
        <f t="shared" si="220"/>
        <v>0</v>
      </c>
    </row>
    <row r="4768" spans="23:34">
      <c r="W4768" s="177">
        <f t="shared" si="221"/>
        <v>0</v>
      </c>
      <c r="AB4768" s="178">
        <f t="shared" si="222"/>
        <v>0</v>
      </c>
      <c r="AH4768" s="177">
        <f t="shared" si="220"/>
        <v>0</v>
      </c>
    </row>
    <row r="4769" spans="23:34">
      <c r="W4769" s="177">
        <f t="shared" si="221"/>
        <v>0</v>
      </c>
      <c r="AB4769" s="178">
        <f t="shared" si="222"/>
        <v>0</v>
      </c>
      <c r="AH4769" s="177">
        <f t="shared" si="220"/>
        <v>0</v>
      </c>
    </row>
    <row r="4770" spans="23:34">
      <c r="W4770" s="177">
        <f t="shared" si="221"/>
        <v>0</v>
      </c>
      <c r="AB4770" s="178">
        <f t="shared" si="222"/>
        <v>0</v>
      </c>
      <c r="AH4770" s="177">
        <f t="shared" si="220"/>
        <v>0</v>
      </c>
    </row>
    <row r="4771" spans="23:34">
      <c r="W4771" s="177">
        <f t="shared" si="221"/>
        <v>0</v>
      </c>
      <c r="AB4771" s="178">
        <f t="shared" si="222"/>
        <v>0</v>
      </c>
      <c r="AH4771" s="177">
        <f t="shared" si="220"/>
        <v>0</v>
      </c>
    </row>
    <row r="4772" spans="23:34">
      <c r="W4772" s="177">
        <f t="shared" si="221"/>
        <v>0</v>
      </c>
      <c r="AB4772" s="178">
        <f t="shared" si="222"/>
        <v>0</v>
      </c>
      <c r="AH4772" s="177">
        <f t="shared" si="220"/>
        <v>0</v>
      </c>
    </row>
    <row r="4773" spans="23:34">
      <c r="W4773" s="177">
        <f t="shared" si="221"/>
        <v>0</v>
      </c>
      <c r="AB4773" s="178">
        <f t="shared" si="222"/>
        <v>0</v>
      </c>
      <c r="AH4773" s="177">
        <f t="shared" si="220"/>
        <v>0</v>
      </c>
    </row>
    <row r="4774" spans="23:34">
      <c r="W4774" s="177">
        <f t="shared" si="221"/>
        <v>0</v>
      </c>
      <c r="AB4774" s="178">
        <f t="shared" si="222"/>
        <v>0</v>
      </c>
      <c r="AH4774" s="177">
        <f t="shared" si="220"/>
        <v>0</v>
      </c>
    </row>
    <row r="4775" spans="23:34">
      <c r="W4775" s="177">
        <f t="shared" si="221"/>
        <v>0</v>
      </c>
      <c r="AB4775" s="178">
        <f t="shared" si="222"/>
        <v>0</v>
      </c>
      <c r="AH4775" s="177">
        <f t="shared" si="220"/>
        <v>0</v>
      </c>
    </row>
    <row r="4776" spans="23:34">
      <c r="W4776" s="177">
        <f t="shared" si="221"/>
        <v>0</v>
      </c>
      <c r="AB4776" s="178">
        <f t="shared" si="222"/>
        <v>0</v>
      </c>
      <c r="AH4776" s="177">
        <f t="shared" si="220"/>
        <v>0</v>
      </c>
    </row>
    <row r="4777" spans="23:34">
      <c r="W4777" s="177">
        <f t="shared" si="221"/>
        <v>0</v>
      </c>
      <c r="AB4777" s="178">
        <f t="shared" si="222"/>
        <v>0</v>
      </c>
      <c r="AH4777" s="177">
        <f t="shared" si="220"/>
        <v>0</v>
      </c>
    </row>
    <row r="4778" spans="23:34">
      <c r="W4778" s="177">
        <f t="shared" si="221"/>
        <v>0</v>
      </c>
      <c r="AB4778" s="178">
        <f t="shared" si="222"/>
        <v>0</v>
      </c>
      <c r="AH4778" s="177">
        <f t="shared" si="220"/>
        <v>0</v>
      </c>
    </row>
    <row r="4779" spans="23:34">
      <c r="W4779" s="177">
        <f t="shared" si="221"/>
        <v>0</v>
      </c>
      <c r="AB4779" s="178">
        <f t="shared" si="222"/>
        <v>0</v>
      </c>
      <c r="AH4779" s="177">
        <f t="shared" si="220"/>
        <v>0</v>
      </c>
    </row>
    <row r="4780" spans="23:34">
      <c r="W4780" s="177">
        <f t="shared" si="221"/>
        <v>0</v>
      </c>
      <c r="AB4780" s="178">
        <f t="shared" si="222"/>
        <v>0</v>
      </c>
      <c r="AH4780" s="177">
        <f t="shared" si="220"/>
        <v>0</v>
      </c>
    </row>
    <row r="4781" spans="23:34">
      <c r="W4781" s="177">
        <f t="shared" si="221"/>
        <v>0</v>
      </c>
      <c r="AB4781" s="178">
        <f t="shared" si="222"/>
        <v>0</v>
      </c>
      <c r="AH4781" s="177">
        <f t="shared" si="220"/>
        <v>0</v>
      </c>
    </row>
    <row r="4782" spans="23:34">
      <c r="W4782" s="177">
        <f t="shared" si="221"/>
        <v>0</v>
      </c>
      <c r="AB4782" s="178">
        <f t="shared" si="222"/>
        <v>0</v>
      </c>
      <c r="AH4782" s="177">
        <f t="shared" si="220"/>
        <v>0</v>
      </c>
    </row>
    <row r="4783" spans="23:34">
      <c r="W4783" s="177">
        <f t="shared" si="221"/>
        <v>0</v>
      </c>
      <c r="AB4783" s="178">
        <f t="shared" si="222"/>
        <v>0</v>
      </c>
      <c r="AH4783" s="177">
        <f t="shared" si="220"/>
        <v>0</v>
      </c>
    </row>
    <row r="4784" spans="23:34">
      <c r="W4784" s="177">
        <f t="shared" si="221"/>
        <v>0</v>
      </c>
      <c r="AB4784" s="178">
        <f t="shared" si="222"/>
        <v>0</v>
      </c>
      <c r="AH4784" s="177">
        <f t="shared" ref="AH4784:AH4847" si="223">SUM(AF4784:AG4784)</f>
        <v>0</v>
      </c>
    </row>
    <row r="4785" spans="23:34">
      <c r="W4785" s="177">
        <f t="shared" si="221"/>
        <v>0</v>
      </c>
      <c r="AB4785" s="178">
        <f t="shared" si="222"/>
        <v>0</v>
      </c>
      <c r="AH4785" s="177">
        <f t="shared" si="223"/>
        <v>0</v>
      </c>
    </row>
    <row r="4786" spans="23:34">
      <c r="W4786" s="177">
        <f t="shared" si="221"/>
        <v>0</v>
      </c>
      <c r="AB4786" s="178">
        <f t="shared" si="222"/>
        <v>0</v>
      </c>
      <c r="AH4786" s="177">
        <f t="shared" si="223"/>
        <v>0</v>
      </c>
    </row>
    <row r="4787" spans="23:34">
      <c r="W4787" s="177">
        <f t="shared" ref="W4787:W4850" si="224">SUM(Q4787:T4787)</f>
        <v>0</v>
      </c>
      <c r="AB4787" s="178">
        <f t="shared" si="222"/>
        <v>0</v>
      </c>
      <c r="AH4787" s="177">
        <f t="shared" si="223"/>
        <v>0</v>
      </c>
    </row>
    <row r="4788" spans="23:34">
      <c r="W4788" s="177">
        <f t="shared" si="224"/>
        <v>0</v>
      </c>
      <c r="AB4788" s="178">
        <f t="shared" si="222"/>
        <v>0</v>
      </c>
      <c r="AH4788" s="177">
        <f t="shared" si="223"/>
        <v>0</v>
      </c>
    </row>
    <row r="4789" spans="23:34">
      <c r="W4789" s="177">
        <f t="shared" si="224"/>
        <v>0</v>
      </c>
      <c r="AB4789" s="178">
        <f t="shared" si="222"/>
        <v>0</v>
      </c>
      <c r="AH4789" s="177">
        <f t="shared" si="223"/>
        <v>0</v>
      </c>
    </row>
    <row r="4790" spans="23:34">
      <c r="W4790" s="177">
        <f t="shared" si="224"/>
        <v>0</v>
      </c>
      <c r="AB4790" s="178">
        <f t="shared" si="222"/>
        <v>0</v>
      </c>
      <c r="AH4790" s="177">
        <f t="shared" si="223"/>
        <v>0</v>
      </c>
    </row>
    <row r="4791" spans="23:34">
      <c r="W4791" s="177">
        <f t="shared" si="224"/>
        <v>0</v>
      </c>
      <c r="AB4791" s="178">
        <f t="shared" si="222"/>
        <v>0</v>
      </c>
      <c r="AH4791" s="177">
        <f t="shared" si="223"/>
        <v>0</v>
      </c>
    </row>
    <row r="4792" spans="23:34">
      <c r="W4792" s="177">
        <f t="shared" si="224"/>
        <v>0</v>
      </c>
      <c r="AB4792" s="178">
        <f t="shared" si="222"/>
        <v>0</v>
      </c>
      <c r="AH4792" s="177">
        <f t="shared" si="223"/>
        <v>0</v>
      </c>
    </row>
    <row r="4793" spans="23:34">
      <c r="W4793" s="177">
        <f t="shared" si="224"/>
        <v>0</v>
      </c>
      <c r="AB4793" s="178">
        <f t="shared" si="222"/>
        <v>0</v>
      </c>
      <c r="AH4793" s="177">
        <f t="shared" si="223"/>
        <v>0</v>
      </c>
    </row>
    <row r="4794" spans="23:34">
      <c r="W4794" s="177">
        <f t="shared" si="224"/>
        <v>0</v>
      </c>
      <c r="AB4794" s="178">
        <f t="shared" si="222"/>
        <v>0</v>
      </c>
      <c r="AH4794" s="177">
        <f t="shared" si="223"/>
        <v>0</v>
      </c>
    </row>
    <row r="4795" spans="23:34">
      <c r="W4795" s="177">
        <f t="shared" si="224"/>
        <v>0</v>
      </c>
      <c r="AB4795" s="178">
        <f t="shared" ref="AB4795:AB4858" si="225">SUM(Z4795:AA4795)</f>
        <v>0</v>
      </c>
      <c r="AH4795" s="177">
        <f t="shared" si="223"/>
        <v>0</v>
      </c>
    </row>
    <row r="4796" spans="23:34">
      <c r="W4796" s="177">
        <f t="shared" si="224"/>
        <v>0</v>
      </c>
      <c r="AB4796" s="178">
        <f t="shared" si="225"/>
        <v>0</v>
      </c>
      <c r="AH4796" s="177">
        <f t="shared" si="223"/>
        <v>0</v>
      </c>
    </row>
    <row r="4797" spans="23:34">
      <c r="W4797" s="177">
        <f t="shared" si="224"/>
        <v>0</v>
      </c>
      <c r="AB4797" s="178">
        <f t="shared" si="225"/>
        <v>0</v>
      </c>
      <c r="AH4797" s="177">
        <f t="shared" si="223"/>
        <v>0</v>
      </c>
    </row>
    <row r="4798" spans="23:34">
      <c r="W4798" s="177">
        <f t="shared" si="224"/>
        <v>0</v>
      </c>
      <c r="AB4798" s="178">
        <f t="shared" si="225"/>
        <v>0</v>
      </c>
      <c r="AH4798" s="177">
        <f t="shared" si="223"/>
        <v>0</v>
      </c>
    </row>
    <row r="4799" spans="23:34">
      <c r="W4799" s="177">
        <f t="shared" si="224"/>
        <v>0</v>
      </c>
      <c r="AB4799" s="178">
        <f t="shared" si="225"/>
        <v>0</v>
      </c>
      <c r="AH4799" s="177">
        <f t="shared" si="223"/>
        <v>0</v>
      </c>
    </row>
    <row r="4800" spans="23:34">
      <c r="W4800" s="177">
        <f t="shared" si="224"/>
        <v>0</v>
      </c>
      <c r="AB4800" s="178">
        <f t="shared" si="225"/>
        <v>0</v>
      </c>
      <c r="AH4800" s="177">
        <f t="shared" si="223"/>
        <v>0</v>
      </c>
    </row>
    <row r="4801" spans="23:34">
      <c r="W4801" s="177">
        <f t="shared" si="224"/>
        <v>0</v>
      </c>
      <c r="AB4801" s="178">
        <f t="shared" si="225"/>
        <v>0</v>
      </c>
      <c r="AH4801" s="177">
        <f t="shared" si="223"/>
        <v>0</v>
      </c>
    </row>
    <row r="4802" spans="23:34">
      <c r="W4802" s="177">
        <f t="shared" si="224"/>
        <v>0</v>
      </c>
      <c r="AB4802" s="178">
        <f t="shared" si="225"/>
        <v>0</v>
      </c>
      <c r="AH4802" s="177">
        <f t="shared" si="223"/>
        <v>0</v>
      </c>
    </row>
    <row r="4803" spans="23:34">
      <c r="W4803" s="177">
        <f t="shared" si="224"/>
        <v>0</v>
      </c>
      <c r="AB4803" s="178">
        <f t="shared" si="225"/>
        <v>0</v>
      </c>
      <c r="AH4803" s="177">
        <f t="shared" si="223"/>
        <v>0</v>
      </c>
    </row>
    <row r="4804" spans="23:34">
      <c r="W4804" s="177">
        <f t="shared" si="224"/>
        <v>0</v>
      </c>
      <c r="AB4804" s="178">
        <f t="shared" si="225"/>
        <v>0</v>
      </c>
      <c r="AH4804" s="177">
        <f t="shared" si="223"/>
        <v>0</v>
      </c>
    </row>
    <row r="4805" spans="23:34">
      <c r="W4805" s="177">
        <f t="shared" si="224"/>
        <v>0</v>
      </c>
      <c r="AB4805" s="178">
        <f t="shared" si="225"/>
        <v>0</v>
      </c>
      <c r="AH4805" s="177">
        <f t="shared" si="223"/>
        <v>0</v>
      </c>
    </row>
    <row r="4806" spans="23:34">
      <c r="W4806" s="177">
        <f t="shared" si="224"/>
        <v>0</v>
      </c>
      <c r="AB4806" s="178">
        <f t="shared" si="225"/>
        <v>0</v>
      </c>
      <c r="AH4806" s="177">
        <f t="shared" si="223"/>
        <v>0</v>
      </c>
    </row>
    <row r="4807" spans="23:34">
      <c r="W4807" s="177">
        <f t="shared" si="224"/>
        <v>0</v>
      </c>
      <c r="AB4807" s="178">
        <f t="shared" si="225"/>
        <v>0</v>
      </c>
      <c r="AH4807" s="177">
        <f t="shared" si="223"/>
        <v>0</v>
      </c>
    </row>
    <row r="4808" spans="23:34">
      <c r="W4808" s="177">
        <f t="shared" si="224"/>
        <v>0</v>
      </c>
      <c r="AB4808" s="178">
        <f t="shared" si="225"/>
        <v>0</v>
      </c>
      <c r="AH4808" s="177">
        <f t="shared" si="223"/>
        <v>0</v>
      </c>
    </row>
    <row r="4809" spans="23:34">
      <c r="W4809" s="177">
        <f t="shared" si="224"/>
        <v>0</v>
      </c>
      <c r="AB4809" s="178">
        <f t="shared" si="225"/>
        <v>0</v>
      </c>
      <c r="AH4809" s="177">
        <f t="shared" si="223"/>
        <v>0</v>
      </c>
    </row>
    <row r="4810" spans="23:34">
      <c r="W4810" s="177">
        <f t="shared" si="224"/>
        <v>0</v>
      </c>
      <c r="AB4810" s="178">
        <f t="shared" si="225"/>
        <v>0</v>
      </c>
      <c r="AH4810" s="177">
        <f t="shared" si="223"/>
        <v>0</v>
      </c>
    </row>
    <row r="4811" spans="23:34">
      <c r="W4811" s="177">
        <f t="shared" si="224"/>
        <v>0</v>
      </c>
      <c r="AB4811" s="178">
        <f t="shared" si="225"/>
        <v>0</v>
      </c>
      <c r="AH4811" s="177">
        <f t="shared" si="223"/>
        <v>0</v>
      </c>
    </row>
    <row r="4812" spans="23:34">
      <c r="W4812" s="177">
        <f t="shared" si="224"/>
        <v>0</v>
      </c>
      <c r="AB4812" s="178">
        <f t="shared" si="225"/>
        <v>0</v>
      </c>
      <c r="AH4812" s="177">
        <f t="shared" si="223"/>
        <v>0</v>
      </c>
    </row>
    <row r="4813" spans="23:34">
      <c r="W4813" s="177">
        <f t="shared" si="224"/>
        <v>0</v>
      </c>
      <c r="AB4813" s="178">
        <f t="shared" si="225"/>
        <v>0</v>
      </c>
      <c r="AH4813" s="177">
        <f t="shared" si="223"/>
        <v>0</v>
      </c>
    </row>
    <row r="4814" spans="23:34">
      <c r="W4814" s="177">
        <f t="shared" si="224"/>
        <v>0</v>
      </c>
      <c r="AB4814" s="178">
        <f t="shared" si="225"/>
        <v>0</v>
      </c>
      <c r="AH4814" s="177">
        <f t="shared" si="223"/>
        <v>0</v>
      </c>
    </row>
    <row r="4815" spans="23:34">
      <c r="W4815" s="177">
        <f t="shared" si="224"/>
        <v>0</v>
      </c>
      <c r="AB4815" s="178">
        <f t="shared" si="225"/>
        <v>0</v>
      </c>
      <c r="AH4815" s="177">
        <f t="shared" si="223"/>
        <v>0</v>
      </c>
    </row>
    <row r="4816" spans="23:34">
      <c r="W4816" s="177">
        <f t="shared" si="224"/>
        <v>0</v>
      </c>
      <c r="AB4816" s="178">
        <f t="shared" si="225"/>
        <v>0</v>
      </c>
      <c r="AH4816" s="177">
        <f t="shared" si="223"/>
        <v>0</v>
      </c>
    </row>
    <row r="4817" spans="23:34">
      <c r="W4817" s="177">
        <f t="shared" si="224"/>
        <v>0</v>
      </c>
      <c r="AB4817" s="178">
        <f t="shared" si="225"/>
        <v>0</v>
      </c>
      <c r="AH4817" s="177">
        <f t="shared" si="223"/>
        <v>0</v>
      </c>
    </row>
    <row r="4818" spans="23:34">
      <c r="W4818" s="177">
        <f t="shared" si="224"/>
        <v>0</v>
      </c>
      <c r="AB4818" s="178">
        <f t="shared" si="225"/>
        <v>0</v>
      </c>
      <c r="AH4818" s="177">
        <f t="shared" si="223"/>
        <v>0</v>
      </c>
    </row>
    <row r="4819" spans="23:34">
      <c r="W4819" s="177">
        <f t="shared" si="224"/>
        <v>0</v>
      </c>
      <c r="AB4819" s="178">
        <f t="shared" si="225"/>
        <v>0</v>
      </c>
      <c r="AH4819" s="177">
        <f t="shared" si="223"/>
        <v>0</v>
      </c>
    </row>
    <row r="4820" spans="23:34">
      <c r="W4820" s="177">
        <f t="shared" si="224"/>
        <v>0</v>
      </c>
      <c r="AB4820" s="178">
        <f t="shared" si="225"/>
        <v>0</v>
      </c>
      <c r="AH4820" s="177">
        <f t="shared" si="223"/>
        <v>0</v>
      </c>
    </row>
    <row r="4821" spans="23:34">
      <c r="W4821" s="177">
        <f t="shared" si="224"/>
        <v>0</v>
      </c>
      <c r="AB4821" s="178">
        <f t="shared" si="225"/>
        <v>0</v>
      </c>
      <c r="AH4821" s="177">
        <f t="shared" si="223"/>
        <v>0</v>
      </c>
    </row>
    <row r="4822" spans="23:34">
      <c r="W4822" s="177">
        <f t="shared" si="224"/>
        <v>0</v>
      </c>
      <c r="AB4822" s="178">
        <f t="shared" si="225"/>
        <v>0</v>
      </c>
      <c r="AH4822" s="177">
        <f t="shared" si="223"/>
        <v>0</v>
      </c>
    </row>
    <row r="4823" spans="23:34">
      <c r="W4823" s="177">
        <f t="shared" si="224"/>
        <v>0</v>
      </c>
      <c r="AB4823" s="178">
        <f t="shared" si="225"/>
        <v>0</v>
      </c>
      <c r="AH4823" s="177">
        <f t="shared" si="223"/>
        <v>0</v>
      </c>
    </row>
    <row r="4824" spans="23:34">
      <c r="W4824" s="177">
        <f t="shared" si="224"/>
        <v>0</v>
      </c>
      <c r="AB4824" s="178">
        <f t="shared" si="225"/>
        <v>0</v>
      </c>
      <c r="AH4824" s="177">
        <f t="shared" si="223"/>
        <v>0</v>
      </c>
    </row>
    <row r="4825" spans="23:34">
      <c r="W4825" s="177">
        <f t="shared" si="224"/>
        <v>0</v>
      </c>
      <c r="AB4825" s="178">
        <f t="shared" si="225"/>
        <v>0</v>
      </c>
      <c r="AH4825" s="177">
        <f t="shared" si="223"/>
        <v>0</v>
      </c>
    </row>
    <row r="4826" spans="23:34">
      <c r="W4826" s="177">
        <f t="shared" si="224"/>
        <v>0</v>
      </c>
      <c r="AB4826" s="178">
        <f t="shared" si="225"/>
        <v>0</v>
      </c>
      <c r="AH4826" s="177">
        <f t="shared" si="223"/>
        <v>0</v>
      </c>
    </row>
    <row r="4827" spans="23:34">
      <c r="W4827" s="177">
        <f t="shared" si="224"/>
        <v>0</v>
      </c>
      <c r="AB4827" s="178">
        <f t="shared" si="225"/>
        <v>0</v>
      </c>
      <c r="AH4827" s="177">
        <f t="shared" si="223"/>
        <v>0</v>
      </c>
    </row>
    <row r="4828" spans="23:34">
      <c r="W4828" s="177">
        <f t="shared" si="224"/>
        <v>0</v>
      </c>
      <c r="AB4828" s="178">
        <f t="shared" si="225"/>
        <v>0</v>
      </c>
      <c r="AH4828" s="177">
        <f t="shared" si="223"/>
        <v>0</v>
      </c>
    </row>
    <row r="4829" spans="23:34">
      <c r="W4829" s="177">
        <f t="shared" si="224"/>
        <v>0</v>
      </c>
      <c r="AB4829" s="178">
        <f t="shared" si="225"/>
        <v>0</v>
      </c>
      <c r="AH4829" s="177">
        <f t="shared" si="223"/>
        <v>0</v>
      </c>
    </row>
    <row r="4830" spans="23:34">
      <c r="W4830" s="177">
        <f t="shared" si="224"/>
        <v>0</v>
      </c>
      <c r="AB4830" s="178">
        <f t="shared" si="225"/>
        <v>0</v>
      </c>
      <c r="AH4830" s="177">
        <f t="shared" si="223"/>
        <v>0</v>
      </c>
    </row>
    <row r="4831" spans="23:34">
      <c r="W4831" s="177">
        <f t="shared" si="224"/>
        <v>0</v>
      </c>
      <c r="AB4831" s="178">
        <f t="shared" si="225"/>
        <v>0</v>
      </c>
      <c r="AH4831" s="177">
        <f t="shared" si="223"/>
        <v>0</v>
      </c>
    </row>
    <row r="4832" spans="23:34">
      <c r="W4832" s="177">
        <f t="shared" si="224"/>
        <v>0</v>
      </c>
      <c r="AB4832" s="178">
        <f t="shared" si="225"/>
        <v>0</v>
      </c>
      <c r="AH4832" s="177">
        <f t="shared" si="223"/>
        <v>0</v>
      </c>
    </row>
    <row r="4833" spans="23:34">
      <c r="W4833" s="177">
        <f t="shared" si="224"/>
        <v>0</v>
      </c>
      <c r="AB4833" s="178">
        <f t="shared" si="225"/>
        <v>0</v>
      </c>
      <c r="AH4833" s="177">
        <f t="shared" si="223"/>
        <v>0</v>
      </c>
    </row>
    <row r="4834" spans="23:34">
      <c r="W4834" s="177">
        <f t="shared" si="224"/>
        <v>0</v>
      </c>
      <c r="AB4834" s="178">
        <f t="shared" si="225"/>
        <v>0</v>
      </c>
      <c r="AH4834" s="177">
        <f t="shared" si="223"/>
        <v>0</v>
      </c>
    </row>
    <row r="4835" spans="23:34">
      <c r="W4835" s="177">
        <f t="shared" si="224"/>
        <v>0</v>
      </c>
      <c r="AB4835" s="178">
        <f t="shared" si="225"/>
        <v>0</v>
      </c>
      <c r="AH4835" s="177">
        <f t="shared" si="223"/>
        <v>0</v>
      </c>
    </row>
    <row r="4836" spans="23:34">
      <c r="W4836" s="177">
        <f t="shared" si="224"/>
        <v>0</v>
      </c>
      <c r="AB4836" s="178">
        <f t="shared" si="225"/>
        <v>0</v>
      </c>
      <c r="AH4836" s="177">
        <f t="shared" si="223"/>
        <v>0</v>
      </c>
    </row>
    <row r="4837" spans="23:34">
      <c r="W4837" s="177">
        <f t="shared" si="224"/>
        <v>0</v>
      </c>
      <c r="AB4837" s="178">
        <f t="shared" si="225"/>
        <v>0</v>
      </c>
      <c r="AH4837" s="177">
        <f t="shared" si="223"/>
        <v>0</v>
      </c>
    </row>
    <row r="4838" spans="23:34">
      <c r="W4838" s="177">
        <f t="shared" si="224"/>
        <v>0</v>
      </c>
      <c r="AB4838" s="178">
        <f t="shared" si="225"/>
        <v>0</v>
      </c>
      <c r="AH4838" s="177">
        <f t="shared" si="223"/>
        <v>0</v>
      </c>
    </row>
    <row r="4839" spans="23:34">
      <c r="W4839" s="177">
        <f t="shared" si="224"/>
        <v>0</v>
      </c>
      <c r="AB4839" s="178">
        <f t="shared" si="225"/>
        <v>0</v>
      </c>
      <c r="AH4839" s="177">
        <f t="shared" si="223"/>
        <v>0</v>
      </c>
    </row>
    <row r="4840" spans="23:34">
      <c r="W4840" s="177">
        <f t="shared" si="224"/>
        <v>0</v>
      </c>
      <c r="AB4840" s="178">
        <f t="shared" si="225"/>
        <v>0</v>
      </c>
      <c r="AH4840" s="177">
        <f t="shared" si="223"/>
        <v>0</v>
      </c>
    </row>
    <row r="4841" spans="23:34">
      <c r="W4841" s="177">
        <f t="shared" si="224"/>
        <v>0</v>
      </c>
      <c r="AB4841" s="178">
        <f t="shared" si="225"/>
        <v>0</v>
      </c>
      <c r="AH4841" s="177">
        <f t="shared" si="223"/>
        <v>0</v>
      </c>
    </row>
    <row r="4842" spans="23:34">
      <c r="W4842" s="177">
        <f t="shared" si="224"/>
        <v>0</v>
      </c>
      <c r="AB4842" s="178">
        <f t="shared" si="225"/>
        <v>0</v>
      </c>
      <c r="AH4842" s="177">
        <f t="shared" si="223"/>
        <v>0</v>
      </c>
    </row>
    <row r="4843" spans="23:34">
      <c r="W4843" s="177">
        <f t="shared" si="224"/>
        <v>0</v>
      </c>
      <c r="AB4843" s="178">
        <f t="shared" si="225"/>
        <v>0</v>
      </c>
      <c r="AH4843" s="177">
        <f t="shared" si="223"/>
        <v>0</v>
      </c>
    </row>
    <row r="4844" spans="23:34">
      <c r="W4844" s="177">
        <f t="shared" si="224"/>
        <v>0</v>
      </c>
      <c r="AB4844" s="178">
        <f t="shared" si="225"/>
        <v>0</v>
      </c>
      <c r="AH4844" s="177">
        <f t="shared" si="223"/>
        <v>0</v>
      </c>
    </row>
    <row r="4845" spans="23:34">
      <c r="W4845" s="177">
        <f t="shared" si="224"/>
        <v>0</v>
      </c>
      <c r="AB4845" s="178">
        <f t="shared" si="225"/>
        <v>0</v>
      </c>
      <c r="AH4845" s="177">
        <f t="shared" si="223"/>
        <v>0</v>
      </c>
    </row>
    <row r="4846" spans="23:34">
      <c r="W4846" s="177">
        <f t="shared" si="224"/>
        <v>0</v>
      </c>
      <c r="AB4846" s="178">
        <f t="shared" si="225"/>
        <v>0</v>
      </c>
      <c r="AH4846" s="177">
        <f t="shared" si="223"/>
        <v>0</v>
      </c>
    </row>
    <row r="4847" spans="23:34">
      <c r="W4847" s="177">
        <f t="shared" si="224"/>
        <v>0</v>
      </c>
      <c r="AB4847" s="178">
        <f t="shared" si="225"/>
        <v>0</v>
      </c>
      <c r="AH4847" s="177">
        <f t="shared" si="223"/>
        <v>0</v>
      </c>
    </row>
    <row r="4848" spans="23:34">
      <c r="W4848" s="177">
        <f t="shared" si="224"/>
        <v>0</v>
      </c>
      <c r="AB4848" s="178">
        <f t="shared" si="225"/>
        <v>0</v>
      </c>
      <c r="AH4848" s="177">
        <f t="shared" ref="AH4848:AH4911" si="226">SUM(AF4848:AG4848)</f>
        <v>0</v>
      </c>
    </row>
    <row r="4849" spans="23:34">
      <c r="W4849" s="177">
        <f t="shared" si="224"/>
        <v>0</v>
      </c>
      <c r="AB4849" s="178">
        <f t="shared" si="225"/>
        <v>0</v>
      </c>
      <c r="AH4849" s="177">
        <f t="shared" si="226"/>
        <v>0</v>
      </c>
    </row>
    <row r="4850" spans="23:34">
      <c r="W4850" s="177">
        <f t="shared" si="224"/>
        <v>0</v>
      </c>
      <c r="AB4850" s="178">
        <f t="shared" si="225"/>
        <v>0</v>
      </c>
      <c r="AH4850" s="177">
        <f t="shared" si="226"/>
        <v>0</v>
      </c>
    </row>
    <row r="4851" spans="23:34">
      <c r="W4851" s="177">
        <f t="shared" ref="W4851:W4914" si="227">SUM(Q4851:T4851)</f>
        <v>0</v>
      </c>
      <c r="AB4851" s="178">
        <f t="shared" si="225"/>
        <v>0</v>
      </c>
      <c r="AH4851" s="177">
        <f t="shared" si="226"/>
        <v>0</v>
      </c>
    </row>
    <row r="4852" spans="23:34">
      <c r="W4852" s="177">
        <f t="shared" si="227"/>
        <v>0</v>
      </c>
      <c r="AB4852" s="178">
        <f t="shared" si="225"/>
        <v>0</v>
      </c>
      <c r="AH4852" s="177">
        <f t="shared" si="226"/>
        <v>0</v>
      </c>
    </row>
    <row r="4853" spans="23:34">
      <c r="W4853" s="177">
        <f t="shared" si="227"/>
        <v>0</v>
      </c>
      <c r="AB4853" s="178">
        <f t="shared" si="225"/>
        <v>0</v>
      </c>
      <c r="AH4853" s="177">
        <f t="shared" si="226"/>
        <v>0</v>
      </c>
    </row>
    <row r="4854" spans="23:34">
      <c r="W4854" s="177">
        <f t="shared" si="227"/>
        <v>0</v>
      </c>
      <c r="AB4854" s="178">
        <f t="shared" si="225"/>
        <v>0</v>
      </c>
      <c r="AH4854" s="177">
        <f t="shared" si="226"/>
        <v>0</v>
      </c>
    </row>
    <row r="4855" spans="23:34">
      <c r="W4855" s="177">
        <f t="shared" si="227"/>
        <v>0</v>
      </c>
      <c r="AB4855" s="178">
        <f t="shared" si="225"/>
        <v>0</v>
      </c>
      <c r="AH4855" s="177">
        <f t="shared" si="226"/>
        <v>0</v>
      </c>
    </row>
    <row r="4856" spans="23:34">
      <c r="W4856" s="177">
        <f t="shared" si="227"/>
        <v>0</v>
      </c>
      <c r="AB4856" s="178">
        <f t="shared" si="225"/>
        <v>0</v>
      </c>
      <c r="AH4856" s="177">
        <f t="shared" si="226"/>
        <v>0</v>
      </c>
    </row>
    <row r="4857" spans="23:34">
      <c r="W4857" s="177">
        <f t="shared" si="227"/>
        <v>0</v>
      </c>
      <c r="AB4857" s="178">
        <f t="shared" si="225"/>
        <v>0</v>
      </c>
      <c r="AH4857" s="177">
        <f t="shared" si="226"/>
        <v>0</v>
      </c>
    </row>
    <row r="4858" spans="23:34">
      <c r="W4858" s="177">
        <f t="shared" si="227"/>
        <v>0</v>
      </c>
      <c r="AB4858" s="178">
        <f t="shared" si="225"/>
        <v>0</v>
      </c>
      <c r="AH4858" s="177">
        <f t="shared" si="226"/>
        <v>0</v>
      </c>
    </row>
    <row r="4859" spans="23:34">
      <c r="W4859" s="177">
        <f t="shared" si="227"/>
        <v>0</v>
      </c>
      <c r="AB4859" s="178">
        <f t="shared" ref="AB4859:AB4922" si="228">SUM(Z4859:AA4859)</f>
        <v>0</v>
      </c>
      <c r="AH4859" s="177">
        <f t="shared" si="226"/>
        <v>0</v>
      </c>
    </row>
    <row r="4860" spans="23:34">
      <c r="W4860" s="177">
        <f t="shared" si="227"/>
        <v>0</v>
      </c>
      <c r="AB4860" s="178">
        <f t="shared" si="228"/>
        <v>0</v>
      </c>
      <c r="AH4860" s="177">
        <f t="shared" si="226"/>
        <v>0</v>
      </c>
    </row>
    <row r="4861" spans="23:34">
      <c r="W4861" s="177">
        <f t="shared" si="227"/>
        <v>0</v>
      </c>
      <c r="AB4861" s="178">
        <f t="shared" si="228"/>
        <v>0</v>
      </c>
      <c r="AH4861" s="177">
        <f t="shared" si="226"/>
        <v>0</v>
      </c>
    </row>
    <row r="4862" spans="23:34">
      <c r="W4862" s="177">
        <f t="shared" si="227"/>
        <v>0</v>
      </c>
      <c r="AB4862" s="178">
        <f t="shared" si="228"/>
        <v>0</v>
      </c>
      <c r="AH4862" s="177">
        <f t="shared" si="226"/>
        <v>0</v>
      </c>
    </row>
    <row r="4863" spans="23:34">
      <c r="W4863" s="177">
        <f t="shared" si="227"/>
        <v>0</v>
      </c>
      <c r="AB4863" s="178">
        <f t="shared" si="228"/>
        <v>0</v>
      </c>
      <c r="AH4863" s="177">
        <f t="shared" si="226"/>
        <v>0</v>
      </c>
    </row>
    <row r="4864" spans="23:34">
      <c r="W4864" s="177">
        <f t="shared" si="227"/>
        <v>0</v>
      </c>
      <c r="AB4864" s="178">
        <f t="shared" si="228"/>
        <v>0</v>
      </c>
      <c r="AH4864" s="177">
        <f t="shared" si="226"/>
        <v>0</v>
      </c>
    </row>
    <row r="4865" spans="23:34">
      <c r="W4865" s="177">
        <f t="shared" si="227"/>
        <v>0</v>
      </c>
      <c r="AB4865" s="178">
        <f t="shared" si="228"/>
        <v>0</v>
      </c>
      <c r="AH4865" s="177">
        <f t="shared" si="226"/>
        <v>0</v>
      </c>
    </row>
    <row r="4866" spans="23:34">
      <c r="W4866" s="177">
        <f t="shared" si="227"/>
        <v>0</v>
      </c>
      <c r="AB4866" s="178">
        <f t="shared" si="228"/>
        <v>0</v>
      </c>
      <c r="AH4866" s="177">
        <f t="shared" si="226"/>
        <v>0</v>
      </c>
    </row>
    <row r="4867" spans="23:34">
      <c r="W4867" s="177">
        <f t="shared" si="227"/>
        <v>0</v>
      </c>
      <c r="AB4867" s="178">
        <f t="shared" si="228"/>
        <v>0</v>
      </c>
      <c r="AH4867" s="177">
        <f t="shared" si="226"/>
        <v>0</v>
      </c>
    </row>
    <row r="4868" spans="23:34">
      <c r="W4868" s="177">
        <f t="shared" si="227"/>
        <v>0</v>
      </c>
      <c r="AB4868" s="178">
        <f t="shared" si="228"/>
        <v>0</v>
      </c>
      <c r="AH4868" s="177">
        <f t="shared" si="226"/>
        <v>0</v>
      </c>
    </row>
    <row r="4869" spans="23:34">
      <c r="W4869" s="177">
        <f t="shared" si="227"/>
        <v>0</v>
      </c>
      <c r="AB4869" s="178">
        <f t="shared" si="228"/>
        <v>0</v>
      </c>
      <c r="AH4869" s="177">
        <f t="shared" si="226"/>
        <v>0</v>
      </c>
    </row>
    <row r="4870" spans="23:34">
      <c r="W4870" s="177">
        <f t="shared" si="227"/>
        <v>0</v>
      </c>
      <c r="AB4870" s="178">
        <f t="shared" si="228"/>
        <v>0</v>
      </c>
      <c r="AH4870" s="177">
        <f t="shared" si="226"/>
        <v>0</v>
      </c>
    </row>
    <row r="4871" spans="23:34">
      <c r="W4871" s="177">
        <f t="shared" si="227"/>
        <v>0</v>
      </c>
      <c r="AB4871" s="178">
        <f t="shared" si="228"/>
        <v>0</v>
      </c>
      <c r="AH4871" s="177">
        <f t="shared" si="226"/>
        <v>0</v>
      </c>
    </row>
    <row r="4872" spans="23:34">
      <c r="W4872" s="177">
        <f t="shared" si="227"/>
        <v>0</v>
      </c>
      <c r="AB4872" s="178">
        <f t="shared" si="228"/>
        <v>0</v>
      </c>
      <c r="AH4872" s="177">
        <f t="shared" si="226"/>
        <v>0</v>
      </c>
    </row>
    <row r="4873" spans="23:34">
      <c r="W4873" s="177">
        <f t="shared" si="227"/>
        <v>0</v>
      </c>
      <c r="AB4873" s="178">
        <f t="shared" si="228"/>
        <v>0</v>
      </c>
      <c r="AH4873" s="177">
        <f t="shared" si="226"/>
        <v>0</v>
      </c>
    </row>
    <row r="4874" spans="23:34">
      <c r="W4874" s="177">
        <f t="shared" si="227"/>
        <v>0</v>
      </c>
      <c r="AB4874" s="178">
        <f t="shared" si="228"/>
        <v>0</v>
      </c>
      <c r="AH4874" s="177">
        <f t="shared" si="226"/>
        <v>0</v>
      </c>
    </row>
    <row r="4875" spans="23:34">
      <c r="W4875" s="177">
        <f t="shared" si="227"/>
        <v>0</v>
      </c>
      <c r="AB4875" s="178">
        <f t="shared" si="228"/>
        <v>0</v>
      </c>
      <c r="AH4875" s="177">
        <f t="shared" si="226"/>
        <v>0</v>
      </c>
    </row>
    <row r="4876" spans="23:34">
      <c r="W4876" s="177">
        <f t="shared" si="227"/>
        <v>0</v>
      </c>
      <c r="AB4876" s="178">
        <f t="shared" si="228"/>
        <v>0</v>
      </c>
      <c r="AH4876" s="177">
        <f t="shared" si="226"/>
        <v>0</v>
      </c>
    </row>
    <row r="4877" spans="23:34">
      <c r="W4877" s="177">
        <f t="shared" si="227"/>
        <v>0</v>
      </c>
      <c r="AB4877" s="178">
        <f t="shared" si="228"/>
        <v>0</v>
      </c>
      <c r="AH4877" s="177">
        <f t="shared" si="226"/>
        <v>0</v>
      </c>
    </row>
    <row r="4878" spans="23:34">
      <c r="W4878" s="177">
        <f t="shared" si="227"/>
        <v>0</v>
      </c>
      <c r="AB4878" s="178">
        <f t="shared" si="228"/>
        <v>0</v>
      </c>
      <c r="AH4878" s="177">
        <f t="shared" si="226"/>
        <v>0</v>
      </c>
    </row>
    <row r="4879" spans="23:34">
      <c r="W4879" s="177">
        <f t="shared" si="227"/>
        <v>0</v>
      </c>
      <c r="AB4879" s="178">
        <f t="shared" si="228"/>
        <v>0</v>
      </c>
      <c r="AH4879" s="177">
        <f t="shared" si="226"/>
        <v>0</v>
      </c>
    </row>
    <row r="4880" spans="23:34">
      <c r="W4880" s="177">
        <f t="shared" si="227"/>
        <v>0</v>
      </c>
      <c r="AB4880" s="178">
        <f t="shared" si="228"/>
        <v>0</v>
      </c>
      <c r="AH4880" s="177">
        <f t="shared" si="226"/>
        <v>0</v>
      </c>
    </row>
    <row r="4881" spans="23:34">
      <c r="W4881" s="177">
        <f t="shared" si="227"/>
        <v>0</v>
      </c>
      <c r="AB4881" s="178">
        <f t="shared" si="228"/>
        <v>0</v>
      </c>
      <c r="AH4881" s="177">
        <f t="shared" si="226"/>
        <v>0</v>
      </c>
    </row>
    <row r="4882" spans="23:34">
      <c r="W4882" s="177">
        <f t="shared" si="227"/>
        <v>0</v>
      </c>
      <c r="AB4882" s="178">
        <f t="shared" si="228"/>
        <v>0</v>
      </c>
      <c r="AH4882" s="177">
        <f t="shared" si="226"/>
        <v>0</v>
      </c>
    </row>
    <row r="4883" spans="23:34">
      <c r="W4883" s="177">
        <f t="shared" si="227"/>
        <v>0</v>
      </c>
      <c r="AB4883" s="178">
        <f t="shared" si="228"/>
        <v>0</v>
      </c>
      <c r="AH4883" s="177">
        <f t="shared" si="226"/>
        <v>0</v>
      </c>
    </row>
    <row r="4884" spans="23:34">
      <c r="W4884" s="177">
        <f t="shared" si="227"/>
        <v>0</v>
      </c>
      <c r="AB4884" s="178">
        <f t="shared" si="228"/>
        <v>0</v>
      </c>
      <c r="AH4884" s="177">
        <f t="shared" si="226"/>
        <v>0</v>
      </c>
    </row>
    <row r="4885" spans="23:34">
      <c r="W4885" s="177">
        <f t="shared" si="227"/>
        <v>0</v>
      </c>
      <c r="AB4885" s="178">
        <f t="shared" si="228"/>
        <v>0</v>
      </c>
      <c r="AH4885" s="177">
        <f t="shared" si="226"/>
        <v>0</v>
      </c>
    </row>
    <row r="4886" spans="23:34">
      <c r="W4886" s="177">
        <f t="shared" si="227"/>
        <v>0</v>
      </c>
      <c r="AB4886" s="178">
        <f t="shared" si="228"/>
        <v>0</v>
      </c>
      <c r="AH4886" s="177">
        <f t="shared" si="226"/>
        <v>0</v>
      </c>
    </row>
    <row r="4887" spans="23:34">
      <c r="W4887" s="177">
        <f t="shared" si="227"/>
        <v>0</v>
      </c>
      <c r="AB4887" s="178">
        <f t="shared" si="228"/>
        <v>0</v>
      </c>
      <c r="AH4887" s="177">
        <f t="shared" si="226"/>
        <v>0</v>
      </c>
    </row>
    <row r="4888" spans="23:34">
      <c r="W4888" s="177">
        <f t="shared" si="227"/>
        <v>0</v>
      </c>
      <c r="AB4888" s="178">
        <f t="shared" si="228"/>
        <v>0</v>
      </c>
      <c r="AH4888" s="177">
        <f t="shared" si="226"/>
        <v>0</v>
      </c>
    </row>
    <row r="4889" spans="23:34">
      <c r="W4889" s="177">
        <f t="shared" si="227"/>
        <v>0</v>
      </c>
      <c r="AB4889" s="178">
        <f t="shared" si="228"/>
        <v>0</v>
      </c>
      <c r="AH4889" s="177">
        <f t="shared" si="226"/>
        <v>0</v>
      </c>
    </row>
    <row r="4890" spans="23:34">
      <c r="W4890" s="177">
        <f t="shared" si="227"/>
        <v>0</v>
      </c>
      <c r="AB4890" s="178">
        <f t="shared" si="228"/>
        <v>0</v>
      </c>
      <c r="AH4890" s="177">
        <f t="shared" si="226"/>
        <v>0</v>
      </c>
    </row>
    <row r="4891" spans="23:34">
      <c r="W4891" s="177">
        <f t="shared" si="227"/>
        <v>0</v>
      </c>
      <c r="AB4891" s="178">
        <f t="shared" si="228"/>
        <v>0</v>
      </c>
      <c r="AH4891" s="177">
        <f t="shared" si="226"/>
        <v>0</v>
      </c>
    </row>
    <row r="4892" spans="23:34">
      <c r="W4892" s="177">
        <f t="shared" si="227"/>
        <v>0</v>
      </c>
      <c r="AB4892" s="178">
        <f t="shared" si="228"/>
        <v>0</v>
      </c>
      <c r="AH4892" s="177">
        <f t="shared" si="226"/>
        <v>0</v>
      </c>
    </row>
    <row r="4893" spans="23:34">
      <c r="W4893" s="177">
        <f t="shared" si="227"/>
        <v>0</v>
      </c>
      <c r="AB4893" s="178">
        <f t="shared" si="228"/>
        <v>0</v>
      </c>
      <c r="AH4893" s="177">
        <f t="shared" si="226"/>
        <v>0</v>
      </c>
    </row>
    <row r="4894" spans="23:34">
      <c r="W4894" s="177">
        <f t="shared" si="227"/>
        <v>0</v>
      </c>
      <c r="AB4894" s="178">
        <f t="shared" si="228"/>
        <v>0</v>
      </c>
      <c r="AH4894" s="177">
        <f t="shared" si="226"/>
        <v>0</v>
      </c>
    </row>
    <row r="4895" spans="23:34">
      <c r="W4895" s="177">
        <f t="shared" si="227"/>
        <v>0</v>
      </c>
      <c r="AB4895" s="178">
        <f t="shared" si="228"/>
        <v>0</v>
      </c>
      <c r="AH4895" s="177">
        <f t="shared" si="226"/>
        <v>0</v>
      </c>
    </row>
    <row r="4896" spans="23:34">
      <c r="W4896" s="177">
        <f t="shared" si="227"/>
        <v>0</v>
      </c>
      <c r="AB4896" s="178">
        <f t="shared" si="228"/>
        <v>0</v>
      </c>
      <c r="AH4896" s="177">
        <f t="shared" si="226"/>
        <v>0</v>
      </c>
    </row>
    <row r="4897" spans="23:34">
      <c r="W4897" s="177">
        <f t="shared" si="227"/>
        <v>0</v>
      </c>
      <c r="AB4897" s="178">
        <f t="shared" si="228"/>
        <v>0</v>
      </c>
      <c r="AH4897" s="177">
        <f t="shared" si="226"/>
        <v>0</v>
      </c>
    </row>
    <row r="4898" spans="23:34">
      <c r="W4898" s="177">
        <f t="shared" si="227"/>
        <v>0</v>
      </c>
      <c r="AB4898" s="178">
        <f t="shared" si="228"/>
        <v>0</v>
      </c>
      <c r="AH4898" s="177">
        <f t="shared" si="226"/>
        <v>0</v>
      </c>
    </row>
    <row r="4899" spans="23:34">
      <c r="W4899" s="177">
        <f t="shared" si="227"/>
        <v>0</v>
      </c>
      <c r="AB4899" s="178">
        <f t="shared" si="228"/>
        <v>0</v>
      </c>
      <c r="AH4899" s="177">
        <f t="shared" si="226"/>
        <v>0</v>
      </c>
    </row>
    <row r="4900" spans="23:34">
      <c r="W4900" s="177">
        <f t="shared" si="227"/>
        <v>0</v>
      </c>
      <c r="AB4900" s="178">
        <f t="shared" si="228"/>
        <v>0</v>
      </c>
      <c r="AH4900" s="177">
        <f t="shared" si="226"/>
        <v>0</v>
      </c>
    </row>
    <row r="4901" spans="23:34">
      <c r="W4901" s="177">
        <f t="shared" si="227"/>
        <v>0</v>
      </c>
      <c r="AB4901" s="178">
        <f t="shared" si="228"/>
        <v>0</v>
      </c>
      <c r="AH4901" s="177">
        <f t="shared" si="226"/>
        <v>0</v>
      </c>
    </row>
    <row r="4902" spans="23:34">
      <c r="W4902" s="177">
        <f t="shared" si="227"/>
        <v>0</v>
      </c>
      <c r="AB4902" s="178">
        <f t="shared" si="228"/>
        <v>0</v>
      </c>
      <c r="AH4902" s="177">
        <f t="shared" si="226"/>
        <v>0</v>
      </c>
    </row>
    <row r="4903" spans="23:34">
      <c r="W4903" s="177">
        <f t="shared" si="227"/>
        <v>0</v>
      </c>
      <c r="AB4903" s="178">
        <f t="shared" si="228"/>
        <v>0</v>
      </c>
      <c r="AH4903" s="177">
        <f t="shared" si="226"/>
        <v>0</v>
      </c>
    </row>
    <row r="4904" spans="23:34">
      <c r="W4904" s="177">
        <f t="shared" si="227"/>
        <v>0</v>
      </c>
      <c r="AB4904" s="178">
        <f t="shared" si="228"/>
        <v>0</v>
      </c>
      <c r="AH4904" s="177">
        <f t="shared" si="226"/>
        <v>0</v>
      </c>
    </row>
    <row r="4905" spans="23:34">
      <c r="W4905" s="177">
        <f t="shared" si="227"/>
        <v>0</v>
      </c>
      <c r="AB4905" s="178">
        <f t="shared" si="228"/>
        <v>0</v>
      </c>
      <c r="AH4905" s="177">
        <f t="shared" si="226"/>
        <v>0</v>
      </c>
    </row>
    <row r="4906" spans="23:34">
      <c r="W4906" s="177">
        <f t="shared" si="227"/>
        <v>0</v>
      </c>
      <c r="AB4906" s="178">
        <f t="shared" si="228"/>
        <v>0</v>
      </c>
      <c r="AH4906" s="177">
        <f t="shared" si="226"/>
        <v>0</v>
      </c>
    </row>
    <row r="4907" spans="23:34">
      <c r="W4907" s="177">
        <f t="shared" si="227"/>
        <v>0</v>
      </c>
      <c r="AB4907" s="178">
        <f t="shared" si="228"/>
        <v>0</v>
      </c>
      <c r="AH4907" s="177">
        <f t="shared" si="226"/>
        <v>0</v>
      </c>
    </row>
    <row r="4908" spans="23:34">
      <c r="W4908" s="177">
        <f t="shared" si="227"/>
        <v>0</v>
      </c>
      <c r="AB4908" s="178">
        <f t="shared" si="228"/>
        <v>0</v>
      </c>
      <c r="AH4908" s="177">
        <f t="shared" si="226"/>
        <v>0</v>
      </c>
    </row>
    <row r="4909" spans="23:34">
      <c r="W4909" s="177">
        <f t="shared" si="227"/>
        <v>0</v>
      </c>
      <c r="AB4909" s="178">
        <f t="shared" si="228"/>
        <v>0</v>
      </c>
      <c r="AH4909" s="177">
        <f t="shared" si="226"/>
        <v>0</v>
      </c>
    </row>
    <row r="4910" spans="23:34">
      <c r="W4910" s="177">
        <f t="shared" si="227"/>
        <v>0</v>
      </c>
      <c r="AB4910" s="178">
        <f t="shared" si="228"/>
        <v>0</v>
      </c>
      <c r="AH4910" s="177">
        <f t="shared" si="226"/>
        <v>0</v>
      </c>
    </row>
    <row r="4911" spans="23:34">
      <c r="W4911" s="177">
        <f t="shared" si="227"/>
        <v>0</v>
      </c>
      <c r="AB4911" s="178">
        <f t="shared" si="228"/>
        <v>0</v>
      </c>
      <c r="AH4911" s="177">
        <f t="shared" si="226"/>
        <v>0</v>
      </c>
    </row>
    <row r="4912" spans="23:34">
      <c r="W4912" s="177">
        <f t="shared" si="227"/>
        <v>0</v>
      </c>
      <c r="AB4912" s="178">
        <f t="shared" si="228"/>
        <v>0</v>
      </c>
      <c r="AH4912" s="177">
        <f t="shared" ref="AH4912:AH4975" si="229">SUM(AF4912:AG4912)</f>
        <v>0</v>
      </c>
    </row>
    <row r="4913" spans="23:34">
      <c r="W4913" s="177">
        <f t="shared" si="227"/>
        <v>0</v>
      </c>
      <c r="AB4913" s="178">
        <f t="shared" si="228"/>
        <v>0</v>
      </c>
      <c r="AH4913" s="177">
        <f t="shared" si="229"/>
        <v>0</v>
      </c>
    </row>
    <row r="4914" spans="23:34">
      <c r="W4914" s="177">
        <f t="shared" si="227"/>
        <v>0</v>
      </c>
      <c r="AB4914" s="178">
        <f t="shared" si="228"/>
        <v>0</v>
      </c>
      <c r="AH4914" s="177">
        <f t="shared" si="229"/>
        <v>0</v>
      </c>
    </row>
    <row r="4915" spans="23:34">
      <c r="W4915" s="177">
        <f t="shared" ref="W4915:W4978" si="230">SUM(Q4915:T4915)</f>
        <v>0</v>
      </c>
      <c r="AB4915" s="178">
        <f t="shared" si="228"/>
        <v>0</v>
      </c>
      <c r="AH4915" s="177">
        <f t="shared" si="229"/>
        <v>0</v>
      </c>
    </row>
    <row r="4916" spans="23:34">
      <c r="W4916" s="177">
        <f t="shared" si="230"/>
        <v>0</v>
      </c>
      <c r="AB4916" s="178">
        <f t="shared" si="228"/>
        <v>0</v>
      </c>
      <c r="AH4916" s="177">
        <f t="shared" si="229"/>
        <v>0</v>
      </c>
    </row>
    <row r="4917" spans="23:34">
      <c r="W4917" s="177">
        <f t="shared" si="230"/>
        <v>0</v>
      </c>
      <c r="AB4917" s="178">
        <f t="shared" si="228"/>
        <v>0</v>
      </c>
      <c r="AH4917" s="177">
        <f t="shared" si="229"/>
        <v>0</v>
      </c>
    </row>
    <row r="4918" spans="23:34">
      <c r="W4918" s="177">
        <f t="shared" si="230"/>
        <v>0</v>
      </c>
      <c r="AB4918" s="178">
        <f t="shared" si="228"/>
        <v>0</v>
      </c>
      <c r="AH4918" s="177">
        <f t="shared" si="229"/>
        <v>0</v>
      </c>
    </row>
    <row r="4919" spans="23:34">
      <c r="W4919" s="177">
        <f t="shared" si="230"/>
        <v>0</v>
      </c>
      <c r="AB4919" s="178">
        <f t="shared" si="228"/>
        <v>0</v>
      </c>
      <c r="AH4919" s="177">
        <f t="shared" si="229"/>
        <v>0</v>
      </c>
    </row>
    <row r="4920" spans="23:34">
      <c r="W4920" s="177">
        <f t="shared" si="230"/>
        <v>0</v>
      </c>
      <c r="AB4920" s="178">
        <f t="shared" si="228"/>
        <v>0</v>
      </c>
      <c r="AH4920" s="177">
        <f t="shared" si="229"/>
        <v>0</v>
      </c>
    </row>
    <row r="4921" spans="23:34">
      <c r="W4921" s="177">
        <f t="shared" si="230"/>
        <v>0</v>
      </c>
      <c r="AB4921" s="178">
        <f t="shared" si="228"/>
        <v>0</v>
      </c>
      <c r="AH4921" s="177">
        <f t="shared" si="229"/>
        <v>0</v>
      </c>
    </row>
    <row r="4922" spans="23:34">
      <c r="W4922" s="177">
        <f t="shared" si="230"/>
        <v>0</v>
      </c>
      <c r="AB4922" s="178">
        <f t="shared" si="228"/>
        <v>0</v>
      </c>
      <c r="AH4922" s="177">
        <f t="shared" si="229"/>
        <v>0</v>
      </c>
    </row>
    <row r="4923" spans="23:34">
      <c r="W4923" s="177">
        <f t="shared" si="230"/>
        <v>0</v>
      </c>
      <c r="AB4923" s="178">
        <f t="shared" ref="AB4923:AB4986" si="231">SUM(Z4923:AA4923)</f>
        <v>0</v>
      </c>
      <c r="AH4923" s="177">
        <f t="shared" si="229"/>
        <v>0</v>
      </c>
    </row>
    <row r="4924" spans="23:34">
      <c r="W4924" s="177">
        <f t="shared" si="230"/>
        <v>0</v>
      </c>
      <c r="AB4924" s="178">
        <f t="shared" si="231"/>
        <v>0</v>
      </c>
      <c r="AH4924" s="177">
        <f t="shared" si="229"/>
        <v>0</v>
      </c>
    </row>
    <row r="4925" spans="23:34">
      <c r="W4925" s="177">
        <f t="shared" si="230"/>
        <v>0</v>
      </c>
      <c r="AB4925" s="178">
        <f t="shared" si="231"/>
        <v>0</v>
      </c>
      <c r="AH4925" s="177">
        <f t="shared" si="229"/>
        <v>0</v>
      </c>
    </row>
    <row r="4926" spans="23:34">
      <c r="W4926" s="177">
        <f t="shared" si="230"/>
        <v>0</v>
      </c>
      <c r="AB4926" s="178">
        <f t="shared" si="231"/>
        <v>0</v>
      </c>
      <c r="AH4926" s="177">
        <f t="shared" si="229"/>
        <v>0</v>
      </c>
    </row>
    <row r="4927" spans="23:34">
      <c r="W4927" s="177">
        <f t="shared" si="230"/>
        <v>0</v>
      </c>
      <c r="AB4927" s="178">
        <f t="shared" si="231"/>
        <v>0</v>
      </c>
      <c r="AH4927" s="177">
        <f t="shared" si="229"/>
        <v>0</v>
      </c>
    </row>
    <row r="4928" spans="23:34">
      <c r="W4928" s="177">
        <f t="shared" si="230"/>
        <v>0</v>
      </c>
      <c r="AB4928" s="178">
        <f t="shared" si="231"/>
        <v>0</v>
      </c>
      <c r="AH4928" s="177">
        <f t="shared" si="229"/>
        <v>0</v>
      </c>
    </row>
    <row r="4929" spans="23:34">
      <c r="W4929" s="177">
        <f t="shared" si="230"/>
        <v>0</v>
      </c>
      <c r="AB4929" s="178">
        <f t="shared" si="231"/>
        <v>0</v>
      </c>
      <c r="AH4929" s="177">
        <f t="shared" si="229"/>
        <v>0</v>
      </c>
    </row>
    <row r="4930" spans="23:34">
      <c r="W4930" s="177">
        <f t="shared" si="230"/>
        <v>0</v>
      </c>
      <c r="AB4930" s="178">
        <f t="shared" si="231"/>
        <v>0</v>
      </c>
      <c r="AH4930" s="177">
        <f t="shared" si="229"/>
        <v>0</v>
      </c>
    </row>
    <row r="4931" spans="23:34">
      <c r="W4931" s="177">
        <f t="shared" si="230"/>
        <v>0</v>
      </c>
      <c r="AB4931" s="178">
        <f t="shared" si="231"/>
        <v>0</v>
      </c>
      <c r="AH4931" s="177">
        <f t="shared" si="229"/>
        <v>0</v>
      </c>
    </row>
    <row r="4932" spans="23:34">
      <c r="W4932" s="177">
        <f t="shared" si="230"/>
        <v>0</v>
      </c>
      <c r="AB4932" s="178">
        <f t="shared" si="231"/>
        <v>0</v>
      </c>
      <c r="AH4932" s="177">
        <f t="shared" si="229"/>
        <v>0</v>
      </c>
    </row>
    <row r="4933" spans="23:34">
      <c r="W4933" s="177">
        <f t="shared" si="230"/>
        <v>0</v>
      </c>
      <c r="AB4933" s="178">
        <f t="shared" si="231"/>
        <v>0</v>
      </c>
      <c r="AH4933" s="177">
        <f t="shared" si="229"/>
        <v>0</v>
      </c>
    </row>
    <row r="4934" spans="23:34">
      <c r="W4934" s="177">
        <f t="shared" si="230"/>
        <v>0</v>
      </c>
      <c r="AB4934" s="178">
        <f t="shared" si="231"/>
        <v>0</v>
      </c>
      <c r="AH4934" s="177">
        <f t="shared" si="229"/>
        <v>0</v>
      </c>
    </row>
    <row r="4935" spans="23:34">
      <c r="W4935" s="177">
        <f t="shared" si="230"/>
        <v>0</v>
      </c>
      <c r="AB4935" s="178">
        <f t="shared" si="231"/>
        <v>0</v>
      </c>
      <c r="AH4935" s="177">
        <f t="shared" si="229"/>
        <v>0</v>
      </c>
    </row>
    <row r="4936" spans="23:34">
      <c r="W4936" s="177">
        <f t="shared" si="230"/>
        <v>0</v>
      </c>
      <c r="AB4936" s="178">
        <f t="shared" si="231"/>
        <v>0</v>
      </c>
      <c r="AH4936" s="177">
        <f t="shared" si="229"/>
        <v>0</v>
      </c>
    </row>
    <row r="4937" spans="23:34">
      <c r="W4937" s="177">
        <f t="shared" si="230"/>
        <v>0</v>
      </c>
      <c r="AB4937" s="178">
        <f t="shared" si="231"/>
        <v>0</v>
      </c>
      <c r="AH4937" s="177">
        <f t="shared" si="229"/>
        <v>0</v>
      </c>
    </row>
    <row r="4938" spans="23:34">
      <c r="W4938" s="177">
        <f t="shared" si="230"/>
        <v>0</v>
      </c>
      <c r="AB4938" s="178">
        <f t="shared" si="231"/>
        <v>0</v>
      </c>
      <c r="AH4938" s="177">
        <f t="shared" si="229"/>
        <v>0</v>
      </c>
    </row>
    <row r="4939" spans="23:34">
      <c r="W4939" s="177">
        <f t="shared" si="230"/>
        <v>0</v>
      </c>
      <c r="AB4939" s="178">
        <f t="shared" si="231"/>
        <v>0</v>
      </c>
      <c r="AH4939" s="177">
        <f t="shared" si="229"/>
        <v>0</v>
      </c>
    </row>
    <row r="4940" spans="23:34">
      <c r="W4940" s="177">
        <f t="shared" si="230"/>
        <v>0</v>
      </c>
      <c r="AB4940" s="178">
        <f t="shared" si="231"/>
        <v>0</v>
      </c>
      <c r="AH4940" s="177">
        <f t="shared" si="229"/>
        <v>0</v>
      </c>
    </row>
    <row r="4941" spans="23:34">
      <c r="W4941" s="177">
        <f t="shared" si="230"/>
        <v>0</v>
      </c>
      <c r="AB4941" s="178">
        <f t="shared" si="231"/>
        <v>0</v>
      </c>
      <c r="AH4941" s="177">
        <f t="shared" si="229"/>
        <v>0</v>
      </c>
    </row>
    <row r="4942" spans="23:34">
      <c r="W4942" s="177">
        <f t="shared" si="230"/>
        <v>0</v>
      </c>
      <c r="AB4942" s="178">
        <f t="shared" si="231"/>
        <v>0</v>
      </c>
      <c r="AH4942" s="177">
        <f t="shared" si="229"/>
        <v>0</v>
      </c>
    </row>
    <row r="4943" spans="23:34">
      <c r="W4943" s="177">
        <f t="shared" si="230"/>
        <v>0</v>
      </c>
      <c r="AB4943" s="178">
        <f t="shared" si="231"/>
        <v>0</v>
      </c>
      <c r="AH4943" s="177">
        <f t="shared" si="229"/>
        <v>0</v>
      </c>
    </row>
    <row r="4944" spans="23:34">
      <c r="W4944" s="177">
        <f t="shared" si="230"/>
        <v>0</v>
      </c>
      <c r="AB4944" s="178">
        <f t="shared" si="231"/>
        <v>0</v>
      </c>
      <c r="AH4944" s="177">
        <f t="shared" si="229"/>
        <v>0</v>
      </c>
    </row>
    <row r="4945" spans="23:34">
      <c r="W4945" s="177">
        <f t="shared" si="230"/>
        <v>0</v>
      </c>
      <c r="AB4945" s="178">
        <f t="shared" si="231"/>
        <v>0</v>
      </c>
      <c r="AH4945" s="177">
        <f t="shared" si="229"/>
        <v>0</v>
      </c>
    </row>
    <row r="4946" spans="23:34">
      <c r="W4946" s="177">
        <f t="shared" si="230"/>
        <v>0</v>
      </c>
      <c r="AB4946" s="178">
        <f t="shared" si="231"/>
        <v>0</v>
      </c>
      <c r="AH4946" s="177">
        <f t="shared" si="229"/>
        <v>0</v>
      </c>
    </row>
    <row r="4947" spans="23:34">
      <c r="W4947" s="177">
        <f t="shared" si="230"/>
        <v>0</v>
      </c>
      <c r="AB4947" s="178">
        <f t="shared" si="231"/>
        <v>0</v>
      </c>
      <c r="AH4947" s="177">
        <f t="shared" si="229"/>
        <v>0</v>
      </c>
    </row>
    <row r="4948" spans="23:34">
      <c r="W4948" s="177">
        <f t="shared" si="230"/>
        <v>0</v>
      </c>
      <c r="AB4948" s="178">
        <f t="shared" si="231"/>
        <v>0</v>
      </c>
      <c r="AH4948" s="177">
        <f t="shared" si="229"/>
        <v>0</v>
      </c>
    </row>
    <row r="4949" spans="23:34">
      <c r="W4949" s="177">
        <f t="shared" si="230"/>
        <v>0</v>
      </c>
      <c r="AB4949" s="178">
        <f t="shared" si="231"/>
        <v>0</v>
      </c>
      <c r="AH4949" s="177">
        <f t="shared" si="229"/>
        <v>0</v>
      </c>
    </row>
    <row r="4950" spans="23:34">
      <c r="W4950" s="177">
        <f t="shared" si="230"/>
        <v>0</v>
      </c>
      <c r="AB4950" s="178">
        <f t="shared" si="231"/>
        <v>0</v>
      </c>
      <c r="AH4950" s="177">
        <f t="shared" si="229"/>
        <v>0</v>
      </c>
    </row>
    <row r="4951" spans="23:34">
      <c r="W4951" s="177">
        <f t="shared" si="230"/>
        <v>0</v>
      </c>
      <c r="AB4951" s="178">
        <f t="shared" si="231"/>
        <v>0</v>
      </c>
      <c r="AH4951" s="177">
        <f t="shared" si="229"/>
        <v>0</v>
      </c>
    </row>
    <row r="4952" spans="23:34">
      <c r="W4952" s="177">
        <f t="shared" si="230"/>
        <v>0</v>
      </c>
      <c r="AB4952" s="178">
        <f t="shared" si="231"/>
        <v>0</v>
      </c>
      <c r="AH4952" s="177">
        <f t="shared" si="229"/>
        <v>0</v>
      </c>
    </row>
    <row r="4953" spans="23:34">
      <c r="W4953" s="177">
        <f t="shared" si="230"/>
        <v>0</v>
      </c>
      <c r="AB4953" s="178">
        <f t="shared" si="231"/>
        <v>0</v>
      </c>
      <c r="AH4953" s="177">
        <f t="shared" si="229"/>
        <v>0</v>
      </c>
    </row>
    <row r="4954" spans="23:34">
      <c r="W4954" s="177">
        <f t="shared" si="230"/>
        <v>0</v>
      </c>
      <c r="AB4954" s="178">
        <f t="shared" si="231"/>
        <v>0</v>
      </c>
      <c r="AH4954" s="177">
        <f t="shared" si="229"/>
        <v>0</v>
      </c>
    </row>
    <row r="4955" spans="23:34">
      <c r="W4955" s="177">
        <f t="shared" si="230"/>
        <v>0</v>
      </c>
      <c r="AB4955" s="178">
        <f t="shared" si="231"/>
        <v>0</v>
      </c>
      <c r="AH4955" s="177">
        <f t="shared" si="229"/>
        <v>0</v>
      </c>
    </row>
    <row r="4956" spans="23:34">
      <c r="W4956" s="177">
        <f t="shared" si="230"/>
        <v>0</v>
      </c>
      <c r="AB4956" s="178">
        <f t="shared" si="231"/>
        <v>0</v>
      </c>
      <c r="AH4956" s="177">
        <f t="shared" si="229"/>
        <v>0</v>
      </c>
    </row>
    <row r="4957" spans="23:34">
      <c r="W4957" s="177">
        <f t="shared" si="230"/>
        <v>0</v>
      </c>
      <c r="AB4957" s="178">
        <f t="shared" si="231"/>
        <v>0</v>
      </c>
      <c r="AH4957" s="177">
        <f t="shared" si="229"/>
        <v>0</v>
      </c>
    </row>
    <row r="4958" spans="23:34">
      <c r="W4958" s="177">
        <f t="shared" si="230"/>
        <v>0</v>
      </c>
      <c r="AB4958" s="178">
        <f t="shared" si="231"/>
        <v>0</v>
      </c>
      <c r="AH4958" s="177">
        <f t="shared" si="229"/>
        <v>0</v>
      </c>
    </row>
    <row r="4959" spans="23:34">
      <c r="W4959" s="177">
        <f t="shared" si="230"/>
        <v>0</v>
      </c>
      <c r="AB4959" s="178">
        <f t="shared" si="231"/>
        <v>0</v>
      </c>
      <c r="AH4959" s="177">
        <f t="shared" si="229"/>
        <v>0</v>
      </c>
    </row>
    <row r="4960" spans="23:34">
      <c r="W4960" s="177">
        <f t="shared" si="230"/>
        <v>0</v>
      </c>
      <c r="AB4960" s="178">
        <f t="shared" si="231"/>
        <v>0</v>
      </c>
      <c r="AH4960" s="177">
        <f t="shared" si="229"/>
        <v>0</v>
      </c>
    </row>
    <row r="4961" spans="23:34">
      <c r="W4961" s="177">
        <f t="shared" si="230"/>
        <v>0</v>
      </c>
      <c r="AB4961" s="178">
        <f t="shared" si="231"/>
        <v>0</v>
      </c>
      <c r="AH4961" s="177">
        <f t="shared" si="229"/>
        <v>0</v>
      </c>
    </row>
    <row r="4962" spans="23:34">
      <c r="W4962" s="177">
        <f t="shared" si="230"/>
        <v>0</v>
      </c>
      <c r="AB4962" s="178">
        <f t="shared" si="231"/>
        <v>0</v>
      </c>
      <c r="AH4962" s="177">
        <f t="shared" si="229"/>
        <v>0</v>
      </c>
    </row>
    <row r="4963" spans="23:34">
      <c r="W4963" s="177">
        <f t="shared" si="230"/>
        <v>0</v>
      </c>
      <c r="AB4963" s="178">
        <f t="shared" si="231"/>
        <v>0</v>
      </c>
      <c r="AH4963" s="177">
        <f t="shared" si="229"/>
        <v>0</v>
      </c>
    </row>
    <row r="4964" spans="23:34">
      <c r="W4964" s="177">
        <f t="shared" si="230"/>
        <v>0</v>
      </c>
      <c r="AB4964" s="178">
        <f t="shared" si="231"/>
        <v>0</v>
      </c>
      <c r="AH4964" s="177">
        <f t="shared" si="229"/>
        <v>0</v>
      </c>
    </row>
    <row r="4965" spans="23:34">
      <c r="W4965" s="177">
        <f t="shared" si="230"/>
        <v>0</v>
      </c>
      <c r="AB4965" s="178">
        <f t="shared" si="231"/>
        <v>0</v>
      </c>
      <c r="AH4965" s="177">
        <f t="shared" si="229"/>
        <v>0</v>
      </c>
    </row>
    <row r="4966" spans="23:34">
      <c r="W4966" s="177">
        <f t="shared" si="230"/>
        <v>0</v>
      </c>
      <c r="AB4966" s="178">
        <f t="shared" si="231"/>
        <v>0</v>
      </c>
      <c r="AH4966" s="177">
        <f t="shared" si="229"/>
        <v>0</v>
      </c>
    </row>
    <row r="4967" spans="23:34">
      <c r="W4967" s="177">
        <f t="shared" si="230"/>
        <v>0</v>
      </c>
      <c r="AB4967" s="178">
        <f t="shared" si="231"/>
        <v>0</v>
      </c>
      <c r="AH4967" s="177">
        <f t="shared" si="229"/>
        <v>0</v>
      </c>
    </row>
    <row r="4968" spans="23:34">
      <c r="W4968" s="177">
        <f t="shared" si="230"/>
        <v>0</v>
      </c>
      <c r="AB4968" s="178">
        <f t="shared" si="231"/>
        <v>0</v>
      </c>
      <c r="AH4968" s="177">
        <f t="shared" si="229"/>
        <v>0</v>
      </c>
    </row>
    <row r="4969" spans="23:34">
      <c r="W4969" s="177">
        <f t="shared" si="230"/>
        <v>0</v>
      </c>
      <c r="AB4969" s="178">
        <f t="shared" si="231"/>
        <v>0</v>
      </c>
      <c r="AH4969" s="177">
        <f t="shared" si="229"/>
        <v>0</v>
      </c>
    </row>
    <row r="4970" spans="23:34">
      <c r="W4970" s="177">
        <f t="shared" si="230"/>
        <v>0</v>
      </c>
      <c r="AB4970" s="178">
        <f t="shared" si="231"/>
        <v>0</v>
      </c>
      <c r="AH4970" s="177">
        <f t="shared" si="229"/>
        <v>0</v>
      </c>
    </row>
    <row r="4971" spans="23:34">
      <c r="W4971" s="177">
        <f t="shared" si="230"/>
        <v>0</v>
      </c>
      <c r="AB4971" s="178">
        <f t="shared" si="231"/>
        <v>0</v>
      </c>
      <c r="AH4971" s="177">
        <f t="shared" si="229"/>
        <v>0</v>
      </c>
    </row>
    <row r="4972" spans="23:34">
      <c r="W4972" s="177">
        <f t="shared" si="230"/>
        <v>0</v>
      </c>
      <c r="AB4972" s="178">
        <f t="shared" si="231"/>
        <v>0</v>
      </c>
      <c r="AH4972" s="177">
        <f t="shared" si="229"/>
        <v>0</v>
      </c>
    </row>
    <row r="4973" spans="23:34">
      <c r="W4973" s="177">
        <f t="shared" si="230"/>
        <v>0</v>
      </c>
      <c r="AB4973" s="178">
        <f t="shared" si="231"/>
        <v>0</v>
      </c>
      <c r="AH4973" s="177">
        <f t="shared" si="229"/>
        <v>0</v>
      </c>
    </row>
    <row r="4974" spans="23:34">
      <c r="W4974" s="177">
        <f t="shared" si="230"/>
        <v>0</v>
      </c>
      <c r="AB4974" s="178">
        <f t="shared" si="231"/>
        <v>0</v>
      </c>
      <c r="AH4974" s="177">
        <f t="shared" si="229"/>
        <v>0</v>
      </c>
    </row>
    <row r="4975" spans="23:34">
      <c r="W4975" s="177">
        <f t="shared" si="230"/>
        <v>0</v>
      </c>
      <c r="AB4975" s="178">
        <f t="shared" si="231"/>
        <v>0</v>
      </c>
      <c r="AH4975" s="177">
        <f t="shared" si="229"/>
        <v>0</v>
      </c>
    </row>
    <row r="4976" spans="23:34">
      <c r="W4976" s="177">
        <f t="shared" si="230"/>
        <v>0</v>
      </c>
      <c r="AB4976" s="178">
        <f t="shared" si="231"/>
        <v>0</v>
      </c>
      <c r="AH4976" s="177">
        <f t="shared" ref="AH4976:AH4998" si="232">SUM(AF4976:AG4976)</f>
        <v>0</v>
      </c>
    </row>
    <row r="4977" spans="23:34">
      <c r="W4977" s="177">
        <f t="shared" si="230"/>
        <v>0</v>
      </c>
      <c r="AB4977" s="178">
        <f t="shared" si="231"/>
        <v>0</v>
      </c>
      <c r="AH4977" s="177">
        <f t="shared" si="232"/>
        <v>0</v>
      </c>
    </row>
    <row r="4978" spans="23:34">
      <c r="W4978" s="177">
        <f t="shared" si="230"/>
        <v>0</v>
      </c>
      <c r="AB4978" s="178">
        <f t="shared" si="231"/>
        <v>0</v>
      </c>
      <c r="AH4978" s="177">
        <f t="shared" si="232"/>
        <v>0</v>
      </c>
    </row>
    <row r="4979" spans="23:34">
      <c r="W4979" s="177">
        <f t="shared" ref="W4979:W4998" si="233">SUM(Q4979:T4979)</f>
        <v>0</v>
      </c>
      <c r="AB4979" s="178">
        <f t="shared" si="231"/>
        <v>0</v>
      </c>
      <c r="AH4979" s="177">
        <f t="shared" si="232"/>
        <v>0</v>
      </c>
    </row>
    <row r="4980" spans="23:34">
      <c r="W4980" s="177">
        <f t="shared" si="233"/>
        <v>0</v>
      </c>
      <c r="AB4980" s="178">
        <f t="shared" si="231"/>
        <v>0</v>
      </c>
      <c r="AH4980" s="177">
        <f t="shared" si="232"/>
        <v>0</v>
      </c>
    </row>
    <row r="4981" spans="23:34">
      <c r="W4981" s="177">
        <f t="shared" si="233"/>
        <v>0</v>
      </c>
      <c r="AB4981" s="178">
        <f t="shared" si="231"/>
        <v>0</v>
      </c>
      <c r="AH4981" s="177">
        <f t="shared" si="232"/>
        <v>0</v>
      </c>
    </row>
    <row r="4982" spans="23:34">
      <c r="W4982" s="177">
        <f t="shared" si="233"/>
        <v>0</v>
      </c>
      <c r="AB4982" s="178">
        <f t="shared" si="231"/>
        <v>0</v>
      </c>
      <c r="AH4982" s="177">
        <f t="shared" si="232"/>
        <v>0</v>
      </c>
    </row>
    <row r="4983" spans="23:34">
      <c r="W4983" s="177">
        <f t="shared" si="233"/>
        <v>0</v>
      </c>
      <c r="AB4983" s="178">
        <f t="shared" si="231"/>
        <v>0</v>
      </c>
      <c r="AH4983" s="177">
        <f t="shared" si="232"/>
        <v>0</v>
      </c>
    </row>
    <row r="4984" spans="23:34">
      <c r="W4984" s="177">
        <f t="shared" si="233"/>
        <v>0</v>
      </c>
      <c r="AB4984" s="178">
        <f t="shared" si="231"/>
        <v>0</v>
      </c>
      <c r="AH4984" s="177">
        <f t="shared" si="232"/>
        <v>0</v>
      </c>
    </row>
    <row r="4985" spans="23:34">
      <c r="W4985" s="177">
        <f t="shared" si="233"/>
        <v>0</v>
      </c>
      <c r="AB4985" s="178">
        <f t="shared" si="231"/>
        <v>0</v>
      </c>
      <c r="AH4985" s="177">
        <f t="shared" si="232"/>
        <v>0</v>
      </c>
    </row>
    <row r="4986" spans="23:34">
      <c r="W4986" s="177">
        <f t="shared" si="233"/>
        <v>0</v>
      </c>
      <c r="AB4986" s="178">
        <f t="shared" si="231"/>
        <v>0</v>
      </c>
      <c r="AH4986" s="177">
        <f t="shared" si="232"/>
        <v>0</v>
      </c>
    </row>
    <row r="4987" spans="23:34">
      <c r="W4987" s="177">
        <f t="shared" si="233"/>
        <v>0</v>
      </c>
      <c r="AB4987" s="178">
        <f t="shared" ref="AB4987:AB4998" si="234">SUM(Z4987:AA4987)</f>
        <v>0</v>
      </c>
      <c r="AH4987" s="177">
        <f t="shared" si="232"/>
        <v>0</v>
      </c>
    </row>
    <row r="4988" spans="23:34">
      <c r="W4988" s="177">
        <f t="shared" si="233"/>
        <v>0</v>
      </c>
      <c r="AB4988" s="178">
        <f t="shared" si="234"/>
        <v>0</v>
      </c>
      <c r="AH4988" s="177">
        <f t="shared" si="232"/>
        <v>0</v>
      </c>
    </row>
    <row r="4989" spans="23:34">
      <c r="W4989" s="177">
        <f t="shared" si="233"/>
        <v>0</v>
      </c>
      <c r="AB4989" s="178">
        <f t="shared" si="234"/>
        <v>0</v>
      </c>
      <c r="AH4989" s="177">
        <f t="shared" si="232"/>
        <v>0</v>
      </c>
    </row>
    <row r="4990" spans="23:34">
      <c r="W4990" s="177">
        <f t="shared" si="233"/>
        <v>0</v>
      </c>
      <c r="AB4990" s="178">
        <f t="shared" si="234"/>
        <v>0</v>
      </c>
      <c r="AH4990" s="177">
        <f t="shared" si="232"/>
        <v>0</v>
      </c>
    </row>
    <row r="4991" spans="23:34">
      <c r="W4991" s="177">
        <f t="shared" si="233"/>
        <v>0</v>
      </c>
      <c r="AB4991" s="178">
        <f t="shared" si="234"/>
        <v>0</v>
      </c>
      <c r="AH4991" s="177">
        <f t="shared" si="232"/>
        <v>0</v>
      </c>
    </row>
    <row r="4992" spans="23:34">
      <c r="W4992" s="177">
        <f t="shared" si="233"/>
        <v>0</v>
      </c>
      <c r="AB4992" s="178">
        <f t="shared" si="234"/>
        <v>0</v>
      </c>
      <c r="AH4992" s="177">
        <f t="shared" si="232"/>
        <v>0</v>
      </c>
    </row>
    <row r="4993" spans="1:38">
      <c r="W4993" s="177">
        <f t="shared" si="233"/>
        <v>0</v>
      </c>
      <c r="AB4993" s="178">
        <f t="shared" si="234"/>
        <v>0</v>
      </c>
      <c r="AH4993" s="177">
        <f t="shared" si="232"/>
        <v>0</v>
      </c>
    </row>
    <row r="4994" spans="1:38">
      <c r="W4994" s="177">
        <f t="shared" si="233"/>
        <v>0</v>
      </c>
      <c r="AB4994" s="178">
        <f t="shared" si="234"/>
        <v>0</v>
      </c>
      <c r="AH4994" s="177">
        <f t="shared" si="232"/>
        <v>0</v>
      </c>
    </row>
    <row r="4995" spans="1:38">
      <c r="W4995" s="177">
        <f t="shared" si="233"/>
        <v>0</v>
      </c>
      <c r="AB4995" s="178">
        <f t="shared" si="234"/>
        <v>0</v>
      </c>
      <c r="AH4995" s="177">
        <f t="shared" si="232"/>
        <v>0</v>
      </c>
    </row>
    <row r="4996" spans="1:38">
      <c r="W4996" s="177">
        <f t="shared" si="233"/>
        <v>0</v>
      </c>
      <c r="AB4996" s="178">
        <f t="shared" si="234"/>
        <v>0</v>
      </c>
      <c r="AH4996" s="177">
        <f t="shared" si="232"/>
        <v>0</v>
      </c>
    </row>
    <row r="4997" spans="1:38">
      <c r="W4997" s="177">
        <f t="shared" si="233"/>
        <v>0</v>
      </c>
      <c r="AB4997" s="178">
        <f t="shared" si="234"/>
        <v>0</v>
      </c>
      <c r="AH4997" s="177">
        <f t="shared" si="232"/>
        <v>0</v>
      </c>
    </row>
    <row r="4998" spans="1:38">
      <c r="W4998" s="177">
        <f t="shared" si="233"/>
        <v>0</v>
      </c>
      <c r="AB4998" s="178">
        <f t="shared" si="234"/>
        <v>0</v>
      </c>
      <c r="AH4998" s="177">
        <f t="shared" si="232"/>
        <v>0</v>
      </c>
    </row>
    <row r="4999" spans="1:38" ht="39.950000000000003" customHeight="1">
      <c r="A4999" s="137" t="s">
        <v>846</v>
      </c>
      <c r="Q4999" s="278">
        <f>Q154-Q270</f>
        <v>2488.91</v>
      </c>
      <c r="R4999" s="278"/>
      <c r="S4999" s="278"/>
      <c r="T4999" s="279">
        <f>T154-T270</f>
        <v>-1957.4199999999996</v>
      </c>
      <c r="U4999" s="279"/>
      <c r="V4999" s="279"/>
      <c r="W4999" s="278">
        <f>W154-W270</f>
        <v>531.48999999999978</v>
      </c>
      <c r="AC4999" s="178"/>
      <c r="AE4999" s="137"/>
      <c r="AH4999" s="175"/>
      <c r="AI4999" s="177"/>
      <c r="AL4999" s="137"/>
    </row>
    <row r="5000" spans="1:38" ht="39.950000000000003" customHeight="1">
      <c r="T5000" s="287">
        <f>(5584.99)</f>
        <v>5584.99</v>
      </c>
      <c r="U5000" s="287"/>
      <c r="V5000" s="287"/>
    </row>
    <row r="5001" spans="1:38" ht="39.950000000000003" customHeight="1"/>
    <row r="5002" spans="1:38" ht="39.950000000000003" customHeight="1"/>
    <row r="5003" spans="1:38" ht="39.950000000000003" customHeight="1"/>
    <row r="5004" spans="1:38" ht="39.950000000000003" customHeight="1"/>
    <row r="5005" spans="1:38" ht="39.950000000000003" customHeight="1"/>
    <row r="5006" spans="1:38"/>
    <row r="5007" spans="1:38"/>
    <row r="5008" spans="1:38"/>
  </sheetData>
  <phoneticPr fontId="32" type="noConversion"/>
  <dataValidations count="31">
    <dataValidation type="custom" allowBlank="1" showInputMessage="1" showErrorMessage="1" errorTitle="Campo inválido" error="Verifique Metadados" promptTitle="Verifique aba de metadados" sqref="A2" xr:uid="{16E00D9C-1E40-4365-846D-AEFF43CA0AA0}">
      <formula1>AND(AND(ISTEXT(LEFT(A2, 2)), MID(A2, 3, 1)= "-"),AND(ISNUMBER(VALUE(RIGHT(A2,4))),LEN(A2)=7))</formula1>
    </dataValidation>
    <dataValidation type="custom" allowBlank="1" showInputMessage="1" showErrorMessage="1" errorTitle="Campo inválido" error="Verfique Metadados" sqref="D2:D3" xr:uid="{FD92EC2F-D78A-4962-B075-A7960A99D2ED}">
      <formula1>AND(ISNUMBER(VALUE(LEFT(D2,4))),MID(D2,5,1)="-",ISNUMBER(VALUE(RIGHT(LEFT(D2,12),7))),MID(D2,13,1)="-",ISNUMBER(VALUE(RIGHT(D2,1))),LEN(D2)=14)</formula1>
    </dataValidation>
    <dataValidation type="custom" allowBlank="1" showInputMessage="1" showErrorMessage="1" errorTitle="Verifique dicionário" error="Verifique aba de metadados" promptTitle="Verifique aba de metadados" sqref="A90:A91 A93:A119 A233:A234 A236 A239 A241 A125:A164 A166:A231 A77:A88 A121:A123 A3:A19 A21 A28:A29 A32 B500:B4997 A250:A251 A253 A255 A35:A75 A259:A260 A270 A280:A282 B4999 A5000:B1048576 A284:A4999" xr:uid="{F3C08604-42BF-49A9-B584-FA99C48E96F7}">
      <formula1>AND(AND(ISTEXT(LEFT(A3, 2)), MID(A3, 3, 1)= "-"),AND(ISNUMBER(VALUE(RIGHT(A3,4))),LEN(A3)=7))</formula1>
    </dataValidation>
    <dataValidation type="custom" allowBlank="1" showInputMessage="1" showErrorMessage="1" errorTitle="Informação Inválida" error="Verifique Metadados" sqref="C2:C12 A236 C90:C91 C77:C88 C193:C235 C166:C191 C57:C75 C14:C55 C93:C164 C237:C259 C280:C281 C283:C1048576" xr:uid="{30C242F3-FEE0-4D4A-99D3-8C0D31E6EE49}">
      <formula1>AND(ISNUMBER(VALUE(LEFT(A2, 4))),MID(A2, 5, 1)= ".", ISNUMBER(VALUE(RIGHT(LEFT(A2, 9), 4))),MID(A2, 10, 1)= "/", ISNUMBER(VALUE(RIGHT(LEFT(A2, 17),7))), MID(A2, 18, 1)= "-",ISNUMBER(VALUE(RIGHT(LEFT(A2, 19),1))),LEN(A2)=19)</formula1>
    </dataValidation>
    <dataValidation type="list" allowBlank="1" showInputMessage="1" showErrorMessage="1" sqref="L90:L91 L77:L88 L166:L246 L48:L75 L2:L46 L93:L164 L251:L259 L282:L1048576" xr:uid="{451611E0-CDFA-4756-91E2-1F23A456CD3B}">
      <formula1>"VINCULACAO,ALTERACAO,DESVINCULACAO"</formula1>
    </dataValidation>
    <dataValidation type="custom" allowBlank="1" showInputMessage="1" showErrorMessage="1" errorTitle="Campo inválido" error="Verifique Metadados_x000a_" sqref="AC70:AC75 AC90:AC91 AC77:AC88 AC2:AC21 AC166:AC249 AC28:AC68 AC93:AC164 AC251:AC279 AD4999 AC5000:AC1048576 AC282:AC4998" xr:uid="{60186CC8-80E9-44C5-BF0B-F9560B7F0903}">
      <formula1>AND(ISTEXT(LEFT(AC2,2)),MID(AC2,3,1)="-",(ISNUMBER(VALUE(RIGHT(LEFT(AC2,6),3)))),MID(AC2,7,1)="/",(ISNUMBER(VALUE(RIGHT(LEFT(AC2,11),4)))),LEN(AC2)=11)</formula1>
    </dataValidation>
    <dataValidation type="date" allowBlank="1" showInputMessage="1" showErrorMessage="1" errorTitle="Campo inválido" error="Verifique Metadados" sqref="AF259:AG259 E90:E91 AE90:AG91 AE77:AG88 E77:E88 E2:E21 AE2:AE21 E166:E181 AF247:AG252 AE28:AE75 AF2:AG75 E28:E75 E93:E164 AE93:AG164 E252:E258 AE253:AG258 AE260:AG279 AE5000:AG1048576 AE166:AG246 E183:E249 AE285:AG4998 AF4999:AH4999 E309:E1048576 AF280:AG283 AE283 E282:E283 E285:E307 AG284:AH284" xr:uid="{1B939342-6D71-4B9C-A4D5-A37013465795}">
      <formula1>36526</formula1>
      <formula2>45657</formula2>
    </dataValidation>
    <dataValidation type="custom" allowBlank="1" showInputMessage="1" showErrorMessage="1" sqref="D90:D91 C160 D77:D88 D93:D159 D28 D4:D21 D32 D166:D249 D50:D75 D161:D164 D34:D48 D252:D258 D282 D285:D302" xr:uid="{A9E6B798-0DA5-4D88-A8F9-8F8841EF6C6E}">
      <formula1>AND(ISNUMBER(VALUE(LEFT(C4,4))),MID(C4,5,1)="-",ISNUMBER(VALUE(RIGHT(LEFT(C4,12),7))),MID(C4,13,1)="-",ISNUMBER(VALUE(RIGHT(C4,1))))</formula1>
    </dataValidation>
    <dataValidation type="list" allowBlank="1" showInputMessage="1" showErrorMessage="1" sqref="F166:F259 F90:F91 F77:F88 F2:F75 F93:F164 F280:F1048576" xr:uid="{69FFDC2A-422D-4A2F-BC3F-5B87042966EF}">
      <formula1>"DEFERIDO,INDEFERIDO,ANALISE"</formula1>
    </dataValidation>
    <dataValidation type="list" allowBlank="1" showInputMessage="1" showErrorMessage="1" sqref="P90:P91 P77:P88 P166:P249 P2:P75 P93:P164 P251:P259 P282:P1048576" xr:uid="{FBA01D5C-A1E0-4C72-B8D2-76BA6CFDD369}">
      <formula1>"R,NR,MISTO"</formula1>
    </dataValidation>
    <dataValidation type="list" allowBlank="1" showInputMessage="1" showErrorMessage="1" sqref="X90:X91 X77:X88 X166:X249 X2:X75 X93:X164 X251:X279 X282:X1048576" xr:uid="{7EFED1DF-BBF5-4907-842D-0BFE2F8D6D50}">
      <formula1>"OODC (dinheiro), CEPAC (título)"</formula1>
    </dataValidation>
    <dataValidation type="custom" allowBlank="1" showInputMessage="1" showErrorMessage="1" errorTitle="Campo inválido" error="Exemplo: _x000a_0000-1;0000-2;0000-3;0000-4_x000a__x000a_Info complementar, veja Metadados" sqref="N90:N91 N77:N88 N2:N21 N28 N32 N64:N65 N67:N75 N93:N94 N166:N246 N53:N62 N34:N51 N96:N164 N251:N259 N283:N1048576" xr:uid="{BCE59E52-D96B-417F-B54A-11FA04B385B3}">
      <formula1>AND(ISNUMBER(VALUE(LEFT(N2,4))),MID(N2,5,1)="-",ISNUMBER(VALUE(RIGHT(LEFT(N2,6),1))),MID(N2,7,1)=";")</formula1>
    </dataValidation>
    <dataValidation type="decimal" allowBlank="1" showInputMessage="1" showErrorMessage="1" errorTitle="Campo inválido " error="Verifique Metadados" sqref="O90:O91 O2:O21 O76:O88 O166:O246 O28:O74 O93:O164 O251:O259 O282:O1048576" xr:uid="{B9314179-EB95-4640-8F3E-97E1BFB1D340}">
      <formula1>1</formula1>
      <formula2>100000</formula2>
    </dataValidation>
    <dataValidation type="decimal" allowBlank="1" showInputMessage="1" showErrorMessage="1" errorTitle="Campo inválido" error="Verifique Metadados" sqref="AG96" xr:uid="{1A4CA41F-7002-4F16-9B52-6595857790B1}">
      <formula1>1</formula1>
      <formula2>100000</formula2>
    </dataValidation>
    <dataValidation type="whole" allowBlank="1" showInputMessage="1" showErrorMessage="1" errorTitle="Campo inválido" error="Verifique Metadados" sqref="AI90:AI91 AI93:AI95 AI77:AI88 AI166:AI233 AI2:AI75 AI98:AI164 AJ4999 AI5000:AI1048576 AI235:AI283 AI285:AI4998" xr:uid="{1B78F788-6494-4FD0-A8CE-45838D696A0F}">
      <formula1>1</formula1>
      <formula2>1000000</formula2>
    </dataValidation>
    <dataValidation type="decimal" allowBlank="1" showInputMessage="1" showErrorMessage="1" errorTitle="Campo inválido" error="Verifique Metadados" sqref="Z83" xr:uid="{30A5826E-61CD-458B-8344-9FCE21F8CF3A}">
      <formula1>0</formula1>
      <formula2>100000</formula2>
    </dataValidation>
    <dataValidation type="whole" allowBlank="1" showInputMessage="1" showErrorMessage="1" errorTitle="Campo inválido" error="Verifique Metadados" sqref="AA90:AA91 AA77:AA88 AA2:AA21 AA166:AA249 AA28:AA75 AA93:AA164 AA251:AA259 AA282:AA1048576" xr:uid="{087F2F5F-FEC0-4401-883D-F52FCBB0F6B4}">
      <formula1>0</formula1>
      <formula2>1000000</formula2>
    </dataValidation>
    <dataValidation type="whole" allowBlank="1" showInputMessage="1" showErrorMessage="1" errorTitle="Campo inválido" error="Verifique Metadados_x000a_" sqref="Z90:Z91 Z93:Z108 Z77:Z88 Z2:Z21 Z166:Z249 Z28:Z75 Z110:Z164 Z251:Z259 Z282:Z1048576" xr:uid="{A64B7DC9-1434-4306-BC4B-298E20274533}">
      <formula1>0</formula1>
      <formula2>1000000</formula2>
    </dataValidation>
    <dataValidation type="custom" allowBlank="1" showInputMessage="1" showErrorMessage="1" errorTitle="Campo inválido" error="Verifique Metadados" sqref="G88 J81 G77:G80 G166:G246 G74:G75 G90 G2:G21 G28:G33 G35 G37:G38 G40 G42 G46 G48:G51 G53 G56 G66:G67 G69:G70 G82:G86 G93 G95:G106 G108 G111 G113 G117 G122 G251:G259 G124:G164 G283:G1048576" xr:uid="{1FD9763B-CAEF-4957-AAE8-6DA0FC8A6E3F}">
      <formula1>EXACT(G2,UPPER(G2))</formula1>
    </dataValidation>
    <dataValidation type="custom" allowBlank="1" showInputMessage="1" showErrorMessage="1" sqref="M90:M91 M77:M88 M2:M21 M166:M246 M28:M75 M93:M164 M251:M259 M282:M1048576" xr:uid="{14C86D61-0A45-4BF0-93F9-5847DC940759}">
      <formula1>OR(AND(ISNUMBER(VALUE(LEFT(M2,6))),MID(M2,7,1)=";",LEN(M2)=7),AND(ISNUMBER(VALUE(RIGHT(LEFT(M2,13),6))),MID(M2,14,1)=";",LEN(M2)=14))</formula1>
    </dataValidation>
    <dataValidation type="list" allowBlank="1" showInputMessage="1" showErrorMessage="1" sqref="AD166:AD249 AD2:AD164 AD251:AD280 AE4999 AD5000:AD1048576 AD282:AD4998 AE284" xr:uid="{565D32E2-4010-4FBE-A536-53B6E2F811A3}">
      <formula1>"VALIDA, CANCELADA, ANALISE"</formula1>
    </dataValidation>
    <dataValidation type="custom" allowBlank="1" showInputMessage="1" showErrorMessage="1" sqref="H251:H259 H2:H21 H53:H72 H28:H51 H319:H1048576 H74:H246 H282 H284:H317" xr:uid="{AE7F32A5-8FC5-42FB-8CF0-5A0560167AB5}">
      <formula1>OR(AND(ISNUMBER(VALUE(LEFT(H2,8))),MID(H2,9,1)="/",ISNUMBER(VALUE(RIGHT(LEFT(H2,13),4))),MID(H2,14,1)="-",ISNUMBER(VALUE(RIGHT(LEFT(H2,16),2))), MID(H2,17,1)=";"), LEN(H2)=48)</formula1>
    </dataValidation>
    <dataValidation type="custom" allowBlank="1" showInputMessage="1" showErrorMessage="1" sqref="I2:I21 I53 I28:I51 I55:I249 I251:I259 I282:I1048576" xr:uid="{37D9A1AC-F3ED-49D6-9A13-E924721D5714}">
      <formula1>OR(AND(ISNUMBER(VALUE(LEFT(I2,9))),MID(I2,10,1)="-",ISNUMBER(VALUE(RIGHT(LEFT(I2,12),2))),MID(I2,13,1)=";"),LEN(I2)=39)</formula1>
    </dataValidation>
    <dataValidation type="decimal" allowBlank="1" showInputMessage="1" showErrorMessage="1" sqref="Q131:V146 T5001:V1048576 W2:W146 Q67:S129 T28:V40 T42:V130 Q28:S65 T147:W249 T2:T25 Q251:W259 Q148:S248 Q282:S1048576 W282:W1048576 T282:V4999 V2:V25 U2:U25 Q2:S21" xr:uid="{B4323B91-A66E-4969-A3FB-E9B71AE66F12}">
      <formula1>1</formula1>
      <formula2>1000000</formula2>
    </dataValidation>
    <dataValidation type="list" allowBlank="1" showInputMessage="1" showErrorMessage="1" sqref="K4999:K1048576" xr:uid="{1840E714-F1FB-42CF-AAD8-966723E7371D}">
      <formula1>"PINHEIROS,FARIA LIMA,HÉLIO PELEGRINO,OLIMPÍADA"</formula1>
    </dataValidation>
    <dataValidation type="list" allowBlank="1" showInputMessage="1" showErrorMessage="1" sqref="K2:K246 K252:K259 K282:K283 K285:K4998" xr:uid="{5ACB3F70-8E62-4C9C-BB0B-E59B2F5E05DE}">
      <formula1>"PINHEIROS,FARIA LIMA,HÉLIO PELEGRINO,OLIMPÍADAS"</formula1>
    </dataValidation>
    <dataValidation type="date" allowBlank="1" showInputMessage="1" showErrorMessage="1" sqref="E250:E251 AE247:AE252 E259 AE259 E280:E281 AE280:AE282 E284 AF284" xr:uid="{B9B0B063-EC86-4BF1-8E3B-A32659B8CD6F}">
      <formula1>32874</formula1>
      <formula2>73415</formula2>
    </dataValidation>
    <dataValidation type="decimal" allowBlank="1" showInputMessage="1" showErrorMessage="1" sqref="Q249:S249" xr:uid="{62A058FD-33CE-41F5-B9D0-26BBEE462AAC}">
      <formula1>-1000000</formula1>
      <formula2>1000000</formula2>
    </dataValidation>
    <dataValidation type="custom" allowBlank="1" showInputMessage="1" showErrorMessage="1" errorTitle="Campo inválido" error="Verifique Metadados" sqref="AB2:AB249 AB251:AB259 AB4999:AC4999 AB5000:AB1048576 AB282 AB284:AB4998" xr:uid="{9D5F5344-8BA1-4C14-A8F3-455ECDB051BC}">
      <formula1>SUM(Z2,AA2)</formula1>
    </dataValidation>
    <dataValidation type="list" allowBlank="1" showInputMessage="1" showErrorMessage="1" sqref="P260:P279" xr:uid="{91D912DB-D56C-4B9F-83EF-0C83230822E4}">
      <formula1>"R, NR, MISTO"</formula1>
    </dataValidation>
    <dataValidation allowBlank="1" showInputMessage="1" showErrorMessage="1" sqref="AI4999 AH5000:AH1048576 AI284 AH285:AH4998 AH2:AH283" xr:uid="{C9EDF94C-4B3C-4687-89A1-559631935CF7}"/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FF26AD3-B3FF-4D47-86CB-4DC91951E061}">
          <x14:formula1>
            <xm:f>lista_suspensa!$C$3:$C$6</xm:f>
          </x14:formula1>
          <xm:sqref>K247:K251 K260:K281</xm:sqref>
        </x14:dataValidation>
        <x14:dataValidation type="list" allowBlank="1" showInputMessage="1" showErrorMessage="1" xr:uid="{A2CAD094-BEBA-4F5B-A40A-393FA4221D0F}">
          <x14:formula1>
            <xm:f>lista_suspensa!$E$3:$E$4</xm:f>
          </x14:formula1>
          <xm:sqref>B4998 B2:B283 B285:B499</xm:sqref>
        </x14:dataValidation>
        <x14:dataValidation type="list" allowBlank="1" showInputMessage="1" showErrorMessage="1" xr:uid="{C44D1AA9-2004-4E14-8B40-69568D53472A}">
          <x14:formula1>
            <xm:f>lista_suspensa!$F$3:$F$5</xm:f>
          </x14:formula1>
          <xm:sqref>L260:L279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A8D4-1B32-4977-8E67-6FF81A2F055B}">
  <dimension ref="A1:J36"/>
  <sheetViews>
    <sheetView topLeftCell="A13" zoomScale="90" zoomScaleNormal="90" workbookViewId="0">
      <selection activeCell="A28" sqref="A28"/>
    </sheetView>
  </sheetViews>
  <sheetFormatPr defaultColWidth="20.7109375" defaultRowHeight="24.95" customHeight="1"/>
  <cols>
    <col min="1" max="5" width="20.7109375" style="119"/>
    <col min="6" max="6" width="20.7109375" style="130"/>
    <col min="7" max="7" width="20.7109375" style="119"/>
    <col min="8" max="8" width="22" style="119" bestFit="1" customWidth="1"/>
    <col min="9" max="16384" width="20.7109375" style="119"/>
  </cols>
  <sheetData>
    <row r="1" spans="1:10" ht="15.75" thickBot="1">
      <c r="A1" s="120" t="s">
        <v>1116</v>
      </c>
      <c r="B1" s="120" t="s">
        <v>1117</v>
      </c>
      <c r="C1" s="120" t="s">
        <v>1118</v>
      </c>
      <c r="D1" s="121" t="s">
        <v>1119</v>
      </c>
      <c r="E1" s="121" t="s">
        <v>1120</v>
      </c>
      <c r="F1" s="122" t="s">
        <v>1121</v>
      </c>
      <c r="G1" s="121" t="s">
        <v>1122</v>
      </c>
      <c r="H1" s="123" t="s">
        <v>1123</v>
      </c>
    </row>
    <row r="2" spans="1:10" ht="15.75" thickBot="1">
      <c r="A2" s="124"/>
      <c r="B2" s="124"/>
      <c r="C2" s="124" t="s">
        <v>1124</v>
      </c>
      <c r="D2" s="125" t="s">
        <v>1125</v>
      </c>
      <c r="E2" s="125" t="s">
        <v>148</v>
      </c>
      <c r="F2" s="126" t="s">
        <v>1126</v>
      </c>
      <c r="G2" s="125">
        <v>0</v>
      </c>
      <c r="H2" s="127" t="s">
        <v>1127</v>
      </c>
      <c r="I2" s="128"/>
      <c r="J2" s="128" t="s">
        <v>1128</v>
      </c>
    </row>
    <row r="3" spans="1:10" ht="24.95" customHeight="1">
      <c r="A3" s="129" t="s">
        <v>3244</v>
      </c>
      <c r="B3" s="129" t="s">
        <v>1130</v>
      </c>
      <c r="C3" s="129">
        <v>45835</v>
      </c>
      <c r="D3" s="119" t="s">
        <v>846</v>
      </c>
      <c r="E3" s="119" t="s">
        <v>1131</v>
      </c>
      <c r="F3" s="130" t="s">
        <v>1132</v>
      </c>
      <c r="G3" s="119">
        <v>2025</v>
      </c>
      <c r="H3" s="119" t="s">
        <v>849</v>
      </c>
    </row>
    <row r="4" spans="1:10" ht="24.95" customHeight="1">
      <c r="A4" s="129" t="s">
        <v>3244</v>
      </c>
      <c r="B4" s="129" t="s">
        <v>1133</v>
      </c>
      <c r="C4" s="129">
        <v>45835</v>
      </c>
      <c r="D4" s="119" t="s">
        <v>883</v>
      </c>
      <c r="E4" s="119" t="s">
        <v>1131</v>
      </c>
      <c r="F4" s="130" t="s">
        <v>1134</v>
      </c>
      <c r="G4" s="119">
        <v>2025</v>
      </c>
      <c r="H4" s="119" t="s">
        <v>887</v>
      </c>
      <c r="I4" s="131"/>
    </row>
    <row r="5" spans="1:10" ht="24.95" customHeight="1">
      <c r="A5" s="129" t="s">
        <v>3244</v>
      </c>
      <c r="B5" s="129" t="s">
        <v>1135</v>
      </c>
      <c r="C5" s="129">
        <v>45856</v>
      </c>
      <c r="D5" s="119" t="s">
        <v>1136</v>
      </c>
      <c r="E5" s="119" t="s">
        <v>1131</v>
      </c>
      <c r="F5" s="130" t="s">
        <v>1137</v>
      </c>
      <c r="G5" s="119">
        <v>2025</v>
      </c>
      <c r="H5" s="119" t="s">
        <v>681</v>
      </c>
      <c r="I5" s="131"/>
    </row>
    <row r="6" spans="1:10" ht="24.95" customHeight="1">
      <c r="A6" s="129" t="s">
        <v>3244</v>
      </c>
      <c r="B6" s="129" t="s">
        <v>1175</v>
      </c>
      <c r="C6" s="129">
        <v>45511</v>
      </c>
      <c r="D6" s="119" t="s">
        <v>803</v>
      </c>
      <c r="E6" s="119" t="s">
        <v>1131</v>
      </c>
      <c r="F6" s="130" t="s">
        <v>1138</v>
      </c>
      <c r="G6" s="119">
        <v>2025</v>
      </c>
      <c r="H6" s="119" t="s">
        <v>1139</v>
      </c>
      <c r="I6" s="131"/>
    </row>
    <row r="7" spans="1:10" s="248" customFormat="1" ht="24.95" customHeight="1">
      <c r="A7" s="248" t="s">
        <v>1142</v>
      </c>
      <c r="B7" s="248" t="s">
        <v>3231</v>
      </c>
      <c r="D7" s="248" t="s">
        <v>883</v>
      </c>
      <c r="E7" s="248" t="s">
        <v>1131</v>
      </c>
      <c r="F7" s="249" t="s">
        <v>1132</v>
      </c>
      <c r="G7" s="248">
        <v>2025</v>
      </c>
      <c r="H7" s="248" t="s">
        <v>1141</v>
      </c>
      <c r="I7" s="250"/>
    </row>
    <row r="8" spans="1:10" s="248" customFormat="1" ht="24.95" customHeight="1">
      <c r="A8" s="129" t="s">
        <v>3244</v>
      </c>
      <c r="B8" s="248" t="s">
        <v>3231</v>
      </c>
      <c r="C8" s="251">
        <v>45954</v>
      </c>
      <c r="D8" s="248" t="s">
        <v>883</v>
      </c>
      <c r="E8" s="248" t="s">
        <v>1131</v>
      </c>
      <c r="F8" s="249" t="s">
        <v>2024</v>
      </c>
      <c r="G8" s="248">
        <v>2025</v>
      </c>
      <c r="H8" s="248" t="s">
        <v>2025</v>
      </c>
      <c r="I8" s="250"/>
    </row>
    <row r="9" spans="1:10" s="248" customFormat="1" ht="24.95" customHeight="1">
      <c r="A9" s="129" t="s">
        <v>3244</v>
      </c>
      <c r="B9" s="248" t="s">
        <v>3110</v>
      </c>
      <c r="C9" s="251">
        <v>45946</v>
      </c>
      <c r="D9" s="248" t="s">
        <v>911</v>
      </c>
      <c r="E9" s="248" t="s">
        <v>1131</v>
      </c>
      <c r="F9" s="249" t="s">
        <v>3234</v>
      </c>
      <c r="G9" s="248">
        <v>2025</v>
      </c>
      <c r="H9" s="248" t="s">
        <v>3230</v>
      </c>
      <c r="I9" s="250"/>
    </row>
    <row r="10" spans="1:10" s="248" customFormat="1" ht="24.95" customHeight="1">
      <c r="A10" s="129" t="s">
        <v>1129</v>
      </c>
      <c r="B10" s="254" t="s">
        <v>3203</v>
      </c>
      <c r="C10" s="257">
        <v>45951</v>
      </c>
      <c r="D10" s="256" t="s">
        <v>971</v>
      </c>
      <c r="E10" s="248" t="s">
        <v>1131</v>
      </c>
      <c r="F10" s="249" t="s">
        <v>3236</v>
      </c>
      <c r="G10" s="248">
        <v>2025</v>
      </c>
      <c r="H10" s="248" t="s">
        <v>3233</v>
      </c>
      <c r="I10" s="250"/>
    </row>
    <row r="11" spans="1:10" s="248" customFormat="1" ht="24.95" customHeight="1">
      <c r="A11" s="129" t="s">
        <v>1129</v>
      </c>
      <c r="B11" s="254" t="s">
        <v>3176</v>
      </c>
      <c r="C11" s="255">
        <v>45951</v>
      </c>
      <c r="D11" s="256" t="s">
        <v>966</v>
      </c>
      <c r="E11" s="248" t="s">
        <v>1131</v>
      </c>
      <c r="F11" s="249" t="s">
        <v>3237</v>
      </c>
      <c r="G11" s="248">
        <v>2025</v>
      </c>
      <c r="H11" s="248" t="s">
        <v>3235</v>
      </c>
      <c r="I11" s="250"/>
    </row>
    <row r="12" spans="1:10" s="248" customFormat="1" ht="24.95" customHeight="1">
      <c r="A12" s="129" t="s">
        <v>1129</v>
      </c>
      <c r="B12" s="254" t="s">
        <v>3170</v>
      </c>
      <c r="C12" s="255">
        <v>45958</v>
      </c>
      <c r="D12" s="256" t="s">
        <v>965</v>
      </c>
      <c r="E12" s="248" t="s">
        <v>1131</v>
      </c>
      <c r="F12" s="249" t="s">
        <v>3247</v>
      </c>
      <c r="G12" s="248">
        <v>2025</v>
      </c>
      <c r="H12" s="248" t="s">
        <v>3248</v>
      </c>
      <c r="I12" s="250"/>
    </row>
    <row r="13" spans="1:10" s="248" customFormat="1" ht="24.95" customHeight="1">
      <c r="A13" s="129" t="s">
        <v>1129</v>
      </c>
      <c r="B13" s="254" t="s">
        <v>3127</v>
      </c>
      <c r="C13" s="255">
        <v>45958</v>
      </c>
      <c r="D13" s="252" t="s">
        <v>959</v>
      </c>
      <c r="E13" s="248" t="s">
        <v>1131</v>
      </c>
      <c r="F13" s="249" t="s">
        <v>3241</v>
      </c>
      <c r="G13" s="248">
        <v>2025</v>
      </c>
      <c r="H13" s="248" t="s">
        <v>3240</v>
      </c>
      <c r="I13" s="250"/>
    </row>
    <row r="14" spans="1:10" s="248" customFormat="1" ht="24.95" customHeight="1">
      <c r="A14" s="129" t="s">
        <v>1129</v>
      </c>
      <c r="B14" s="254" t="s">
        <v>3140</v>
      </c>
      <c r="C14" s="255">
        <v>45958</v>
      </c>
      <c r="D14" s="253" t="s">
        <v>961</v>
      </c>
      <c r="E14" s="248" t="s">
        <v>1131</v>
      </c>
      <c r="F14" s="249" t="s">
        <v>3243</v>
      </c>
      <c r="G14" s="248">
        <v>2025</v>
      </c>
      <c r="H14" s="248" t="s">
        <v>3242</v>
      </c>
      <c r="I14" s="250"/>
    </row>
    <row r="15" spans="1:10" s="248" customFormat="1" ht="24.95" customHeight="1">
      <c r="A15" s="129" t="s">
        <v>3244</v>
      </c>
      <c r="B15" s="254" t="s">
        <v>3162</v>
      </c>
      <c r="C15" s="255">
        <v>45958</v>
      </c>
      <c r="D15" s="253" t="s">
        <v>846</v>
      </c>
      <c r="E15" s="248" t="s">
        <v>1131</v>
      </c>
      <c r="F15" s="249" t="s">
        <v>3245</v>
      </c>
      <c r="G15" s="248">
        <v>2025</v>
      </c>
      <c r="H15" s="248" t="s">
        <v>3246</v>
      </c>
      <c r="I15" s="250"/>
    </row>
    <row r="16" spans="1:10" s="248" customFormat="1" ht="24.95" customHeight="1">
      <c r="A16" s="129" t="s">
        <v>1129</v>
      </c>
      <c r="B16" s="254" t="s">
        <v>3126</v>
      </c>
      <c r="C16" s="255">
        <v>45960</v>
      </c>
      <c r="D16" s="252" t="s">
        <v>958</v>
      </c>
      <c r="E16" s="248" t="s">
        <v>1131</v>
      </c>
      <c r="F16" s="249" t="s">
        <v>3239</v>
      </c>
      <c r="G16" s="248">
        <v>2025</v>
      </c>
      <c r="H16" s="248" t="s">
        <v>3238</v>
      </c>
      <c r="I16" s="250"/>
    </row>
    <row r="17" spans="1:10" ht="29.25" customHeight="1">
      <c r="A17" s="129" t="s">
        <v>1129</v>
      </c>
      <c r="B17" s="240" t="s">
        <v>3187</v>
      </c>
      <c r="C17" s="251">
        <v>45959</v>
      </c>
      <c r="D17" s="248" t="s">
        <v>968</v>
      </c>
      <c r="E17" s="248" t="s">
        <v>1131</v>
      </c>
      <c r="F17" s="249" t="s">
        <v>3278</v>
      </c>
      <c r="G17" s="248">
        <v>2025</v>
      </c>
      <c r="H17" s="248" t="s">
        <v>3255</v>
      </c>
      <c r="I17" s="250"/>
      <c r="J17" s="248"/>
    </row>
    <row r="18" spans="1:10" ht="29.25" customHeight="1">
      <c r="A18" s="129" t="s">
        <v>1129</v>
      </c>
      <c r="B18" s="248" t="s">
        <v>3115</v>
      </c>
      <c r="C18" s="251">
        <v>45959</v>
      </c>
      <c r="D18" s="248" t="s">
        <v>956</v>
      </c>
      <c r="E18" s="248" t="s">
        <v>1131</v>
      </c>
      <c r="F18" s="249" t="s">
        <v>3257</v>
      </c>
      <c r="G18" s="248">
        <v>2025</v>
      </c>
      <c r="H18" s="248" t="s">
        <v>3249</v>
      </c>
      <c r="I18" s="250"/>
      <c r="J18" s="248"/>
    </row>
    <row r="19" spans="1:10" ht="29.25" customHeight="1">
      <c r="A19" s="129" t="s">
        <v>1129</v>
      </c>
      <c r="B19" s="101" t="s">
        <v>3133</v>
      </c>
      <c r="C19" s="251">
        <v>45966</v>
      </c>
      <c r="D19" s="248" t="s">
        <v>960</v>
      </c>
      <c r="E19" s="248" t="s">
        <v>1131</v>
      </c>
      <c r="F19" s="249" t="s">
        <v>3263</v>
      </c>
      <c r="G19" s="248">
        <v>2025</v>
      </c>
      <c r="H19" s="248" t="s">
        <v>3260</v>
      </c>
      <c r="I19" s="250"/>
      <c r="J19" s="248"/>
    </row>
    <row r="20" spans="1:10" ht="29.25" customHeight="1">
      <c r="A20" s="129" t="s">
        <v>1129</v>
      </c>
      <c r="B20" s="240" t="s">
        <v>3145</v>
      </c>
      <c r="C20" s="251">
        <v>45971</v>
      </c>
      <c r="D20" s="248" t="s">
        <v>962</v>
      </c>
      <c r="E20" s="248" t="s">
        <v>1131</v>
      </c>
      <c r="F20" s="249" t="s">
        <v>3269</v>
      </c>
      <c r="G20" s="248">
        <v>2025</v>
      </c>
      <c r="H20" s="248" t="s">
        <v>3266</v>
      </c>
      <c r="I20" s="250"/>
      <c r="J20" s="248"/>
    </row>
    <row r="21" spans="1:10" ht="29.25" customHeight="1">
      <c r="A21" s="129" t="s">
        <v>1129</v>
      </c>
      <c r="B21" t="s">
        <v>3151</v>
      </c>
      <c r="C21" s="251">
        <v>46000</v>
      </c>
      <c r="D21" s="248" t="s">
        <v>963</v>
      </c>
      <c r="E21" s="248" t="s">
        <v>1131</v>
      </c>
      <c r="F21" s="249" t="s">
        <v>3293</v>
      </c>
      <c r="G21" s="248">
        <v>2025</v>
      </c>
      <c r="H21" s="248" t="s">
        <v>3294</v>
      </c>
      <c r="I21" s="250"/>
      <c r="J21" s="248"/>
    </row>
    <row r="22" spans="1:10" ht="29.25" customHeight="1">
      <c r="A22" s="129" t="s">
        <v>1129</v>
      </c>
      <c r="B22" t="s">
        <v>3156</v>
      </c>
      <c r="C22" s="251">
        <v>45974</v>
      </c>
      <c r="D22" s="248" t="s">
        <v>964</v>
      </c>
      <c r="E22" s="248" t="s">
        <v>1131</v>
      </c>
      <c r="F22" s="249" t="s">
        <v>3289</v>
      </c>
      <c r="G22" s="248">
        <v>2025</v>
      </c>
      <c r="H22" s="248" t="s">
        <v>3288</v>
      </c>
      <c r="I22" s="250"/>
      <c r="J22" s="248"/>
    </row>
    <row r="23" spans="1:10" ht="29.25" customHeight="1">
      <c r="A23" s="129" t="s">
        <v>1129</v>
      </c>
      <c r="B23" t="s">
        <v>3182</v>
      </c>
      <c r="C23" s="251">
        <v>45975</v>
      </c>
      <c r="D23" s="248" t="s">
        <v>967</v>
      </c>
      <c r="E23" s="248" t="s">
        <v>1131</v>
      </c>
      <c r="F23" s="249" t="s">
        <v>3295</v>
      </c>
      <c r="G23" s="248">
        <v>2025</v>
      </c>
      <c r="H23" s="248" t="s">
        <v>3296</v>
      </c>
      <c r="I23" s="250"/>
      <c r="J23" s="248"/>
    </row>
    <row r="24" spans="1:10" ht="29.25" customHeight="1">
      <c r="A24" s="129" t="s">
        <v>1129</v>
      </c>
      <c r="B24" t="s">
        <v>3192</v>
      </c>
      <c r="C24" s="251">
        <v>45979</v>
      </c>
      <c r="D24" s="248" t="s">
        <v>969</v>
      </c>
      <c r="E24" s="248" t="s">
        <v>1131</v>
      </c>
      <c r="F24" s="249" t="s">
        <v>3297</v>
      </c>
      <c r="G24" s="248">
        <v>2025</v>
      </c>
      <c r="H24" s="248" t="s">
        <v>3298</v>
      </c>
      <c r="I24" s="250"/>
      <c r="J24" s="248"/>
    </row>
    <row r="25" spans="1:10" ht="29.25" customHeight="1">
      <c r="A25" s="129" t="s">
        <v>1129</v>
      </c>
      <c r="B25" s="272" t="s">
        <v>3207</v>
      </c>
      <c r="C25" s="251">
        <v>45974</v>
      </c>
      <c r="D25" s="248" t="s">
        <v>972</v>
      </c>
      <c r="E25" s="248" t="s">
        <v>1131</v>
      </c>
      <c r="F25" s="249" t="s">
        <v>3299</v>
      </c>
      <c r="G25" s="248">
        <v>2025</v>
      </c>
      <c r="H25" s="248" t="s">
        <v>3300</v>
      </c>
      <c r="I25" s="250"/>
      <c r="J25" s="248"/>
    </row>
    <row r="26" spans="1:10" ht="29.25" customHeight="1">
      <c r="A26" s="129" t="s">
        <v>1129</v>
      </c>
      <c r="B26" s="274" t="s">
        <v>3307</v>
      </c>
      <c r="C26" s="275">
        <v>45978</v>
      </c>
      <c r="D26" s="248" t="s">
        <v>551</v>
      </c>
      <c r="E26" s="248" t="s">
        <v>1131</v>
      </c>
      <c r="F26" s="249" t="s">
        <v>3310</v>
      </c>
      <c r="G26" s="248">
        <v>2025</v>
      </c>
      <c r="H26" s="248" t="s">
        <v>3309</v>
      </c>
      <c r="I26" s="250"/>
      <c r="J26" s="248"/>
    </row>
    <row r="27" spans="1:10" ht="29.25" customHeight="1">
      <c r="A27" s="129" t="s">
        <v>1129</v>
      </c>
      <c r="B27" s="276" t="s">
        <v>3108</v>
      </c>
      <c r="C27" s="275">
        <v>45963</v>
      </c>
      <c r="D27" s="248" t="s">
        <v>803</v>
      </c>
      <c r="E27" s="248" t="s">
        <v>1131</v>
      </c>
      <c r="F27" s="249" t="s">
        <v>3312</v>
      </c>
      <c r="G27" s="248">
        <v>2025</v>
      </c>
      <c r="H27" s="248" t="s">
        <v>3311</v>
      </c>
      <c r="I27" s="250"/>
      <c r="J27" s="248"/>
    </row>
    <row r="28" spans="1:10" ht="29.25" customHeight="1">
      <c r="A28" s="129" t="s">
        <v>1129</v>
      </c>
      <c r="B28" s="276" t="s">
        <v>3151</v>
      </c>
      <c r="C28" s="275">
        <v>45999</v>
      </c>
      <c r="D28" s="248" t="s">
        <v>963</v>
      </c>
      <c r="E28" s="248" t="s">
        <v>1131</v>
      </c>
      <c r="F28" s="249" t="s">
        <v>3293</v>
      </c>
      <c r="G28" s="248">
        <v>2025</v>
      </c>
      <c r="H28" s="248" t="s">
        <v>3294</v>
      </c>
      <c r="I28" s="250"/>
      <c r="J28" s="248"/>
    </row>
    <row r="29" spans="1:10" ht="29.25" customHeight="1">
      <c r="A29" s="129" t="s">
        <v>1129</v>
      </c>
      <c r="B29" s="276" t="s">
        <v>3197</v>
      </c>
      <c r="C29" s="275">
        <v>46007</v>
      </c>
      <c r="D29" s="248" t="s">
        <v>970</v>
      </c>
      <c r="E29" s="248" t="s">
        <v>1131</v>
      </c>
      <c r="F29" s="249" t="s">
        <v>3318</v>
      </c>
      <c r="G29" s="248">
        <v>2025</v>
      </c>
      <c r="H29" s="248" t="s">
        <v>3314</v>
      </c>
      <c r="I29" s="250"/>
      <c r="J29" s="248"/>
    </row>
    <row r="30" spans="1:10" s="248" customFormat="1" ht="15">
      <c r="A30" s="129" t="s">
        <v>1129</v>
      </c>
      <c r="B30" s="248" t="s">
        <v>3121</v>
      </c>
      <c r="D30" s="248" t="s">
        <v>957</v>
      </c>
      <c r="E30" s="248" t="s">
        <v>1131</v>
      </c>
      <c r="F30" s="249" t="s">
        <v>1132</v>
      </c>
      <c r="G30" s="248">
        <v>2026</v>
      </c>
      <c r="H30" s="248" t="s">
        <v>3316</v>
      </c>
      <c r="I30" s="250"/>
    </row>
    <row r="31" spans="1:10" s="248" customFormat="1" ht="24.95" customHeight="1">
      <c r="A31" s="248" t="s">
        <v>1142</v>
      </c>
      <c r="B31" s="248" t="s">
        <v>3285</v>
      </c>
      <c r="D31" s="248" t="s">
        <v>367</v>
      </c>
      <c r="E31" s="248" t="s">
        <v>1131</v>
      </c>
      <c r="F31" s="249" t="s">
        <v>1132</v>
      </c>
      <c r="G31" s="248">
        <v>2026</v>
      </c>
      <c r="H31" s="248" t="s">
        <v>3317</v>
      </c>
      <c r="I31" s="250"/>
    </row>
    <row r="32" spans="1:10" ht="24.95" customHeight="1">
      <c r="A32" s="129" t="s">
        <v>1142</v>
      </c>
      <c r="B32" s="276" t="s">
        <v>3108</v>
      </c>
      <c r="C32" s="275">
        <v>45963</v>
      </c>
      <c r="D32" s="119" t="s">
        <v>803</v>
      </c>
      <c r="E32" s="119" t="s">
        <v>3324</v>
      </c>
      <c r="F32" s="130" t="s">
        <v>1134</v>
      </c>
      <c r="G32" s="119">
        <v>2025</v>
      </c>
      <c r="H32" s="119" t="s">
        <v>3323</v>
      </c>
      <c r="I32" s="131"/>
    </row>
    <row r="33" spans="1:10" ht="24.95" customHeight="1">
      <c r="A33" s="129" t="s">
        <v>1129</v>
      </c>
      <c r="B33" s="276" t="s">
        <v>3121</v>
      </c>
      <c r="C33" s="275">
        <v>46038</v>
      </c>
      <c r="D33" s="119" t="s">
        <v>957</v>
      </c>
      <c r="E33" s="119" t="s">
        <v>1131</v>
      </c>
      <c r="F33" s="130" t="s">
        <v>1132</v>
      </c>
      <c r="G33" s="119">
        <v>2026</v>
      </c>
      <c r="H33" s="119" t="s">
        <v>3316</v>
      </c>
      <c r="I33" s="131"/>
    </row>
    <row r="34" spans="1:10" ht="24.95" customHeight="1">
      <c r="A34" s="129"/>
      <c r="B34" s="276"/>
      <c r="C34" s="275"/>
      <c r="I34" s="131"/>
    </row>
    <row r="35" spans="1:10" ht="30">
      <c r="A35" s="128"/>
      <c r="B35" s="128"/>
      <c r="C35" s="128"/>
      <c r="D35" s="128"/>
      <c r="E35" s="128" t="s">
        <v>1131</v>
      </c>
      <c r="F35" s="132" t="s">
        <v>1134</v>
      </c>
      <c r="G35" s="128">
        <v>2026</v>
      </c>
      <c r="H35" s="128" t="s">
        <v>3319</v>
      </c>
      <c r="I35" s="133" t="s">
        <v>1140</v>
      </c>
      <c r="J35" s="128" t="s">
        <v>1129</v>
      </c>
    </row>
    <row r="36" spans="1:10" ht="24.95" customHeight="1">
      <c r="A36" s="128"/>
      <c r="B36" s="128"/>
      <c r="C36" s="128"/>
      <c r="D36" s="128"/>
      <c r="E36" s="128" t="s">
        <v>1131</v>
      </c>
      <c r="F36" s="132" t="s">
        <v>1134</v>
      </c>
      <c r="G36" s="128">
        <v>2026</v>
      </c>
      <c r="H36" s="128" t="s">
        <v>3321</v>
      </c>
      <c r="I36" s="133" t="s">
        <v>1140</v>
      </c>
      <c r="J36" s="128" t="s">
        <v>1142</v>
      </c>
    </row>
  </sheetData>
  <phoneticPr fontId="32" type="noConversion"/>
  <dataValidations count="2">
    <dataValidation type="date" allowBlank="1" showInputMessage="1" showErrorMessage="1" sqref="C26:C29 C32:C34" xr:uid="{756CD24D-A685-44CE-81C5-C9553C6FC6DD}">
      <formula1>32874</formula1>
      <formula2>73415</formula2>
    </dataValidation>
    <dataValidation type="custom" allowBlank="1" showInputMessage="1" showErrorMessage="1" errorTitle="Informação Inválida" error="Verifique Metadados" sqref="B27:B29 B32:B34" xr:uid="{3C9A1CE2-3924-40D9-896F-BCB466A879A5}">
      <formula1>AND(ISNUMBER(VALUE(LEFT(B27, 4))),MID(B27, 5, 1)= ".", ISNUMBER(VALUE(RIGHT(LEFT(B27, 9), 4))),MID(B27, 10, 1)= "/", ISNUMBER(VALUE(RIGHT(LEFT(B27, 17),7))), MID(B27, 18, 1)= "-",ISNUMBER(VALUE(RIGHT(LEFT(B27, 19),1))),LEN(B27)=19)</formula1>
    </dataValidation>
  </dataValidations>
  <pageMargins left="0.511811024" right="0.511811024" top="0.78740157499999996" bottom="0.78740157499999996" header="0.31496062000000002" footer="0.31496062000000002"/>
  <ignoredErrors>
    <ignoredError sqref="F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5628-47B7-422E-84AA-A1C1B765A06C}">
  <dimension ref="A1:I601"/>
  <sheetViews>
    <sheetView topLeftCell="A376" zoomScale="90" zoomScaleNormal="90" workbookViewId="0">
      <selection activeCell="F390" sqref="F390"/>
    </sheetView>
  </sheetViews>
  <sheetFormatPr defaultColWidth="25.7109375" defaultRowHeight="15"/>
  <cols>
    <col min="1" max="1" width="25.7109375" style="118"/>
    <col min="2" max="16384" width="25.7109375" style="119"/>
  </cols>
  <sheetData>
    <row r="1" spans="1:9" s="114" customFormat="1" ht="20.100000000000001" customHeight="1">
      <c r="A1" s="110"/>
      <c r="B1" s="111" t="s">
        <v>157</v>
      </c>
      <c r="C1" s="112" t="s">
        <v>158</v>
      </c>
      <c r="D1" s="112" t="s">
        <v>159</v>
      </c>
      <c r="E1" s="112" t="s">
        <v>160</v>
      </c>
      <c r="F1" s="112" t="s">
        <v>161</v>
      </c>
      <c r="G1" s="112" t="s">
        <v>162</v>
      </c>
      <c r="H1" s="112" t="s">
        <v>163</v>
      </c>
      <c r="I1" s="113" t="s">
        <v>164</v>
      </c>
    </row>
    <row r="2" spans="1:9" s="116" customFormat="1" ht="20.100000000000001" customHeight="1">
      <c r="A2" s="115" t="s">
        <v>165</v>
      </c>
      <c r="B2" s="116" t="s">
        <v>166</v>
      </c>
    </row>
    <row r="3" spans="1:9" s="116" customFormat="1" ht="20.100000000000001" customHeight="1">
      <c r="A3" s="115" t="s">
        <v>167</v>
      </c>
      <c r="B3" s="116" t="s">
        <v>168</v>
      </c>
    </row>
    <row r="4" spans="1:9" s="116" customFormat="1" ht="20.100000000000001" customHeight="1">
      <c r="A4" s="115" t="s">
        <v>169</v>
      </c>
      <c r="B4" s="116" t="s">
        <v>170</v>
      </c>
    </row>
    <row r="5" spans="1:9" s="116" customFormat="1" ht="20.100000000000001" customHeight="1">
      <c r="A5" s="115" t="s">
        <v>171</v>
      </c>
      <c r="B5" s="116" t="s">
        <v>172</v>
      </c>
      <c r="C5" s="116" t="s">
        <v>173</v>
      </c>
    </row>
    <row r="6" spans="1:9" s="116" customFormat="1" ht="20.100000000000001" customHeight="1">
      <c r="A6" s="115" t="s">
        <v>174</v>
      </c>
      <c r="B6" s="116" t="s">
        <v>175</v>
      </c>
    </row>
    <row r="7" spans="1:9" s="116" customFormat="1" ht="20.100000000000001" customHeight="1">
      <c r="A7" s="115" t="s">
        <v>176</v>
      </c>
    </row>
    <row r="8" spans="1:9" s="116" customFormat="1" ht="20.100000000000001" customHeight="1">
      <c r="A8" s="115" t="s">
        <v>177</v>
      </c>
      <c r="B8" s="116" t="s">
        <v>178</v>
      </c>
      <c r="C8" s="116" t="s">
        <v>179</v>
      </c>
    </row>
    <row r="9" spans="1:9" s="116" customFormat="1" ht="20.100000000000001" customHeight="1">
      <c r="A9" s="115" t="s">
        <v>180</v>
      </c>
      <c r="B9" s="116" t="s">
        <v>181</v>
      </c>
    </row>
    <row r="10" spans="1:9" s="116" customFormat="1" ht="20.100000000000001" customHeight="1">
      <c r="A10" s="115" t="s">
        <v>182</v>
      </c>
    </row>
    <row r="11" spans="1:9" s="116" customFormat="1" ht="20.100000000000001" customHeight="1">
      <c r="A11" s="115" t="s">
        <v>183</v>
      </c>
      <c r="B11" s="116" t="s">
        <v>184</v>
      </c>
    </row>
    <row r="12" spans="1:9" s="116" customFormat="1" ht="20.100000000000001" customHeight="1">
      <c r="A12" s="115" t="s">
        <v>185</v>
      </c>
      <c r="B12" s="116" t="s">
        <v>186</v>
      </c>
      <c r="C12" s="116" t="s">
        <v>187</v>
      </c>
    </row>
    <row r="13" spans="1:9" s="116" customFormat="1" ht="20.100000000000001" customHeight="1">
      <c r="A13" s="115" t="s">
        <v>188</v>
      </c>
      <c r="B13" s="116" t="s">
        <v>189</v>
      </c>
      <c r="C13" s="116" t="s">
        <v>190</v>
      </c>
    </row>
    <row r="14" spans="1:9" s="116" customFormat="1" ht="20.100000000000001" customHeight="1">
      <c r="A14" s="115" t="s">
        <v>191</v>
      </c>
    </row>
    <row r="15" spans="1:9" s="116" customFormat="1" ht="20.100000000000001" customHeight="1">
      <c r="A15" s="115" t="s">
        <v>192</v>
      </c>
      <c r="B15" s="116" t="s">
        <v>193</v>
      </c>
    </row>
    <row r="16" spans="1:9" s="116" customFormat="1" ht="20.100000000000001" customHeight="1">
      <c r="A16" s="115" t="s">
        <v>194</v>
      </c>
      <c r="B16" s="116" t="s">
        <v>195</v>
      </c>
    </row>
    <row r="17" spans="1:5" s="116" customFormat="1" ht="20.100000000000001" customHeight="1">
      <c r="A17" s="115" t="s">
        <v>196</v>
      </c>
      <c r="B17" s="116" t="s">
        <v>197</v>
      </c>
    </row>
    <row r="18" spans="1:5" s="116" customFormat="1" ht="20.100000000000001" customHeight="1">
      <c r="A18" s="115" t="s">
        <v>198</v>
      </c>
      <c r="B18" s="116" t="s">
        <v>199</v>
      </c>
    </row>
    <row r="19" spans="1:5" s="116" customFormat="1" ht="20.100000000000001" customHeight="1">
      <c r="A19" s="115" t="s">
        <v>200</v>
      </c>
    </row>
    <row r="20" spans="1:5" s="116" customFormat="1" ht="20.100000000000001" customHeight="1">
      <c r="A20" s="115" t="s">
        <v>201</v>
      </c>
      <c r="B20" s="116" t="s">
        <v>202</v>
      </c>
      <c r="C20" s="116" t="s">
        <v>203</v>
      </c>
      <c r="D20" s="116" t="s">
        <v>204</v>
      </c>
      <c r="E20" s="116" t="s">
        <v>205</v>
      </c>
    </row>
    <row r="21" spans="1:5" s="116" customFormat="1" ht="20.100000000000001" customHeight="1">
      <c r="A21" s="115" t="s">
        <v>206</v>
      </c>
      <c r="B21" s="116" t="s">
        <v>207</v>
      </c>
    </row>
    <row r="22" spans="1:5" s="116" customFormat="1" ht="20.100000000000001" customHeight="1">
      <c r="A22" s="115" t="s">
        <v>208</v>
      </c>
      <c r="B22" s="116" t="s">
        <v>209</v>
      </c>
    </row>
    <row r="23" spans="1:5" s="116" customFormat="1" ht="20.100000000000001" customHeight="1">
      <c r="A23" s="115" t="s">
        <v>210</v>
      </c>
      <c r="B23" s="116" t="s">
        <v>211</v>
      </c>
    </row>
    <row r="24" spans="1:5" s="116" customFormat="1" ht="20.100000000000001" customHeight="1">
      <c r="A24" s="115" t="s">
        <v>212</v>
      </c>
    </row>
    <row r="25" spans="1:5" s="116" customFormat="1" ht="20.100000000000001" customHeight="1">
      <c r="A25" s="115" t="s">
        <v>213</v>
      </c>
    </row>
    <row r="26" spans="1:5" s="116" customFormat="1" ht="20.100000000000001" customHeight="1">
      <c r="A26" s="115" t="s">
        <v>214</v>
      </c>
    </row>
    <row r="27" spans="1:5" s="116" customFormat="1" ht="20.100000000000001" customHeight="1">
      <c r="A27" s="115" t="s">
        <v>215</v>
      </c>
      <c r="B27" s="116" t="s">
        <v>216</v>
      </c>
    </row>
    <row r="28" spans="1:5" s="116" customFormat="1" ht="20.100000000000001" customHeight="1">
      <c r="A28" s="115" t="s">
        <v>217</v>
      </c>
    </row>
    <row r="29" spans="1:5" s="116" customFormat="1" ht="20.100000000000001" customHeight="1">
      <c r="A29" s="115" t="s">
        <v>218</v>
      </c>
      <c r="B29" s="116" t="s">
        <v>219</v>
      </c>
    </row>
    <row r="30" spans="1:5" s="116" customFormat="1" ht="20.100000000000001" customHeight="1">
      <c r="A30" s="115" t="s">
        <v>220</v>
      </c>
      <c r="B30" s="116" t="s">
        <v>221</v>
      </c>
    </row>
    <row r="31" spans="1:5" s="116" customFormat="1" ht="20.100000000000001" customHeight="1">
      <c r="A31" s="115" t="s">
        <v>222</v>
      </c>
    </row>
    <row r="32" spans="1:5" s="116" customFormat="1" ht="20.100000000000001" customHeight="1">
      <c r="A32" s="115" t="s">
        <v>223</v>
      </c>
      <c r="B32" s="116" t="s">
        <v>224</v>
      </c>
      <c r="C32" s="116" t="s">
        <v>225</v>
      </c>
    </row>
    <row r="33" spans="1:3" s="116" customFormat="1" ht="20.100000000000001" customHeight="1">
      <c r="A33" s="115" t="s">
        <v>226</v>
      </c>
      <c r="B33" s="116" t="s">
        <v>227</v>
      </c>
    </row>
    <row r="34" spans="1:3" s="116" customFormat="1" ht="20.100000000000001" customHeight="1">
      <c r="A34" s="115" t="s">
        <v>228</v>
      </c>
      <c r="B34" s="116" t="s">
        <v>229</v>
      </c>
    </row>
    <row r="35" spans="1:3" s="116" customFormat="1" ht="20.100000000000001" customHeight="1">
      <c r="A35" s="115" t="s">
        <v>230</v>
      </c>
      <c r="B35" s="116" t="s">
        <v>231</v>
      </c>
      <c r="C35" s="116" t="s">
        <v>232</v>
      </c>
    </row>
    <row r="36" spans="1:3" s="116" customFormat="1" ht="20.100000000000001" customHeight="1">
      <c r="A36" s="115" t="s">
        <v>233</v>
      </c>
      <c r="B36" s="116" t="s">
        <v>234</v>
      </c>
    </row>
    <row r="37" spans="1:3" s="116" customFormat="1" ht="20.100000000000001" customHeight="1">
      <c r="A37" s="115" t="s">
        <v>235</v>
      </c>
      <c r="B37" s="116" t="s">
        <v>236</v>
      </c>
      <c r="C37" s="116" t="s">
        <v>237</v>
      </c>
    </row>
    <row r="38" spans="1:3" s="116" customFormat="1" ht="20.100000000000001" customHeight="1">
      <c r="A38" s="115" t="s">
        <v>238</v>
      </c>
    </row>
    <row r="39" spans="1:3" s="116" customFormat="1" ht="20.100000000000001" customHeight="1">
      <c r="A39" s="115" t="s">
        <v>239</v>
      </c>
      <c r="B39" s="116" t="s">
        <v>240</v>
      </c>
    </row>
    <row r="40" spans="1:3" s="116" customFormat="1" ht="20.100000000000001" customHeight="1">
      <c r="A40" s="115" t="s">
        <v>241</v>
      </c>
      <c r="B40" s="116" t="s">
        <v>242</v>
      </c>
      <c r="C40" s="116" t="s">
        <v>243</v>
      </c>
    </row>
    <row r="41" spans="1:3" s="116" customFormat="1" ht="20.100000000000001" customHeight="1">
      <c r="A41" s="115" t="s">
        <v>244</v>
      </c>
      <c r="B41" s="116" t="s">
        <v>245</v>
      </c>
    </row>
    <row r="42" spans="1:3" s="116" customFormat="1" ht="20.100000000000001" customHeight="1">
      <c r="A42" s="115" t="s">
        <v>246</v>
      </c>
      <c r="B42" s="116" t="s">
        <v>247</v>
      </c>
    </row>
    <row r="43" spans="1:3" s="116" customFormat="1" ht="20.100000000000001" customHeight="1">
      <c r="A43" s="115" t="s">
        <v>248</v>
      </c>
    </row>
    <row r="44" spans="1:3" s="116" customFormat="1" ht="20.100000000000001" customHeight="1">
      <c r="A44" s="115" t="s">
        <v>249</v>
      </c>
    </row>
    <row r="45" spans="1:3" s="116" customFormat="1" ht="20.100000000000001" customHeight="1">
      <c r="A45" s="115" t="s">
        <v>250</v>
      </c>
      <c r="B45" s="116" t="s">
        <v>251</v>
      </c>
    </row>
    <row r="46" spans="1:3" s="116" customFormat="1" ht="20.100000000000001" customHeight="1">
      <c r="A46" s="115" t="s">
        <v>252</v>
      </c>
    </row>
    <row r="47" spans="1:3" s="116" customFormat="1" ht="20.100000000000001" customHeight="1">
      <c r="A47" s="115" t="s">
        <v>253</v>
      </c>
      <c r="B47" s="116" t="s">
        <v>254</v>
      </c>
    </row>
    <row r="48" spans="1:3" s="116" customFormat="1" ht="20.100000000000001" customHeight="1">
      <c r="A48" s="115" t="s">
        <v>255</v>
      </c>
    </row>
    <row r="49" spans="1:4" s="116" customFormat="1" ht="20.100000000000001" customHeight="1">
      <c r="A49" s="115" t="s">
        <v>256</v>
      </c>
      <c r="B49" s="116" t="s">
        <v>257</v>
      </c>
    </row>
    <row r="50" spans="1:4" s="116" customFormat="1" ht="20.100000000000001" customHeight="1">
      <c r="A50" s="115" t="s">
        <v>258</v>
      </c>
    </row>
    <row r="51" spans="1:4" s="116" customFormat="1" ht="20.100000000000001" customHeight="1">
      <c r="A51" s="115" t="s">
        <v>259</v>
      </c>
      <c r="B51" s="116" t="s">
        <v>260</v>
      </c>
      <c r="C51" s="116" t="s">
        <v>261</v>
      </c>
      <c r="D51" s="116" t="s">
        <v>262</v>
      </c>
    </row>
    <row r="52" spans="1:4" s="116" customFormat="1" ht="20.100000000000001" customHeight="1">
      <c r="A52" s="115" t="s">
        <v>263</v>
      </c>
      <c r="B52" s="116" t="s">
        <v>264</v>
      </c>
    </row>
    <row r="53" spans="1:4" s="116" customFormat="1" ht="20.100000000000001" customHeight="1">
      <c r="A53" s="115" t="s">
        <v>265</v>
      </c>
      <c r="B53" s="116" t="s">
        <v>266</v>
      </c>
    </row>
    <row r="54" spans="1:4" s="116" customFormat="1" ht="20.100000000000001" customHeight="1">
      <c r="A54" s="115" t="s">
        <v>267</v>
      </c>
      <c r="B54" s="116" t="s">
        <v>268</v>
      </c>
    </row>
    <row r="55" spans="1:4" s="116" customFormat="1" ht="20.100000000000001" customHeight="1">
      <c r="A55" s="115" t="s">
        <v>269</v>
      </c>
      <c r="B55" s="116" t="s">
        <v>270</v>
      </c>
    </row>
    <row r="56" spans="1:4" s="116" customFormat="1" ht="20.100000000000001" customHeight="1">
      <c r="A56" s="115" t="s">
        <v>271</v>
      </c>
    </row>
    <row r="57" spans="1:4" s="116" customFormat="1" ht="20.100000000000001" customHeight="1">
      <c r="A57" s="115" t="s">
        <v>272</v>
      </c>
      <c r="B57" s="116" t="s">
        <v>273</v>
      </c>
    </row>
    <row r="58" spans="1:4" s="116" customFormat="1" ht="20.100000000000001" customHeight="1">
      <c r="A58" s="115" t="s">
        <v>274</v>
      </c>
    </row>
    <row r="59" spans="1:4" s="116" customFormat="1" ht="20.100000000000001" customHeight="1">
      <c r="A59" s="115" t="s">
        <v>275</v>
      </c>
    </row>
    <row r="60" spans="1:4" s="116" customFormat="1" ht="20.100000000000001" customHeight="1">
      <c r="A60" s="115" t="s">
        <v>276</v>
      </c>
      <c r="B60" s="116" t="s">
        <v>277</v>
      </c>
    </row>
    <row r="61" spans="1:4" s="116" customFormat="1" ht="20.100000000000001" customHeight="1">
      <c r="A61" s="115" t="s">
        <v>278</v>
      </c>
      <c r="B61" s="116" t="s">
        <v>279</v>
      </c>
    </row>
    <row r="62" spans="1:4" s="116" customFormat="1" ht="20.100000000000001" customHeight="1">
      <c r="A62" s="115" t="s">
        <v>280</v>
      </c>
      <c r="B62" s="116" t="s">
        <v>281</v>
      </c>
    </row>
    <row r="63" spans="1:4" s="116" customFormat="1" ht="20.100000000000001" customHeight="1">
      <c r="A63" s="115" t="s">
        <v>282</v>
      </c>
      <c r="B63" s="116" t="s">
        <v>283</v>
      </c>
    </row>
    <row r="64" spans="1:4" s="116" customFormat="1" ht="20.100000000000001" customHeight="1">
      <c r="A64" s="115" t="s">
        <v>284</v>
      </c>
      <c r="B64" s="116" t="s">
        <v>285</v>
      </c>
    </row>
    <row r="65" spans="1:2" s="116" customFormat="1" ht="20.100000000000001" customHeight="1">
      <c r="A65" s="115" t="s">
        <v>286</v>
      </c>
    </row>
    <row r="66" spans="1:2" s="116" customFormat="1" ht="20.100000000000001" customHeight="1">
      <c r="A66" s="115" t="s">
        <v>287</v>
      </c>
      <c r="B66" s="116" t="s">
        <v>288</v>
      </c>
    </row>
    <row r="67" spans="1:2" s="116" customFormat="1" ht="20.100000000000001" customHeight="1">
      <c r="A67" s="115" t="s">
        <v>289</v>
      </c>
      <c r="B67" s="116" t="s">
        <v>290</v>
      </c>
    </row>
    <row r="68" spans="1:2" s="116" customFormat="1" ht="20.100000000000001" customHeight="1">
      <c r="A68" s="115" t="s">
        <v>291</v>
      </c>
      <c r="B68" s="116" t="s">
        <v>292</v>
      </c>
    </row>
    <row r="69" spans="1:2" s="116" customFormat="1" ht="20.100000000000001" customHeight="1">
      <c r="A69" s="115" t="s">
        <v>293</v>
      </c>
    </row>
    <row r="70" spans="1:2" s="116" customFormat="1" ht="20.100000000000001" customHeight="1">
      <c r="A70" s="115" t="s">
        <v>294</v>
      </c>
      <c r="B70" s="116" t="s">
        <v>295</v>
      </c>
    </row>
    <row r="71" spans="1:2" s="116" customFormat="1" ht="20.100000000000001" customHeight="1">
      <c r="A71" s="115" t="s">
        <v>296</v>
      </c>
      <c r="B71" s="116" t="s">
        <v>297</v>
      </c>
    </row>
    <row r="72" spans="1:2" s="116" customFormat="1" ht="20.100000000000001" customHeight="1">
      <c r="A72" s="115" t="s">
        <v>298</v>
      </c>
    </row>
    <row r="73" spans="1:2" s="116" customFormat="1" ht="20.100000000000001" customHeight="1">
      <c r="A73" s="115" t="s">
        <v>299</v>
      </c>
    </row>
    <row r="74" spans="1:2" s="116" customFormat="1" ht="20.100000000000001" customHeight="1">
      <c r="A74" s="115" t="s">
        <v>300</v>
      </c>
    </row>
    <row r="75" spans="1:2" s="116" customFormat="1" ht="20.100000000000001" customHeight="1">
      <c r="A75" s="115" t="s">
        <v>301</v>
      </c>
    </row>
    <row r="76" spans="1:2" s="116" customFormat="1" ht="20.100000000000001" customHeight="1">
      <c r="A76" s="115" t="s">
        <v>302</v>
      </c>
      <c r="B76" s="116" t="s">
        <v>303</v>
      </c>
    </row>
    <row r="77" spans="1:2" s="116" customFormat="1" ht="20.100000000000001" customHeight="1">
      <c r="A77" s="115" t="s">
        <v>304</v>
      </c>
    </row>
    <row r="78" spans="1:2" s="116" customFormat="1" ht="20.100000000000001" customHeight="1">
      <c r="A78" s="115" t="s">
        <v>305</v>
      </c>
      <c r="B78" s="116" t="s">
        <v>306</v>
      </c>
    </row>
    <row r="79" spans="1:2" s="116" customFormat="1" ht="20.100000000000001" customHeight="1">
      <c r="A79" s="115" t="s">
        <v>307</v>
      </c>
      <c r="B79" s="116" t="s">
        <v>308</v>
      </c>
    </row>
    <row r="80" spans="1:2" s="116" customFormat="1" ht="20.100000000000001" customHeight="1">
      <c r="A80" s="115" t="s">
        <v>309</v>
      </c>
      <c r="B80" s="116" t="s">
        <v>310</v>
      </c>
    </row>
    <row r="81" spans="1:3" s="116" customFormat="1" ht="20.100000000000001" customHeight="1">
      <c r="A81" s="115" t="s">
        <v>311</v>
      </c>
      <c r="B81" s="116" t="s">
        <v>312</v>
      </c>
    </row>
    <row r="82" spans="1:3" s="116" customFormat="1" ht="20.100000000000001" customHeight="1">
      <c r="A82" s="115" t="s">
        <v>313</v>
      </c>
    </row>
    <row r="83" spans="1:3" s="116" customFormat="1" ht="20.100000000000001" customHeight="1">
      <c r="A83" s="115" t="s">
        <v>314</v>
      </c>
      <c r="B83" s="116" t="s">
        <v>315</v>
      </c>
    </row>
    <row r="84" spans="1:3" s="116" customFormat="1" ht="20.100000000000001" customHeight="1">
      <c r="A84" s="115" t="s">
        <v>316</v>
      </c>
      <c r="B84" s="116" t="s">
        <v>317</v>
      </c>
    </row>
    <row r="85" spans="1:3" s="116" customFormat="1" ht="20.100000000000001" customHeight="1">
      <c r="A85" s="115" t="s">
        <v>318</v>
      </c>
      <c r="B85" s="116" t="s">
        <v>319</v>
      </c>
    </row>
    <row r="86" spans="1:3" s="116" customFormat="1" ht="20.100000000000001" customHeight="1">
      <c r="A86" s="115" t="s">
        <v>320</v>
      </c>
      <c r="B86" s="116" t="s">
        <v>321</v>
      </c>
    </row>
    <row r="87" spans="1:3" s="116" customFormat="1" ht="20.100000000000001" customHeight="1">
      <c r="A87" s="115" t="s">
        <v>322</v>
      </c>
      <c r="B87" s="116" t="s">
        <v>323</v>
      </c>
    </row>
    <row r="88" spans="1:3" s="116" customFormat="1" ht="20.100000000000001" customHeight="1">
      <c r="A88" s="115" t="s">
        <v>324</v>
      </c>
    </row>
    <row r="89" spans="1:3" s="116" customFormat="1" ht="20.100000000000001" customHeight="1">
      <c r="A89" s="115" t="s">
        <v>325</v>
      </c>
    </row>
    <row r="90" spans="1:3" s="116" customFormat="1" ht="20.100000000000001" customHeight="1">
      <c r="A90" s="115" t="s">
        <v>326</v>
      </c>
      <c r="B90" s="116" t="s">
        <v>327</v>
      </c>
      <c r="C90" s="116" t="s">
        <v>328</v>
      </c>
    </row>
    <row r="91" spans="1:3" s="116" customFormat="1" ht="20.100000000000001" customHeight="1">
      <c r="A91" s="115" t="s">
        <v>329</v>
      </c>
      <c r="B91" s="116" t="s">
        <v>330</v>
      </c>
    </row>
    <row r="92" spans="1:3" s="116" customFormat="1" ht="20.100000000000001" customHeight="1">
      <c r="A92" s="115" t="s">
        <v>331</v>
      </c>
      <c r="B92" s="116" t="s">
        <v>332</v>
      </c>
    </row>
    <row r="93" spans="1:3" s="116" customFormat="1" ht="20.100000000000001" customHeight="1">
      <c r="A93" s="115" t="s">
        <v>333</v>
      </c>
      <c r="B93" s="116" t="s">
        <v>334</v>
      </c>
    </row>
    <row r="94" spans="1:3" s="116" customFormat="1" ht="20.100000000000001" customHeight="1">
      <c r="A94" s="115" t="s">
        <v>335</v>
      </c>
    </row>
    <row r="95" spans="1:3" s="116" customFormat="1" ht="20.100000000000001" customHeight="1">
      <c r="A95" s="115" t="s">
        <v>336</v>
      </c>
      <c r="B95" s="116" t="s">
        <v>337</v>
      </c>
    </row>
    <row r="96" spans="1:3" s="116" customFormat="1" ht="20.100000000000001" customHeight="1">
      <c r="A96" s="115" t="s">
        <v>338</v>
      </c>
      <c r="B96" s="116" t="s">
        <v>339</v>
      </c>
    </row>
    <row r="97" spans="1:2" s="116" customFormat="1" ht="20.100000000000001" customHeight="1">
      <c r="A97" s="115" t="s">
        <v>340</v>
      </c>
    </row>
    <row r="98" spans="1:2" s="116" customFormat="1" ht="20.100000000000001" customHeight="1">
      <c r="A98" s="115" t="s">
        <v>341</v>
      </c>
      <c r="B98" s="116" t="s">
        <v>342</v>
      </c>
    </row>
    <row r="99" spans="1:2" s="116" customFormat="1" ht="20.100000000000001" customHeight="1">
      <c r="A99" s="115" t="s">
        <v>343</v>
      </c>
      <c r="B99" s="116" t="s">
        <v>344</v>
      </c>
    </row>
    <row r="100" spans="1:2" s="116" customFormat="1" ht="20.100000000000001" customHeight="1">
      <c r="A100" s="115" t="s">
        <v>345</v>
      </c>
      <c r="B100" s="116" t="s">
        <v>346</v>
      </c>
    </row>
    <row r="101" spans="1:2" s="116" customFormat="1" ht="20.100000000000001" customHeight="1">
      <c r="A101" s="115" t="s">
        <v>347</v>
      </c>
      <c r="B101" s="116" t="s">
        <v>348</v>
      </c>
    </row>
    <row r="102" spans="1:2" s="116" customFormat="1" ht="20.100000000000001" customHeight="1">
      <c r="A102" s="115" t="s">
        <v>349</v>
      </c>
    </row>
    <row r="103" spans="1:2" s="116" customFormat="1" ht="20.100000000000001" customHeight="1">
      <c r="A103" s="115" t="s">
        <v>350</v>
      </c>
    </row>
    <row r="104" spans="1:2" s="116" customFormat="1" ht="20.100000000000001" customHeight="1">
      <c r="A104" s="115" t="s">
        <v>351</v>
      </c>
    </row>
    <row r="105" spans="1:2" s="116" customFormat="1" ht="20.100000000000001" customHeight="1">
      <c r="A105" s="115" t="s">
        <v>352</v>
      </c>
    </row>
    <row r="106" spans="1:2" s="116" customFormat="1" ht="20.100000000000001" customHeight="1">
      <c r="A106" s="115" t="s">
        <v>353</v>
      </c>
    </row>
    <row r="107" spans="1:2" s="116" customFormat="1" ht="20.100000000000001" customHeight="1">
      <c r="A107" s="115" t="s">
        <v>354</v>
      </c>
      <c r="B107" s="116" t="s">
        <v>355</v>
      </c>
    </row>
    <row r="108" spans="1:2" s="116" customFormat="1" ht="20.100000000000001" customHeight="1">
      <c r="A108" s="115" t="s">
        <v>356</v>
      </c>
      <c r="B108" s="116" t="s">
        <v>357</v>
      </c>
    </row>
    <row r="109" spans="1:2" s="116" customFormat="1" ht="20.100000000000001" customHeight="1">
      <c r="A109" s="115" t="s">
        <v>358</v>
      </c>
    </row>
    <row r="110" spans="1:2" s="116" customFormat="1" ht="20.100000000000001" customHeight="1">
      <c r="A110" s="115" t="s">
        <v>359</v>
      </c>
      <c r="B110" s="116" t="s">
        <v>360</v>
      </c>
    </row>
    <row r="111" spans="1:2" s="116" customFormat="1" ht="20.100000000000001" customHeight="1">
      <c r="A111" s="115" t="s">
        <v>361</v>
      </c>
    </row>
    <row r="112" spans="1:2" s="116" customFormat="1" ht="20.100000000000001" customHeight="1">
      <c r="A112" s="115" t="s">
        <v>362</v>
      </c>
      <c r="B112" s="116" t="s">
        <v>363</v>
      </c>
    </row>
    <row r="113" spans="1:5" s="116" customFormat="1" ht="20.100000000000001" customHeight="1">
      <c r="A113" s="115" t="s">
        <v>364</v>
      </c>
    </row>
    <row r="114" spans="1:5" s="116" customFormat="1" ht="20.100000000000001" customHeight="1">
      <c r="A114" s="115" t="s">
        <v>365</v>
      </c>
      <c r="B114" s="116" t="s">
        <v>366</v>
      </c>
    </row>
    <row r="115" spans="1:5" s="116" customFormat="1" ht="20.100000000000001" customHeight="1">
      <c r="A115" s="115" t="s">
        <v>367</v>
      </c>
      <c r="B115" s="116" t="s">
        <v>368</v>
      </c>
      <c r="C115" s="116" t="s">
        <v>369</v>
      </c>
      <c r="D115" s="116" t="s">
        <v>370</v>
      </c>
      <c r="E115" s="116" t="s">
        <v>371</v>
      </c>
    </row>
    <row r="116" spans="1:5" s="116" customFormat="1" ht="20.100000000000001" customHeight="1">
      <c r="A116" s="115" t="s">
        <v>372</v>
      </c>
      <c r="B116" s="116" t="s">
        <v>373</v>
      </c>
    </row>
    <row r="117" spans="1:5" s="116" customFormat="1" ht="20.100000000000001" customHeight="1">
      <c r="A117" s="115" t="s">
        <v>374</v>
      </c>
      <c r="B117" s="116" t="s">
        <v>375</v>
      </c>
    </row>
    <row r="118" spans="1:5" s="116" customFormat="1" ht="20.100000000000001" customHeight="1">
      <c r="A118" s="115" t="s">
        <v>376</v>
      </c>
      <c r="B118" s="116" t="s">
        <v>377</v>
      </c>
    </row>
    <row r="119" spans="1:5" s="116" customFormat="1" ht="20.100000000000001" customHeight="1">
      <c r="A119" s="115" t="s">
        <v>378</v>
      </c>
      <c r="B119" s="116" t="s">
        <v>379</v>
      </c>
    </row>
    <row r="120" spans="1:5" s="116" customFormat="1" ht="20.100000000000001" customHeight="1">
      <c r="A120" s="115" t="s">
        <v>380</v>
      </c>
    </row>
    <row r="121" spans="1:5" s="116" customFormat="1" ht="20.100000000000001" customHeight="1">
      <c r="A121" s="115" t="s">
        <v>381</v>
      </c>
      <c r="B121" s="116" t="s">
        <v>382</v>
      </c>
    </row>
    <row r="122" spans="1:5" s="116" customFormat="1" ht="20.100000000000001" customHeight="1">
      <c r="A122" s="115" t="s">
        <v>383</v>
      </c>
      <c r="B122" s="116" t="s">
        <v>384</v>
      </c>
    </row>
    <row r="123" spans="1:5" s="116" customFormat="1" ht="20.100000000000001" customHeight="1">
      <c r="A123" s="115" t="s">
        <v>385</v>
      </c>
      <c r="B123" s="116" t="s">
        <v>386</v>
      </c>
    </row>
    <row r="124" spans="1:5" s="116" customFormat="1" ht="20.100000000000001" customHeight="1">
      <c r="A124" s="115" t="s">
        <v>387</v>
      </c>
      <c r="B124" s="116" t="s">
        <v>388</v>
      </c>
    </row>
    <row r="125" spans="1:5" s="116" customFormat="1" ht="20.100000000000001" customHeight="1">
      <c r="A125" s="115" t="s">
        <v>389</v>
      </c>
      <c r="B125" s="116" t="s">
        <v>328</v>
      </c>
    </row>
    <row r="126" spans="1:5" s="116" customFormat="1" ht="20.100000000000001" customHeight="1">
      <c r="A126" s="115" t="s">
        <v>390</v>
      </c>
      <c r="B126" s="116" t="s">
        <v>391</v>
      </c>
      <c r="C126" s="116" t="s">
        <v>392</v>
      </c>
    </row>
    <row r="127" spans="1:5" s="116" customFormat="1" ht="20.100000000000001" customHeight="1">
      <c r="A127" s="115" t="s">
        <v>393</v>
      </c>
      <c r="B127" s="116" t="s">
        <v>394</v>
      </c>
    </row>
    <row r="128" spans="1:5" s="116" customFormat="1" ht="20.100000000000001" customHeight="1">
      <c r="A128" s="115" t="s">
        <v>395</v>
      </c>
      <c r="B128" s="116" t="s">
        <v>396</v>
      </c>
    </row>
    <row r="129" spans="1:2" s="116" customFormat="1" ht="20.100000000000001" customHeight="1">
      <c r="A129" s="115" t="s">
        <v>397</v>
      </c>
      <c r="B129" s="116" t="s">
        <v>398</v>
      </c>
    </row>
    <row r="130" spans="1:2" s="116" customFormat="1" ht="20.100000000000001" customHeight="1">
      <c r="A130" s="115" t="s">
        <v>399</v>
      </c>
      <c r="B130" s="116" t="s">
        <v>400</v>
      </c>
    </row>
    <row r="131" spans="1:2" s="116" customFormat="1" ht="20.100000000000001" customHeight="1">
      <c r="A131" s="115" t="s">
        <v>401</v>
      </c>
      <c r="B131" s="116" t="s">
        <v>402</v>
      </c>
    </row>
    <row r="132" spans="1:2" s="116" customFormat="1" ht="20.100000000000001" customHeight="1">
      <c r="A132" s="115" t="s">
        <v>403</v>
      </c>
      <c r="B132" s="116" t="s">
        <v>404</v>
      </c>
    </row>
    <row r="133" spans="1:2" s="116" customFormat="1" ht="20.100000000000001" customHeight="1">
      <c r="A133" s="115" t="s">
        <v>405</v>
      </c>
      <c r="B133" s="116" t="s">
        <v>406</v>
      </c>
    </row>
    <row r="134" spans="1:2" s="116" customFormat="1" ht="20.100000000000001" customHeight="1">
      <c r="A134" s="115" t="s">
        <v>407</v>
      </c>
    </row>
    <row r="135" spans="1:2" s="116" customFormat="1" ht="20.100000000000001" customHeight="1">
      <c r="A135" s="115" t="s">
        <v>408</v>
      </c>
      <c r="B135" s="116" t="s">
        <v>409</v>
      </c>
    </row>
    <row r="136" spans="1:2" s="116" customFormat="1" ht="20.100000000000001" customHeight="1">
      <c r="A136" s="115" t="s">
        <v>410</v>
      </c>
    </row>
    <row r="137" spans="1:2" s="116" customFormat="1" ht="20.100000000000001" customHeight="1">
      <c r="A137" s="115" t="s">
        <v>411</v>
      </c>
      <c r="B137" s="116" t="s">
        <v>412</v>
      </c>
    </row>
    <row r="138" spans="1:2" s="116" customFormat="1" ht="20.100000000000001" customHeight="1">
      <c r="A138" s="115" t="s">
        <v>413</v>
      </c>
      <c r="B138" s="116" t="s">
        <v>414</v>
      </c>
    </row>
    <row r="139" spans="1:2" s="116" customFormat="1" ht="20.100000000000001" customHeight="1">
      <c r="A139" s="115" t="s">
        <v>415</v>
      </c>
      <c r="B139" s="116" t="s">
        <v>416</v>
      </c>
    </row>
    <row r="140" spans="1:2" s="116" customFormat="1" ht="20.100000000000001" customHeight="1">
      <c r="A140" s="115" t="s">
        <v>417</v>
      </c>
    </row>
    <row r="141" spans="1:2" s="116" customFormat="1" ht="20.100000000000001" customHeight="1">
      <c r="A141" s="115" t="s">
        <v>418</v>
      </c>
    </row>
    <row r="142" spans="1:2" s="116" customFormat="1" ht="20.100000000000001" customHeight="1">
      <c r="A142" s="115" t="s">
        <v>419</v>
      </c>
      <c r="B142" s="116" t="s">
        <v>420</v>
      </c>
    </row>
    <row r="143" spans="1:2" s="116" customFormat="1" ht="20.100000000000001" customHeight="1">
      <c r="A143" s="115" t="s">
        <v>421</v>
      </c>
      <c r="B143" s="116" t="s">
        <v>422</v>
      </c>
    </row>
    <row r="144" spans="1:2" s="116" customFormat="1" ht="20.100000000000001" customHeight="1">
      <c r="A144" s="115" t="s">
        <v>423</v>
      </c>
      <c r="B144" s="116" t="s">
        <v>424</v>
      </c>
    </row>
    <row r="145" spans="1:2" s="116" customFormat="1" ht="20.100000000000001" customHeight="1">
      <c r="A145" s="115" t="s">
        <v>425</v>
      </c>
      <c r="B145" s="116" t="s">
        <v>426</v>
      </c>
    </row>
    <row r="146" spans="1:2" s="116" customFormat="1" ht="20.100000000000001" customHeight="1">
      <c r="A146" s="115" t="s">
        <v>427</v>
      </c>
      <c r="B146" s="116" t="s">
        <v>428</v>
      </c>
    </row>
    <row r="147" spans="1:2" s="116" customFormat="1" ht="20.100000000000001" customHeight="1">
      <c r="A147" s="115" t="s">
        <v>429</v>
      </c>
    </row>
    <row r="148" spans="1:2" s="116" customFormat="1" ht="20.100000000000001" customHeight="1">
      <c r="A148" s="115" t="s">
        <v>430</v>
      </c>
    </row>
    <row r="149" spans="1:2" s="116" customFormat="1" ht="20.100000000000001" customHeight="1">
      <c r="A149" s="115" t="s">
        <v>431</v>
      </c>
      <c r="B149" s="116" t="s">
        <v>432</v>
      </c>
    </row>
    <row r="150" spans="1:2" s="116" customFormat="1" ht="20.100000000000001" customHeight="1">
      <c r="A150" s="115" t="s">
        <v>433</v>
      </c>
    </row>
    <row r="151" spans="1:2" s="116" customFormat="1" ht="20.100000000000001" customHeight="1">
      <c r="A151" s="115" t="s">
        <v>434</v>
      </c>
    </row>
    <row r="152" spans="1:2" s="116" customFormat="1" ht="20.100000000000001" customHeight="1">
      <c r="A152" s="115" t="s">
        <v>435</v>
      </c>
    </row>
    <row r="153" spans="1:2" s="116" customFormat="1" ht="20.100000000000001" customHeight="1">
      <c r="A153" s="115" t="s">
        <v>436</v>
      </c>
    </row>
    <row r="154" spans="1:2" s="116" customFormat="1" ht="20.100000000000001" customHeight="1">
      <c r="A154" s="115" t="s">
        <v>437</v>
      </c>
    </row>
    <row r="155" spans="1:2" s="116" customFormat="1" ht="20.100000000000001" customHeight="1">
      <c r="A155" s="115" t="s">
        <v>438</v>
      </c>
    </row>
    <row r="156" spans="1:2" s="116" customFormat="1" ht="20.100000000000001" customHeight="1">
      <c r="A156" s="115" t="s">
        <v>439</v>
      </c>
    </row>
    <row r="157" spans="1:2" s="116" customFormat="1" ht="20.100000000000001" customHeight="1">
      <c r="A157" s="115" t="s">
        <v>440</v>
      </c>
    </row>
    <row r="158" spans="1:2" s="116" customFormat="1" ht="20.100000000000001" customHeight="1">
      <c r="A158" s="115" t="s">
        <v>441</v>
      </c>
    </row>
    <row r="159" spans="1:2" s="116" customFormat="1" ht="20.100000000000001" customHeight="1">
      <c r="A159" s="115" t="s">
        <v>442</v>
      </c>
    </row>
    <row r="160" spans="1:2" s="116" customFormat="1" ht="20.100000000000001" customHeight="1">
      <c r="A160" s="115" t="s">
        <v>443</v>
      </c>
    </row>
    <row r="161" spans="1:2" s="116" customFormat="1" ht="20.100000000000001" customHeight="1">
      <c r="A161" s="115" t="s">
        <v>444</v>
      </c>
    </row>
    <row r="162" spans="1:2" s="116" customFormat="1" ht="20.100000000000001" customHeight="1">
      <c r="A162" s="115" t="s">
        <v>445</v>
      </c>
    </row>
    <row r="163" spans="1:2" s="116" customFormat="1" ht="20.100000000000001" customHeight="1">
      <c r="A163" s="115" t="s">
        <v>446</v>
      </c>
    </row>
    <row r="164" spans="1:2" s="116" customFormat="1" ht="20.100000000000001" customHeight="1">
      <c r="A164" s="115" t="s">
        <v>447</v>
      </c>
    </row>
    <row r="165" spans="1:2" s="116" customFormat="1" ht="20.100000000000001" customHeight="1">
      <c r="A165" s="115" t="s">
        <v>448</v>
      </c>
    </row>
    <row r="166" spans="1:2" s="116" customFormat="1" ht="20.100000000000001" customHeight="1">
      <c r="A166" s="115" t="s">
        <v>449</v>
      </c>
    </row>
    <row r="167" spans="1:2" s="116" customFormat="1" ht="20.100000000000001" customHeight="1">
      <c r="A167" s="115" t="s">
        <v>450</v>
      </c>
    </row>
    <row r="168" spans="1:2" s="116" customFormat="1" ht="20.100000000000001" customHeight="1">
      <c r="A168" s="115" t="s">
        <v>451</v>
      </c>
    </row>
    <row r="169" spans="1:2" s="116" customFormat="1" ht="20.100000000000001" customHeight="1">
      <c r="A169" s="115" t="s">
        <v>452</v>
      </c>
    </row>
    <row r="170" spans="1:2" s="116" customFormat="1" ht="20.100000000000001" customHeight="1">
      <c r="A170" s="115" t="s">
        <v>453</v>
      </c>
    </row>
    <row r="171" spans="1:2" s="116" customFormat="1" ht="20.100000000000001" customHeight="1">
      <c r="A171" s="115" t="s">
        <v>454</v>
      </c>
    </row>
    <row r="172" spans="1:2" s="116" customFormat="1" ht="20.100000000000001" customHeight="1">
      <c r="A172" s="115" t="s">
        <v>455</v>
      </c>
    </row>
    <row r="173" spans="1:2" s="116" customFormat="1" ht="20.100000000000001" customHeight="1">
      <c r="A173" s="115" t="s">
        <v>456</v>
      </c>
      <c r="B173" s="116" t="s">
        <v>457</v>
      </c>
    </row>
    <row r="174" spans="1:2" s="116" customFormat="1" ht="20.100000000000001" customHeight="1">
      <c r="A174" s="115" t="s">
        <v>458</v>
      </c>
    </row>
    <row r="175" spans="1:2" s="116" customFormat="1" ht="20.100000000000001" customHeight="1">
      <c r="A175" s="115" t="s">
        <v>459</v>
      </c>
    </row>
    <row r="176" spans="1:2" s="116" customFormat="1" ht="20.100000000000001" customHeight="1">
      <c r="A176" s="115" t="s">
        <v>460</v>
      </c>
    </row>
    <row r="177" spans="1:1" s="116" customFormat="1" ht="20.100000000000001" customHeight="1">
      <c r="A177" s="115" t="s">
        <v>461</v>
      </c>
    </row>
    <row r="178" spans="1:1" s="116" customFormat="1" ht="20.100000000000001" customHeight="1">
      <c r="A178" s="115" t="s">
        <v>462</v>
      </c>
    </row>
    <row r="179" spans="1:1" s="116" customFormat="1" ht="20.100000000000001" customHeight="1">
      <c r="A179" s="115" t="s">
        <v>463</v>
      </c>
    </row>
    <row r="180" spans="1:1" s="116" customFormat="1" ht="20.100000000000001" customHeight="1">
      <c r="A180" s="115" t="s">
        <v>464</v>
      </c>
    </row>
    <row r="181" spans="1:1" s="116" customFormat="1" ht="20.100000000000001" customHeight="1">
      <c r="A181" s="115" t="s">
        <v>465</v>
      </c>
    </row>
    <row r="182" spans="1:1" s="116" customFormat="1" ht="20.100000000000001" customHeight="1">
      <c r="A182" s="115" t="s">
        <v>466</v>
      </c>
    </row>
    <row r="183" spans="1:1" s="116" customFormat="1" ht="20.100000000000001" customHeight="1">
      <c r="A183" s="115" t="s">
        <v>467</v>
      </c>
    </row>
    <row r="184" spans="1:1" s="116" customFormat="1" ht="20.100000000000001" customHeight="1">
      <c r="A184" s="115" t="s">
        <v>468</v>
      </c>
    </row>
    <row r="185" spans="1:1" s="116" customFormat="1" ht="20.100000000000001" customHeight="1">
      <c r="A185" s="115" t="s">
        <v>469</v>
      </c>
    </row>
    <row r="186" spans="1:1" s="116" customFormat="1" ht="20.100000000000001" customHeight="1">
      <c r="A186" s="115" t="s">
        <v>470</v>
      </c>
    </row>
    <row r="187" spans="1:1" s="116" customFormat="1" ht="20.100000000000001" customHeight="1">
      <c r="A187" s="115" t="s">
        <v>471</v>
      </c>
    </row>
    <row r="188" spans="1:1" s="116" customFormat="1" ht="20.100000000000001" customHeight="1">
      <c r="A188" s="115" t="s">
        <v>472</v>
      </c>
    </row>
    <row r="189" spans="1:1" s="116" customFormat="1" ht="20.100000000000001" customHeight="1">
      <c r="A189" s="115" t="s">
        <v>473</v>
      </c>
    </row>
    <row r="190" spans="1:1" s="116" customFormat="1" ht="20.100000000000001" customHeight="1">
      <c r="A190" s="115" t="s">
        <v>474</v>
      </c>
    </row>
    <row r="191" spans="1:1" s="116" customFormat="1" ht="20.100000000000001" customHeight="1">
      <c r="A191" s="115" t="s">
        <v>475</v>
      </c>
    </row>
    <row r="192" spans="1:1" s="116" customFormat="1" ht="20.100000000000001" customHeight="1">
      <c r="A192" s="115" t="s">
        <v>476</v>
      </c>
    </row>
    <row r="193" spans="1:2" s="116" customFormat="1" ht="20.100000000000001" customHeight="1">
      <c r="A193" s="115" t="s">
        <v>477</v>
      </c>
    </row>
    <row r="194" spans="1:2" s="116" customFormat="1" ht="20.100000000000001" customHeight="1">
      <c r="A194" s="115" t="s">
        <v>478</v>
      </c>
      <c r="B194" s="116" t="s">
        <v>479</v>
      </c>
    </row>
    <row r="195" spans="1:2" s="116" customFormat="1" ht="20.100000000000001" customHeight="1">
      <c r="A195" s="115" t="s">
        <v>480</v>
      </c>
    </row>
    <row r="196" spans="1:2" s="116" customFormat="1" ht="20.100000000000001" customHeight="1">
      <c r="A196" s="115" t="s">
        <v>481</v>
      </c>
    </row>
    <row r="197" spans="1:2" s="116" customFormat="1" ht="20.100000000000001" customHeight="1">
      <c r="A197" s="115" t="s">
        <v>482</v>
      </c>
    </row>
    <row r="198" spans="1:2" s="116" customFormat="1" ht="20.100000000000001" customHeight="1">
      <c r="A198" s="115" t="s">
        <v>483</v>
      </c>
    </row>
    <row r="199" spans="1:2" s="116" customFormat="1" ht="20.100000000000001" customHeight="1">
      <c r="A199" s="115" t="s">
        <v>484</v>
      </c>
    </row>
    <row r="200" spans="1:2" s="116" customFormat="1" ht="20.100000000000001" customHeight="1">
      <c r="A200" s="115" t="s">
        <v>485</v>
      </c>
    </row>
    <row r="201" spans="1:2" s="116" customFormat="1" ht="20.100000000000001" customHeight="1">
      <c r="A201" s="115" t="s">
        <v>486</v>
      </c>
    </row>
    <row r="202" spans="1:2" s="116" customFormat="1" ht="20.100000000000001" customHeight="1">
      <c r="A202" s="115" t="s">
        <v>487</v>
      </c>
    </row>
    <row r="203" spans="1:2" s="116" customFormat="1" ht="20.100000000000001" customHeight="1">
      <c r="A203" s="115" t="s">
        <v>488</v>
      </c>
    </row>
    <row r="204" spans="1:2" s="116" customFormat="1" ht="20.100000000000001" customHeight="1">
      <c r="A204" s="115" t="s">
        <v>489</v>
      </c>
    </row>
    <row r="205" spans="1:2" s="116" customFormat="1" ht="20.100000000000001" customHeight="1">
      <c r="A205" s="115" t="s">
        <v>490</v>
      </c>
    </row>
    <row r="206" spans="1:2" s="116" customFormat="1" ht="20.100000000000001" customHeight="1">
      <c r="A206" s="115" t="s">
        <v>491</v>
      </c>
    </row>
    <row r="207" spans="1:2" s="116" customFormat="1" ht="20.100000000000001" customHeight="1">
      <c r="A207" s="115" t="s">
        <v>492</v>
      </c>
    </row>
    <row r="208" spans="1:2" s="116" customFormat="1" ht="20.100000000000001" customHeight="1">
      <c r="A208" s="115" t="s">
        <v>493</v>
      </c>
    </row>
    <row r="209" spans="1:2" s="116" customFormat="1" ht="20.100000000000001" customHeight="1">
      <c r="A209" s="115" t="s">
        <v>494</v>
      </c>
    </row>
    <row r="210" spans="1:2" s="116" customFormat="1" ht="20.100000000000001" customHeight="1">
      <c r="A210" s="115" t="s">
        <v>495</v>
      </c>
    </row>
    <row r="211" spans="1:2" s="116" customFormat="1" ht="20.100000000000001" customHeight="1">
      <c r="A211" s="115" t="s">
        <v>496</v>
      </c>
    </row>
    <row r="212" spans="1:2" s="116" customFormat="1" ht="20.100000000000001" customHeight="1">
      <c r="A212" s="115" t="s">
        <v>497</v>
      </c>
      <c r="B212" s="116" t="s">
        <v>498</v>
      </c>
    </row>
    <row r="213" spans="1:2" s="116" customFormat="1" ht="20.100000000000001" customHeight="1">
      <c r="A213" s="115" t="s">
        <v>499</v>
      </c>
    </row>
    <row r="214" spans="1:2" s="116" customFormat="1" ht="20.100000000000001" customHeight="1">
      <c r="A214" s="115" t="s">
        <v>500</v>
      </c>
    </row>
    <row r="215" spans="1:2" s="116" customFormat="1" ht="20.100000000000001" customHeight="1">
      <c r="A215" s="115" t="s">
        <v>501</v>
      </c>
    </row>
    <row r="216" spans="1:2" s="116" customFormat="1" ht="20.100000000000001" customHeight="1">
      <c r="A216" s="115" t="s">
        <v>502</v>
      </c>
    </row>
    <row r="217" spans="1:2" s="116" customFormat="1" ht="20.100000000000001" customHeight="1">
      <c r="A217" s="115" t="s">
        <v>503</v>
      </c>
    </row>
    <row r="218" spans="1:2" s="116" customFormat="1" ht="20.100000000000001" customHeight="1">
      <c r="A218" s="115" t="s">
        <v>504</v>
      </c>
      <c r="B218" s="117" t="s">
        <v>369</v>
      </c>
    </row>
    <row r="219" spans="1:2" s="116" customFormat="1" ht="20.100000000000001" customHeight="1">
      <c r="A219" s="115" t="s">
        <v>505</v>
      </c>
      <c r="B219" s="116" t="s">
        <v>369</v>
      </c>
    </row>
    <row r="220" spans="1:2" s="116" customFormat="1" ht="20.100000000000001" customHeight="1">
      <c r="A220" s="115" t="s">
        <v>506</v>
      </c>
    </row>
    <row r="221" spans="1:2" s="116" customFormat="1" ht="20.100000000000001" customHeight="1">
      <c r="A221" s="115" t="s">
        <v>507</v>
      </c>
    </row>
    <row r="222" spans="1:2" s="116" customFormat="1" ht="20.100000000000001" customHeight="1">
      <c r="A222" s="115" t="s">
        <v>508</v>
      </c>
      <c r="B222" s="116" t="s">
        <v>509</v>
      </c>
    </row>
    <row r="223" spans="1:2" s="116" customFormat="1" ht="20.100000000000001" customHeight="1">
      <c r="A223" s="115" t="s">
        <v>510</v>
      </c>
    </row>
    <row r="224" spans="1:2" s="116" customFormat="1" ht="20.100000000000001" customHeight="1">
      <c r="A224" s="115" t="s">
        <v>511</v>
      </c>
    </row>
    <row r="225" spans="1:2" s="116" customFormat="1" ht="20.100000000000001" customHeight="1">
      <c r="A225" s="115" t="s">
        <v>512</v>
      </c>
    </row>
    <row r="226" spans="1:2" s="116" customFormat="1" ht="20.100000000000001" customHeight="1">
      <c r="A226" s="115" t="s">
        <v>513</v>
      </c>
    </row>
    <row r="227" spans="1:2" s="116" customFormat="1" ht="20.100000000000001" customHeight="1">
      <c r="A227" s="115" t="s">
        <v>514</v>
      </c>
    </row>
    <row r="228" spans="1:2" s="116" customFormat="1" ht="20.100000000000001" customHeight="1">
      <c r="A228" s="115" t="s">
        <v>515</v>
      </c>
    </row>
    <row r="229" spans="1:2" s="116" customFormat="1" ht="20.100000000000001" customHeight="1">
      <c r="A229" s="115" t="s">
        <v>516</v>
      </c>
    </row>
    <row r="230" spans="1:2" s="116" customFormat="1" ht="20.100000000000001" customHeight="1">
      <c r="A230" s="115" t="s">
        <v>517</v>
      </c>
    </row>
    <row r="231" spans="1:2" s="116" customFormat="1" ht="20.100000000000001" customHeight="1">
      <c r="A231" s="115" t="s">
        <v>518</v>
      </c>
      <c r="B231" s="116" t="s">
        <v>519</v>
      </c>
    </row>
    <row r="232" spans="1:2" s="116" customFormat="1" ht="20.100000000000001" customHeight="1">
      <c r="A232" s="115" t="s">
        <v>520</v>
      </c>
    </row>
    <row r="233" spans="1:2" s="116" customFormat="1" ht="20.100000000000001" customHeight="1">
      <c r="A233" s="115" t="s">
        <v>521</v>
      </c>
    </row>
    <row r="234" spans="1:2" s="116" customFormat="1" ht="20.100000000000001" customHeight="1">
      <c r="A234" s="115" t="s">
        <v>522</v>
      </c>
    </row>
    <row r="235" spans="1:2" s="116" customFormat="1" ht="20.100000000000001" customHeight="1">
      <c r="A235" s="115" t="s">
        <v>523</v>
      </c>
    </row>
    <row r="236" spans="1:2" s="116" customFormat="1" ht="20.100000000000001" customHeight="1">
      <c r="A236" s="115" t="s">
        <v>524</v>
      </c>
      <c r="B236" s="116" t="s">
        <v>525</v>
      </c>
    </row>
    <row r="237" spans="1:2" s="116" customFormat="1" ht="20.100000000000001" customHeight="1">
      <c r="A237" s="115" t="s">
        <v>526</v>
      </c>
      <c r="B237" s="116" t="s">
        <v>527</v>
      </c>
    </row>
    <row r="238" spans="1:2" s="116" customFormat="1" ht="20.100000000000001" customHeight="1">
      <c r="A238" s="115" t="s">
        <v>528</v>
      </c>
      <c r="B238" s="116" t="s">
        <v>529</v>
      </c>
    </row>
    <row r="239" spans="1:2" s="116" customFormat="1" ht="20.100000000000001" customHeight="1">
      <c r="A239" s="115" t="s">
        <v>530</v>
      </c>
      <c r="B239" s="116" t="s">
        <v>531</v>
      </c>
    </row>
    <row r="240" spans="1:2" s="116" customFormat="1" ht="20.100000000000001" customHeight="1">
      <c r="A240" s="115" t="s">
        <v>532</v>
      </c>
    </row>
    <row r="241" spans="1:3" s="116" customFormat="1" ht="20.100000000000001" customHeight="1">
      <c r="A241" s="115" t="s">
        <v>533</v>
      </c>
    </row>
    <row r="242" spans="1:3" s="116" customFormat="1" ht="20.100000000000001" customHeight="1">
      <c r="A242" s="115" t="s">
        <v>534</v>
      </c>
    </row>
    <row r="243" spans="1:3" s="116" customFormat="1" ht="20.100000000000001" customHeight="1">
      <c r="A243" s="115" t="s">
        <v>535</v>
      </c>
      <c r="B243" s="116" t="s">
        <v>536</v>
      </c>
    </row>
    <row r="244" spans="1:3" s="116" customFormat="1" ht="20.100000000000001" customHeight="1">
      <c r="A244" s="115" t="s">
        <v>537</v>
      </c>
    </row>
    <row r="245" spans="1:3" s="116" customFormat="1" ht="20.100000000000001" customHeight="1">
      <c r="A245" s="115" t="s">
        <v>538</v>
      </c>
    </row>
    <row r="246" spans="1:3" s="116" customFormat="1" ht="20.100000000000001" customHeight="1">
      <c r="A246" s="115" t="s">
        <v>539</v>
      </c>
      <c r="B246" s="116" t="s">
        <v>540</v>
      </c>
    </row>
    <row r="247" spans="1:3" s="116" customFormat="1" ht="20.100000000000001" customHeight="1">
      <c r="A247" s="115" t="s">
        <v>541</v>
      </c>
    </row>
    <row r="248" spans="1:3" s="116" customFormat="1" ht="20.100000000000001" customHeight="1">
      <c r="A248" s="115" t="s">
        <v>542</v>
      </c>
      <c r="B248" s="116" t="s">
        <v>543</v>
      </c>
    </row>
    <row r="249" spans="1:3" s="116" customFormat="1" ht="20.100000000000001" customHeight="1">
      <c r="A249" s="115" t="s">
        <v>544</v>
      </c>
      <c r="B249" s="116" t="s">
        <v>545</v>
      </c>
    </row>
    <row r="250" spans="1:3" s="116" customFormat="1" ht="20.100000000000001" customHeight="1">
      <c r="A250" s="115" t="s">
        <v>546</v>
      </c>
      <c r="B250" s="116" t="s">
        <v>547</v>
      </c>
    </row>
    <row r="251" spans="1:3" s="116" customFormat="1" ht="20.100000000000001" customHeight="1">
      <c r="A251" s="115" t="s">
        <v>548</v>
      </c>
    </row>
    <row r="252" spans="1:3" s="116" customFormat="1" ht="20.100000000000001" customHeight="1">
      <c r="A252" s="115" t="s">
        <v>549</v>
      </c>
    </row>
    <row r="253" spans="1:3" s="116" customFormat="1" ht="20.100000000000001" customHeight="1">
      <c r="A253" s="115" t="s">
        <v>550</v>
      </c>
    </row>
    <row r="254" spans="1:3" s="116" customFormat="1" ht="20.100000000000001" customHeight="1">
      <c r="A254" s="115" t="s">
        <v>551</v>
      </c>
      <c r="B254" s="116" t="s">
        <v>552</v>
      </c>
      <c r="C254" s="248" t="s">
        <v>3309</v>
      </c>
    </row>
    <row r="255" spans="1:3" s="116" customFormat="1" ht="20.100000000000001" customHeight="1">
      <c r="A255" s="115" t="s">
        <v>553</v>
      </c>
    </row>
    <row r="256" spans="1:3" s="116" customFormat="1" ht="20.100000000000001" customHeight="1">
      <c r="A256" s="115" t="s">
        <v>554</v>
      </c>
    </row>
    <row r="257" spans="1:1" s="116" customFormat="1" ht="20.100000000000001" customHeight="1">
      <c r="A257" s="115" t="s">
        <v>555</v>
      </c>
    </row>
    <row r="258" spans="1:1" s="116" customFormat="1" ht="20.100000000000001" customHeight="1">
      <c r="A258" s="115" t="s">
        <v>556</v>
      </c>
    </row>
    <row r="259" spans="1:1" s="116" customFormat="1" ht="20.100000000000001" customHeight="1">
      <c r="A259" s="115" t="s">
        <v>557</v>
      </c>
    </row>
    <row r="260" spans="1:1" s="116" customFormat="1" ht="20.100000000000001" customHeight="1">
      <c r="A260" s="115" t="s">
        <v>558</v>
      </c>
    </row>
    <row r="261" spans="1:1" s="116" customFormat="1" ht="20.100000000000001" customHeight="1">
      <c r="A261" s="115" t="s">
        <v>559</v>
      </c>
    </row>
    <row r="262" spans="1:1" s="116" customFormat="1" ht="20.100000000000001" customHeight="1">
      <c r="A262" s="115" t="s">
        <v>560</v>
      </c>
    </row>
    <row r="263" spans="1:1" s="116" customFormat="1" ht="20.100000000000001" customHeight="1">
      <c r="A263" s="115" t="s">
        <v>561</v>
      </c>
    </row>
    <row r="264" spans="1:1" s="116" customFormat="1" ht="20.100000000000001" customHeight="1">
      <c r="A264" s="115" t="s">
        <v>562</v>
      </c>
    </row>
    <row r="265" spans="1:1" s="116" customFormat="1" ht="20.100000000000001" customHeight="1">
      <c r="A265" s="115" t="s">
        <v>563</v>
      </c>
    </row>
    <row r="266" spans="1:1" s="116" customFormat="1" ht="20.100000000000001" customHeight="1">
      <c r="A266" s="115" t="s">
        <v>564</v>
      </c>
    </row>
    <row r="267" spans="1:1" s="116" customFormat="1" ht="20.100000000000001" customHeight="1">
      <c r="A267" s="115" t="s">
        <v>565</v>
      </c>
    </row>
    <row r="268" spans="1:1" s="116" customFormat="1" ht="20.100000000000001" customHeight="1">
      <c r="A268" s="115" t="s">
        <v>566</v>
      </c>
    </row>
    <row r="269" spans="1:1" s="116" customFormat="1" ht="20.100000000000001" customHeight="1">
      <c r="A269" s="115" t="s">
        <v>567</v>
      </c>
    </row>
    <row r="270" spans="1:1" s="116" customFormat="1" ht="20.100000000000001" customHeight="1">
      <c r="A270" s="115" t="s">
        <v>568</v>
      </c>
    </row>
    <row r="271" spans="1:1" s="116" customFormat="1" ht="20.100000000000001" customHeight="1">
      <c r="A271" s="115" t="s">
        <v>569</v>
      </c>
    </row>
    <row r="272" spans="1:1" s="116" customFormat="1" ht="20.100000000000001" customHeight="1">
      <c r="A272" s="115" t="s">
        <v>570</v>
      </c>
    </row>
    <row r="273" spans="1:1" s="116" customFormat="1" ht="20.100000000000001" customHeight="1">
      <c r="A273" s="115" t="s">
        <v>571</v>
      </c>
    </row>
    <row r="274" spans="1:1" s="116" customFormat="1" ht="20.100000000000001" customHeight="1">
      <c r="A274" s="115" t="s">
        <v>572</v>
      </c>
    </row>
    <row r="275" spans="1:1" s="116" customFormat="1" ht="20.100000000000001" customHeight="1">
      <c r="A275" s="115" t="s">
        <v>573</v>
      </c>
    </row>
    <row r="276" spans="1:1" s="116" customFormat="1" ht="20.100000000000001" customHeight="1">
      <c r="A276" s="115" t="s">
        <v>574</v>
      </c>
    </row>
    <row r="277" spans="1:1" s="116" customFormat="1" ht="20.100000000000001" customHeight="1">
      <c r="A277" s="115" t="s">
        <v>575</v>
      </c>
    </row>
    <row r="278" spans="1:1" s="116" customFormat="1" ht="20.100000000000001" customHeight="1">
      <c r="A278" s="115" t="s">
        <v>576</v>
      </c>
    </row>
    <row r="279" spans="1:1" s="116" customFormat="1" ht="20.100000000000001" customHeight="1">
      <c r="A279" s="115" t="s">
        <v>577</v>
      </c>
    </row>
    <row r="280" spans="1:1" s="116" customFormat="1" ht="20.100000000000001" customHeight="1">
      <c r="A280" s="115" t="s">
        <v>578</v>
      </c>
    </row>
    <row r="281" spans="1:1" s="116" customFormat="1" ht="20.100000000000001" customHeight="1">
      <c r="A281" s="115" t="s">
        <v>579</v>
      </c>
    </row>
    <row r="282" spans="1:1" s="116" customFormat="1" ht="20.100000000000001" customHeight="1">
      <c r="A282" s="115" t="s">
        <v>580</v>
      </c>
    </row>
    <row r="283" spans="1:1" s="116" customFormat="1" ht="20.100000000000001" customHeight="1">
      <c r="A283" s="115" t="s">
        <v>581</v>
      </c>
    </row>
    <row r="284" spans="1:1" s="116" customFormat="1" ht="20.100000000000001" customHeight="1">
      <c r="A284" s="115" t="s">
        <v>582</v>
      </c>
    </row>
    <row r="285" spans="1:1" s="116" customFormat="1" ht="20.100000000000001" customHeight="1">
      <c r="A285" s="115" t="s">
        <v>583</v>
      </c>
    </row>
    <row r="286" spans="1:1" s="116" customFormat="1" ht="20.100000000000001" customHeight="1">
      <c r="A286" s="115" t="s">
        <v>584</v>
      </c>
    </row>
    <row r="287" spans="1:1" s="116" customFormat="1" ht="20.100000000000001" customHeight="1">
      <c r="A287" s="115" t="s">
        <v>585</v>
      </c>
    </row>
    <row r="288" spans="1:1" s="116" customFormat="1" ht="20.100000000000001" customHeight="1">
      <c r="A288" s="115" t="s">
        <v>586</v>
      </c>
    </row>
    <row r="289" spans="1:2" s="116" customFormat="1" ht="20.100000000000001" customHeight="1">
      <c r="A289" s="115" t="s">
        <v>587</v>
      </c>
    </row>
    <row r="290" spans="1:2" s="116" customFormat="1" ht="20.100000000000001" customHeight="1">
      <c r="A290" s="115" t="s">
        <v>588</v>
      </c>
    </row>
    <row r="291" spans="1:2" s="116" customFormat="1" ht="20.100000000000001" customHeight="1">
      <c r="A291" s="115" t="s">
        <v>589</v>
      </c>
    </row>
    <row r="292" spans="1:2" s="116" customFormat="1" ht="20.100000000000001" customHeight="1">
      <c r="A292" s="115" t="s">
        <v>590</v>
      </c>
    </row>
    <row r="293" spans="1:2" s="116" customFormat="1" ht="20.100000000000001" customHeight="1">
      <c r="A293" s="115" t="s">
        <v>591</v>
      </c>
    </row>
    <row r="294" spans="1:2" s="116" customFormat="1" ht="20.100000000000001" customHeight="1">
      <c r="A294" s="115" t="s">
        <v>592</v>
      </c>
    </row>
    <row r="295" spans="1:2" s="116" customFormat="1" ht="20.100000000000001" customHeight="1">
      <c r="A295" s="115" t="s">
        <v>593</v>
      </c>
    </row>
    <row r="296" spans="1:2" s="116" customFormat="1" ht="20.100000000000001" customHeight="1">
      <c r="A296" s="115" t="s">
        <v>594</v>
      </c>
    </row>
    <row r="297" spans="1:2" s="116" customFormat="1" ht="20.100000000000001" customHeight="1">
      <c r="A297" s="115" t="s">
        <v>595</v>
      </c>
    </row>
    <row r="298" spans="1:2" s="116" customFormat="1" ht="20.100000000000001" customHeight="1">
      <c r="A298" s="115" t="s">
        <v>596</v>
      </c>
    </row>
    <row r="299" spans="1:2" s="116" customFormat="1" ht="20.100000000000001" customHeight="1">
      <c r="A299" s="115" t="s">
        <v>597</v>
      </c>
    </row>
    <row r="300" spans="1:2" s="116" customFormat="1" ht="20.100000000000001" customHeight="1">
      <c r="A300" s="115" t="s">
        <v>598</v>
      </c>
    </row>
    <row r="301" spans="1:2" s="116" customFormat="1" ht="20.100000000000001" customHeight="1">
      <c r="A301" s="115" t="s">
        <v>599</v>
      </c>
    </row>
    <row r="302" spans="1:2" s="116" customFormat="1" ht="20.100000000000001" customHeight="1">
      <c r="A302" s="115" t="s">
        <v>600</v>
      </c>
    </row>
    <row r="303" spans="1:2" s="116" customFormat="1" ht="20.100000000000001" customHeight="1">
      <c r="A303" s="115" t="s">
        <v>601</v>
      </c>
      <c r="B303" s="116" t="s">
        <v>602</v>
      </c>
    </row>
    <row r="304" spans="1:2" s="116" customFormat="1" ht="20.100000000000001" customHeight="1">
      <c r="A304" s="115" t="s">
        <v>603</v>
      </c>
      <c r="B304" s="116" t="s">
        <v>604</v>
      </c>
    </row>
    <row r="305" spans="1:8" s="116" customFormat="1" ht="20.100000000000001" customHeight="1">
      <c r="A305" s="115" t="s">
        <v>605</v>
      </c>
      <c r="B305" s="116" t="s">
        <v>606</v>
      </c>
    </row>
    <row r="306" spans="1:8" s="116" customFormat="1" ht="20.100000000000001" customHeight="1">
      <c r="A306" s="115" t="s">
        <v>607</v>
      </c>
      <c r="B306" s="116" t="s">
        <v>608</v>
      </c>
    </row>
    <row r="307" spans="1:8" s="116" customFormat="1" ht="20.100000000000001" customHeight="1">
      <c r="A307" s="115" t="s">
        <v>609</v>
      </c>
      <c r="B307" s="116" t="s">
        <v>610</v>
      </c>
    </row>
    <row r="308" spans="1:8" s="116" customFormat="1" ht="20.100000000000001" customHeight="1">
      <c r="A308" s="115" t="s">
        <v>611</v>
      </c>
    </row>
    <row r="309" spans="1:8" s="116" customFormat="1" ht="20.100000000000001" customHeight="1">
      <c r="A309" s="115" t="s">
        <v>612</v>
      </c>
      <c r="B309" s="116" t="s">
        <v>613</v>
      </c>
      <c r="C309" s="116" t="s">
        <v>614</v>
      </c>
    </row>
    <row r="310" spans="1:8" s="116" customFormat="1" ht="20.100000000000001" customHeight="1">
      <c r="A310" s="115" t="s">
        <v>615</v>
      </c>
      <c r="B310" s="116" t="s">
        <v>616</v>
      </c>
    </row>
    <row r="311" spans="1:8" s="116" customFormat="1" ht="20.100000000000001" customHeight="1">
      <c r="A311" s="115" t="s">
        <v>617</v>
      </c>
      <c r="B311" s="116" t="s">
        <v>618</v>
      </c>
    </row>
    <row r="312" spans="1:8" s="116" customFormat="1" ht="20.100000000000001" customHeight="1">
      <c r="A312" s="115" t="s">
        <v>619</v>
      </c>
      <c r="B312" s="116" t="s">
        <v>620</v>
      </c>
      <c r="C312" s="116" t="s">
        <v>621</v>
      </c>
    </row>
    <row r="313" spans="1:8" s="116" customFormat="1" ht="20.100000000000001" customHeight="1">
      <c r="A313" s="115" t="s">
        <v>622</v>
      </c>
      <c r="B313" s="116" t="s">
        <v>623</v>
      </c>
      <c r="C313" s="116" t="s">
        <v>624</v>
      </c>
      <c r="D313" s="116" t="s">
        <v>625</v>
      </c>
    </row>
    <row r="314" spans="1:8" s="116" customFormat="1" ht="20.100000000000001" customHeight="1">
      <c r="A314" s="115" t="s">
        <v>626</v>
      </c>
      <c r="B314" s="116" t="s">
        <v>627</v>
      </c>
    </row>
    <row r="315" spans="1:8" s="116" customFormat="1" ht="20.100000000000001" customHeight="1">
      <c r="A315" s="115" t="s">
        <v>628</v>
      </c>
      <c r="B315" s="116" t="s">
        <v>629</v>
      </c>
      <c r="C315" s="116" t="s">
        <v>630</v>
      </c>
    </row>
    <row r="316" spans="1:8" s="116" customFormat="1" ht="20.100000000000001" customHeight="1">
      <c r="A316" s="115" t="s">
        <v>631</v>
      </c>
      <c r="B316" s="116" t="s">
        <v>632</v>
      </c>
    </row>
    <row r="317" spans="1:8" s="116" customFormat="1" ht="20.100000000000001" customHeight="1">
      <c r="A317" s="115" t="s">
        <v>633</v>
      </c>
      <c r="B317" s="116" t="s">
        <v>634</v>
      </c>
    </row>
    <row r="318" spans="1:8" s="116" customFormat="1" ht="20.100000000000001" customHeight="1">
      <c r="A318" s="115" t="s">
        <v>635</v>
      </c>
      <c r="B318" s="116" t="s">
        <v>636</v>
      </c>
    </row>
    <row r="319" spans="1:8" s="116" customFormat="1" ht="20.100000000000001" customHeight="1">
      <c r="A319" s="115" t="s">
        <v>637</v>
      </c>
      <c r="B319" s="116" t="s">
        <v>638</v>
      </c>
      <c r="C319" s="116" t="s">
        <v>639</v>
      </c>
      <c r="D319" s="116" t="s">
        <v>640</v>
      </c>
      <c r="E319" s="116" t="s">
        <v>641</v>
      </c>
      <c r="F319" s="116" t="s">
        <v>642</v>
      </c>
      <c r="G319" s="116" t="s">
        <v>643</v>
      </c>
      <c r="H319" s="116" t="s">
        <v>644</v>
      </c>
    </row>
    <row r="320" spans="1:8" s="116" customFormat="1" ht="20.100000000000001" customHeight="1">
      <c r="A320" s="115" t="s">
        <v>645</v>
      </c>
      <c r="B320" s="116" t="s">
        <v>646</v>
      </c>
      <c r="C320" s="116" t="s">
        <v>647</v>
      </c>
      <c r="D320" s="116" t="s">
        <v>648</v>
      </c>
    </row>
    <row r="321" spans="1:6" s="116" customFormat="1" ht="20.100000000000001" customHeight="1">
      <c r="A321" s="115" t="s">
        <v>649</v>
      </c>
      <c r="B321" s="116" t="s">
        <v>650</v>
      </c>
    </row>
    <row r="322" spans="1:6" s="116" customFormat="1" ht="20.100000000000001" customHeight="1">
      <c r="A322" s="115" t="s">
        <v>651</v>
      </c>
      <c r="B322" s="116" t="s">
        <v>652</v>
      </c>
      <c r="C322" s="116" t="s">
        <v>653</v>
      </c>
    </row>
    <row r="323" spans="1:6" s="116" customFormat="1" ht="20.100000000000001" customHeight="1">
      <c r="A323" s="115" t="s">
        <v>654</v>
      </c>
      <c r="B323" s="116" t="s">
        <v>655</v>
      </c>
      <c r="C323" s="116" t="s">
        <v>656</v>
      </c>
      <c r="D323" s="116" t="s">
        <v>657</v>
      </c>
    </row>
    <row r="324" spans="1:6" s="116" customFormat="1" ht="20.100000000000001" customHeight="1">
      <c r="A324" s="115" t="s">
        <v>658</v>
      </c>
      <c r="B324" s="116" t="s">
        <v>659</v>
      </c>
    </row>
    <row r="325" spans="1:6" s="116" customFormat="1" ht="20.100000000000001" customHeight="1">
      <c r="A325" s="115" t="s">
        <v>660</v>
      </c>
      <c r="B325" s="116" t="s">
        <v>661</v>
      </c>
    </row>
    <row r="326" spans="1:6" s="116" customFormat="1" ht="20.100000000000001" customHeight="1">
      <c r="A326" s="115" t="s">
        <v>662</v>
      </c>
      <c r="B326" s="116" t="s">
        <v>663</v>
      </c>
      <c r="C326" s="116" t="s">
        <v>664</v>
      </c>
      <c r="D326" s="116" t="s">
        <v>665</v>
      </c>
    </row>
    <row r="327" spans="1:6" s="116" customFormat="1" ht="20.100000000000001" customHeight="1">
      <c r="A327" s="115" t="s">
        <v>666</v>
      </c>
      <c r="B327" s="116" t="s">
        <v>667</v>
      </c>
    </row>
    <row r="328" spans="1:6" s="116" customFormat="1" ht="20.100000000000001" customHeight="1">
      <c r="A328" s="115" t="s">
        <v>668</v>
      </c>
    </row>
    <row r="329" spans="1:6" s="116" customFormat="1" ht="20.100000000000001" customHeight="1">
      <c r="A329" s="115" t="s">
        <v>669</v>
      </c>
      <c r="B329" s="116" t="s">
        <v>670</v>
      </c>
    </row>
    <row r="330" spans="1:6" s="116" customFormat="1" ht="20.100000000000001" customHeight="1">
      <c r="A330" s="115" t="s">
        <v>671</v>
      </c>
      <c r="B330" s="116" t="s">
        <v>672</v>
      </c>
    </row>
    <row r="331" spans="1:6" s="116" customFormat="1" ht="20.100000000000001" customHeight="1">
      <c r="A331" s="115" t="s">
        <v>673</v>
      </c>
    </row>
    <row r="332" spans="1:6" s="116" customFormat="1" ht="20.100000000000001" customHeight="1">
      <c r="A332" s="115" t="s">
        <v>674</v>
      </c>
      <c r="B332" s="116" t="s">
        <v>675</v>
      </c>
    </row>
    <row r="333" spans="1:6" s="116" customFormat="1" ht="20.100000000000001" customHeight="1">
      <c r="A333" s="115" t="s">
        <v>676</v>
      </c>
      <c r="B333" s="116" t="s">
        <v>677</v>
      </c>
      <c r="C333" s="116" t="s">
        <v>678</v>
      </c>
      <c r="D333" s="116" t="s">
        <v>679</v>
      </c>
      <c r="E333" s="116" t="s">
        <v>680</v>
      </c>
      <c r="F333" s="116" t="s">
        <v>681</v>
      </c>
    </row>
    <row r="334" spans="1:6" s="116" customFormat="1" ht="20.100000000000001" customHeight="1">
      <c r="A334" s="115" t="s">
        <v>682</v>
      </c>
      <c r="B334" s="116" t="s">
        <v>683</v>
      </c>
      <c r="C334" s="116" t="s">
        <v>684</v>
      </c>
    </row>
    <row r="335" spans="1:6" s="116" customFormat="1" ht="20.100000000000001" customHeight="1">
      <c r="A335" s="115" t="s">
        <v>685</v>
      </c>
      <c r="B335" s="116" t="s">
        <v>686</v>
      </c>
    </row>
    <row r="336" spans="1:6" s="116" customFormat="1" ht="20.100000000000001" customHeight="1">
      <c r="A336" s="115" t="s">
        <v>687</v>
      </c>
      <c r="B336" s="116" t="s">
        <v>688</v>
      </c>
    </row>
    <row r="337" spans="1:8" s="116" customFormat="1" ht="20.100000000000001" customHeight="1">
      <c r="A337" s="115" t="s">
        <v>689</v>
      </c>
      <c r="B337" s="116" t="s">
        <v>690</v>
      </c>
    </row>
    <row r="338" spans="1:8" s="116" customFormat="1" ht="20.100000000000001" customHeight="1">
      <c r="A338" s="115" t="s">
        <v>691</v>
      </c>
      <c r="B338" s="116" t="s">
        <v>692</v>
      </c>
      <c r="C338" s="116" t="s">
        <v>693</v>
      </c>
      <c r="D338" s="116" t="s">
        <v>694</v>
      </c>
      <c r="E338" s="116" t="s">
        <v>695</v>
      </c>
      <c r="F338" s="116" t="s">
        <v>696</v>
      </c>
      <c r="G338" s="116" t="s">
        <v>697</v>
      </c>
      <c r="H338" s="116" t="s">
        <v>698</v>
      </c>
    </row>
    <row r="339" spans="1:8" s="116" customFormat="1" ht="20.100000000000001" customHeight="1">
      <c r="A339" s="115" t="s">
        <v>699</v>
      </c>
      <c r="B339" s="116" t="s">
        <v>700</v>
      </c>
    </row>
    <row r="340" spans="1:8" s="116" customFormat="1" ht="20.100000000000001" customHeight="1">
      <c r="A340" s="115" t="s">
        <v>701</v>
      </c>
      <c r="B340" s="116" t="s">
        <v>702</v>
      </c>
    </row>
    <row r="341" spans="1:8" s="116" customFormat="1" ht="20.100000000000001" customHeight="1">
      <c r="A341" s="115" t="s">
        <v>703</v>
      </c>
      <c r="B341" s="116" t="s">
        <v>704</v>
      </c>
    </row>
    <row r="342" spans="1:8" s="116" customFormat="1" ht="20.100000000000001" customHeight="1">
      <c r="A342" s="115" t="s">
        <v>705</v>
      </c>
      <c r="B342" s="116" t="s">
        <v>706</v>
      </c>
      <c r="C342" s="116" t="s">
        <v>707</v>
      </c>
    </row>
    <row r="343" spans="1:8" s="116" customFormat="1" ht="20.100000000000001" customHeight="1">
      <c r="A343" s="115" t="s">
        <v>708</v>
      </c>
      <c r="B343" s="116" t="s">
        <v>709</v>
      </c>
      <c r="C343" s="116" t="s">
        <v>710</v>
      </c>
      <c r="D343" s="116" t="s">
        <v>711</v>
      </c>
      <c r="E343" s="116" t="s">
        <v>712</v>
      </c>
    </row>
    <row r="344" spans="1:8" s="116" customFormat="1" ht="20.100000000000001" customHeight="1">
      <c r="A344" s="115" t="s">
        <v>713</v>
      </c>
      <c r="B344" s="116" t="s">
        <v>714</v>
      </c>
    </row>
    <row r="345" spans="1:8" s="116" customFormat="1" ht="20.100000000000001" customHeight="1">
      <c r="A345" s="115" t="s">
        <v>715</v>
      </c>
      <c r="B345" s="116" t="s">
        <v>716</v>
      </c>
      <c r="C345" s="116" t="s">
        <v>717</v>
      </c>
    </row>
    <row r="346" spans="1:8" s="116" customFormat="1" ht="20.100000000000001" customHeight="1">
      <c r="A346" s="115" t="s">
        <v>718</v>
      </c>
      <c r="B346" s="116" t="s">
        <v>719</v>
      </c>
      <c r="C346" s="116" t="s">
        <v>720</v>
      </c>
    </row>
    <row r="347" spans="1:8" s="116" customFormat="1" ht="20.100000000000001" customHeight="1">
      <c r="A347" s="115" t="s">
        <v>721</v>
      </c>
      <c r="B347" s="116" t="s">
        <v>722</v>
      </c>
    </row>
    <row r="348" spans="1:8" s="116" customFormat="1" ht="20.100000000000001" customHeight="1">
      <c r="A348" s="115" t="s">
        <v>723</v>
      </c>
      <c r="B348" s="116" t="s">
        <v>724</v>
      </c>
    </row>
    <row r="349" spans="1:8" s="116" customFormat="1" ht="20.100000000000001" customHeight="1">
      <c r="A349" s="115" t="s">
        <v>725</v>
      </c>
      <c r="B349" s="116" t="s">
        <v>726</v>
      </c>
    </row>
    <row r="350" spans="1:8" s="116" customFormat="1" ht="20.100000000000001" customHeight="1">
      <c r="A350" s="115" t="s">
        <v>727</v>
      </c>
      <c r="B350" s="116" t="s">
        <v>728</v>
      </c>
    </row>
    <row r="351" spans="1:8" s="116" customFormat="1" ht="20.100000000000001" customHeight="1">
      <c r="A351" s="115" t="s">
        <v>729</v>
      </c>
      <c r="B351" s="116" t="s">
        <v>730</v>
      </c>
    </row>
    <row r="352" spans="1:8" s="116" customFormat="1" ht="20.100000000000001" customHeight="1">
      <c r="A352" s="115" t="s">
        <v>731</v>
      </c>
      <c r="B352" s="116" t="s">
        <v>732</v>
      </c>
    </row>
    <row r="353" spans="1:4" s="116" customFormat="1" ht="20.100000000000001" customHeight="1">
      <c r="A353" s="115" t="s">
        <v>731</v>
      </c>
      <c r="B353" s="116" t="s">
        <v>733</v>
      </c>
    </row>
    <row r="354" spans="1:4" s="116" customFormat="1" ht="20.100000000000001" customHeight="1">
      <c r="A354" s="115" t="s">
        <v>734</v>
      </c>
      <c r="B354" s="116" t="s">
        <v>735</v>
      </c>
    </row>
    <row r="355" spans="1:4" s="116" customFormat="1" ht="20.100000000000001" customHeight="1">
      <c r="A355" s="115" t="s">
        <v>736</v>
      </c>
      <c r="B355" s="116" t="s">
        <v>737</v>
      </c>
    </row>
    <row r="356" spans="1:4" s="116" customFormat="1" ht="20.100000000000001" customHeight="1">
      <c r="A356" s="115" t="s">
        <v>738</v>
      </c>
    </row>
    <row r="357" spans="1:4" s="116" customFormat="1" ht="20.100000000000001" customHeight="1">
      <c r="A357" s="115" t="s">
        <v>739</v>
      </c>
      <c r="B357" s="116" t="s">
        <v>740</v>
      </c>
    </row>
    <row r="358" spans="1:4" s="116" customFormat="1" ht="20.100000000000001" customHeight="1">
      <c r="A358" s="115" t="s">
        <v>741</v>
      </c>
      <c r="B358" s="116" t="s">
        <v>742</v>
      </c>
    </row>
    <row r="359" spans="1:4" s="116" customFormat="1" ht="20.100000000000001" customHeight="1">
      <c r="A359" s="115" t="s">
        <v>743</v>
      </c>
    </row>
    <row r="360" spans="1:4" s="116" customFormat="1" ht="20.100000000000001" customHeight="1">
      <c r="A360" s="115" t="s">
        <v>744</v>
      </c>
      <c r="B360" s="116" t="s">
        <v>745</v>
      </c>
    </row>
    <row r="361" spans="1:4" s="116" customFormat="1" ht="20.100000000000001" customHeight="1">
      <c r="A361" s="115" t="s">
        <v>746</v>
      </c>
      <c r="B361" s="116" t="s">
        <v>747</v>
      </c>
      <c r="C361" s="116" t="s">
        <v>748</v>
      </c>
      <c r="D361" s="116" t="s">
        <v>749</v>
      </c>
    </row>
    <row r="362" spans="1:4" s="116" customFormat="1" ht="20.100000000000001" customHeight="1">
      <c r="A362" s="115" t="s">
        <v>750</v>
      </c>
      <c r="B362" s="116" t="s">
        <v>751</v>
      </c>
      <c r="C362" s="116" t="s">
        <v>752</v>
      </c>
      <c r="D362" s="116" t="s">
        <v>753</v>
      </c>
    </row>
    <row r="363" spans="1:4" s="116" customFormat="1" ht="20.100000000000001" customHeight="1">
      <c r="A363" s="115" t="s">
        <v>754</v>
      </c>
      <c r="B363" s="116" t="s">
        <v>755</v>
      </c>
      <c r="C363" s="116" t="s">
        <v>756</v>
      </c>
    </row>
    <row r="364" spans="1:4" s="116" customFormat="1" ht="20.100000000000001" customHeight="1">
      <c r="A364" s="115" t="s">
        <v>757</v>
      </c>
      <c r="B364" s="116" t="s">
        <v>758</v>
      </c>
      <c r="C364" s="116" t="s">
        <v>759</v>
      </c>
      <c r="D364" s="116" t="s">
        <v>760</v>
      </c>
    </row>
    <row r="365" spans="1:4" s="116" customFormat="1" ht="20.100000000000001" customHeight="1">
      <c r="A365" s="115" t="s">
        <v>761</v>
      </c>
      <c r="B365" s="116" t="s">
        <v>762</v>
      </c>
    </row>
    <row r="366" spans="1:4" s="116" customFormat="1" ht="20.100000000000001" customHeight="1">
      <c r="A366" s="115" t="s">
        <v>763</v>
      </c>
      <c r="B366" s="116" t="s">
        <v>764</v>
      </c>
    </row>
    <row r="367" spans="1:4" s="116" customFormat="1" ht="20.100000000000001" customHeight="1">
      <c r="A367" s="115" t="s">
        <v>765</v>
      </c>
      <c r="B367" s="116" t="s">
        <v>766</v>
      </c>
    </row>
    <row r="368" spans="1:4" s="116" customFormat="1" ht="20.100000000000001" customHeight="1">
      <c r="A368" s="115" t="s">
        <v>767</v>
      </c>
      <c r="B368" s="116" t="s">
        <v>768</v>
      </c>
    </row>
    <row r="369" spans="1:6" s="116" customFormat="1" ht="20.100000000000001" customHeight="1">
      <c r="A369" s="115" t="s">
        <v>769</v>
      </c>
      <c r="B369" s="116" t="s">
        <v>770</v>
      </c>
      <c r="C369" s="116" t="s">
        <v>771</v>
      </c>
      <c r="D369" s="116" t="s">
        <v>772</v>
      </c>
    </row>
    <row r="370" spans="1:6" s="116" customFormat="1" ht="20.100000000000001" customHeight="1">
      <c r="A370" s="115" t="s">
        <v>773</v>
      </c>
      <c r="B370" s="116" t="s">
        <v>774</v>
      </c>
    </row>
    <row r="371" spans="1:6" s="116" customFormat="1" ht="20.100000000000001" customHeight="1">
      <c r="A371" s="115" t="s">
        <v>775</v>
      </c>
      <c r="B371" s="116" t="s">
        <v>776</v>
      </c>
    </row>
    <row r="372" spans="1:6" s="116" customFormat="1" ht="20.100000000000001" customHeight="1">
      <c r="A372" s="115" t="s">
        <v>777</v>
      </c>
      <c r="B372" s="116" t="s">
        <v>778</v>
      </c>
    </row>
    <row r="373" spans="1:6" s="116" customFormat="1" ht="20.100000000000001" customHeight="1">
      <c r="A373" s="115" t="s">
        <v>779</v>
      </c>
      <c r="B373" s="116" t="s">
        <v>780</v>
      </c>
    </row>
    <row r="374" spans="1:6" s="116" customFormat="1" ht="20.100000000000001" customHeight="1">
      <c r="A374" s="115" t="s">
        <v>781</v>
      </c>
      <c r="B374" s="116" t="s">
        <v>782</v>
      </c>
    </row>
    <row r="375" spans="1:6" s="116" customFormat="1" ht="20.100000000000001" customHeight="1">
      <c r="A375" s="115" t="s">
        <v>783</v>
      </c>
      <c r="B375" s="116" t="s">
        <v>784</v>
      </c>
    </row>
    <row r="376" spans="1:6" s="116" customFormat="1" ht="20.100000000000001" customHeight="1">
      <c r="A376" s="115" t="s">
        <v>785</v>
      </c>
      <c r="B376" s="116" t="s">
        <v>786</v>
      </c>
    </row>
    <row r="377" spans="1:6" s="116" customFormat="1" ht="20.100000000000001" customHeight="1">
      <c r="A377" s="115" t="s">
        <v>787</v>
      </c>
      <c r="B377" s="116" t="s">
        <v>788</v>
      </c>
      <c r="C377" s="116" t="s">
        <v>789</v>
      </c>
    </row>
    <row r="378" spans="1:6" s="116" customFormat="1" ht="20.100000000000001" customHeight="1">
      <c r="A378" s="115" t="s">
        <v>790</v>
      </c>
      <c r="B378" s="116" t="s">
        <v>791</v>
      </c>
    </row>
    <row r="379" spans="1:6" s="116" customFormat="1" ht="20.100000000000001" customHeight="1">
      <c r="A379" s="115" t="s">
        <v>792</v>
      </c>
      <c r="B379" s="116" t="s">
        <v>793</v>
      </c>
    </row>
    <row r="380" spans="1:6" s="116" customFormat="1" ht="20.100000000000001" customHeight="1">
      <c r="A380" s="115" t="s">
        <v>794</v>
      </c>
      <c r="B380" s="116" t="s">
        <v>795</v>
      </c>
    </row>
    <row r="381" spans="1:6" s="116" customFormat="1" ht="20.100000000000001" customHeight="1">
      <c r="A381" s="115" t="s">
        <v>796</v>
      </c>
      <c r="B381" s="116" t="s">
        <v>797</v>
      </c>
      <c r="C381" s="116" t="s">
        <v>798</v>
      </c>
    </row>
    <row r="382" spans="1:6" s="116" customFormat="1" ht="20.100000000000001" customHeight="1">
      <c r="A382" s="115" t="s">
        <v>799</v>
      </c>
      <c r="B382" s="116" t="s">
        <v>800</v>
      </c>
    </row>
    <row r="383" spans="1:6" s="116" customFormat="1" ht="20.100000000000001" customHeight="1">
      <c r="A383" s="115" t="s">
        <v>801</v>
      </c>
      <c r="B383" s="116" t="s">
        <v>802</v>
      </c>
    </row>
    <row r="384" spans="1:6" s="116" customFormat="1" ht="20.100000000000001" customHeight="1">
      <c r="A384" s="115" t="s">
        <v>803</v>
      </c>
      <c r="B384" s="116" t="s">
        <v>804</v>
      </c>
      <c r="C384" s="116" t="s">
        <v>805</v>
      </c>
      <c r="D384" s="116" t="s">
        <v>806</v>
      </c>
      <c r="E384" s="116" t="s">
        <v>807</v>
      </c>
      <c r="F384" s="248" t="s">
        <v>3311</v>
      </c>
    </row>
    <row r="385" spans="1:5" s="116" customFormat="1" ht="20.100000000000001" customHeight="1">
      <c r="A385" s="115" t="s">
        <v>808</v>
      </c>
      <c r="B385" s="116" t="s">
        <v>809</v>
      </c>
    </row>
    <row r="386" spans="1:5" s="116" customFormat="1" ht="20.100000000000001" customHeight="1">
      <c r="A386" s="115" t="s">
        <v>810</v>
      </c>
      <c r="B386" s="116" t="s">
        <v>811</v>
      </c>
      <c r="C386" s="116" t="s">
        <v>812</v>
      </c>
      <c r="D386" s="116" t="s">
        <v>813</v>
      </c>
    </row>
    <row r="387" spans="1:5" s="116" customFormat="1" ht="20.100000000000001" customHeight="1">
      <c r="A387" s="115" t="s">
        <v>814</v>
      </c>
      <c r="B387" s="116" t="s">
        <v>815</v>
      </c>
    </row>
    <row r="388" spans="1:5" s="116" customFormat="1" ht="20.100000000000001" customHeight="1">
      <c r="A388" s="115" t="s">
        <v>816</v>
      </c>
      <c r="B388" s="116" t="s">
        <v>817</v>
      </c>
    </row>
    <row r="389" spans="1:5" s="116" customFormat="1" ht="20.100000000000001" customHeight="1">
      <c r="A389" s="115" t="s">
        <v>818</v>
      </c>
      <c r="B389" s="116" t="s">
        <v>819</v>
      </c>
    </row>
    <row r="390" spans="1:5" s="116" customFormat="1" ht="20.100000000000001" customHeight="1">
      <c r="A390" s="115" t="s">
        <v>820</v>
      </c>
      <c r="B390" s="116" t="s">
        <v>821</v>
      </c>
      <c r="C390" s="116" t="s">
        <v>822</v>
      </c>
    </row>
    <row r="391" spans="1:5" s="116" customFormat="1" ht="20.100000000000001" customHeight="1">
      <c r="A391" s="115" t="s">
        <v>823</v>
      </c>
      <c r="B391" s="116" t="s">
        <v>824</v>
      </c>
    </row>
    <row r="392" spans="1:5" s="116" customFormat="1" ht="20.100000000000001" customHeight="1">
      <c r="A392" s="115" t="s">
        <v>825</v>
      </c>
      <c r="B392" s="116" t="s">
        <v>826</v>
      </c>
      <c r="C392" s="116" t="s">
        <v>827</v>
      </c>
    </row>
    <row r="393" spans="1:5" s="116" customFormat="1" ht="20.100000000000001" customHeight="1">
      <c r="A393" s="115" t="s">
        <v>828</v>
      </c>
      <c r="B393" s="116" t="s">
        <v>829</v>
      </c>
      <c r="C393" s="116" t="s">
        <v>830</v>
      </c>
    </row>
    <row r="394" spans="1:5" s="116" customFormat="1" ht="20.100000000000001" customHeight="1">
      <c r="A394" s="115" t="s">
        <v>831</v>
      </c>
      <c r="B394" s="116" t="s">
        <v>832</v>
      </c>
    </row>
    <row r="395" spans="1:5" s="116" customFormat="1" ht="20.100000000000001" customHeight="1">
      <c r="A395" s="115" t="s">
        <v>833</v>
      </c>
      <c r="B395" s="116" t="s">
        <v>834</v>
      </c>
      <c r="C395" s="116" t="s">
        <v>835</v>
      </c>
    </row>
    <row r="396" spans="1:5" s="116" customFormat="1" ht="20.100000000000001" customHeight="1">
      <c r="A396" s="115" t="s">
        <v>836</v>
      </c>
      <c r="B396" s="116" t="s">
        <v>837</v>
      </c>
    </row>
    <row r="397" spans="1:5" s="116" customFormat="1" ht="20.100000000000001" customHeight="1">
      <c r="A397" s="115" t="s">
        <v>838</v>
      </c>
      <c r="B397" s="116" t="s">
        <v>839</v>
      </c>
      <c r="C397" s="116" t="s">
        <v>840</v>
      </c>
    </row>
    <row r="398" spans="1:5" s="116" customFormat="1" ht="20.100000000000001" customHeight="1">
      <c r="A398" s="115" t="s">
        <v>841</v>
      </c>
      <c r="B398" s="116" t="s">
        <v>842</v>
      </c>
    </row>
    <row r="399" spans="1:5" s="116" customFormat="1" ht="20.100000000000001" customHeight="1">
      <c r="A399" s="115" t="s">
        <v>843</v>
      </c>
      <c r="B399" s="116" t="s">
        <v>844</v>
      </c>
      <c r="C399" s="116" t="s">
        <v>845</v>
      </c>
    </row>
    <row r="400" spans="1:5" s="116" customFormat="1" ht="20.100000000000001" customHeight="1">
      <c r="A400" s="115" t="s">
        <v>846</v>
      </c>
      <c r="B400" s="116" t="s">
        <v>847</v>
      </c>
      <c r="C400" s="116" t="s">
        <v>848</v>
      </c>
      <c r="D400" s="116" t="s">
        <v>849</v>
      </c>
      <c r="E400" s="116" t="s">
        <v>3246</v>
      </c>
    </row>
    <row r="401" spans="1:6" s="116" customFormat="1" ht="20.100000000000001" customHeight="1">
      <c r="A401" s="115" t="s">
        <v>850</v>
      </c>
      <c r="B401" s="116" t="s">
        <v>851</v>
      </c>
    </row>
    <row r="402" spans="1:6" s="116" customFormat="1" ht="20.100000000000001" customHeight="1">
      <c r="A402" s="115" t="s">
        <v>852</v>
      </c>
      <c r="B402" s="116" t="s">
        <v>853</v>
      </c>
    </row>
    <row r="403" spans="1:6" s="116" customFormat="1" ht="20.100000000000001" customHeight="1">
      <c r="A403" s="115" t="s">
        <v>854</v>
      </c>
      <c r="B403" s="116" t="s">
        <v>855</v>
      </c>
      <c r="C403" s="116" t="s">
        <v>856</v>
      </c>
      <c r="D403" s="116" t="s">
        <v>857</v>
      </c>
    </row>
    <row r="404" spans="1:6" s="116" customFormat="1" ht="20.100000000000001" customHeight="1">
      <c r="A404" s="115" t="s">
        <v>858</v>
      </c>
      <c r="B404" s="116" t="s">
        <v>859</v>
      </c>
    </row>
    <row r="405" spans="1:6" s="116" customFormat="1" ht="20.100000000000001" customHeight="1">
      <c r="A405" s="115" t="s">
        <v>860</v>
      </c>
      <c r="B405" s="116" t="s">
        <v>861</v>
      </c>
    </row>
    <row r="406" spans="1:6" s="116" customFormat="1" ht="20.100000000000001" customHeight="1">
      <c r="A406" s="115" t="s">
        <v>862</v>
      </c>
      <c r="B406" s="116" t="s">
        <v>863</v>
      </c>
      <c r="C406" s="116" t="s">
        <v>864</v>
      </c>
    </row>
    <row r="407" spans="1:6" s="116" customFormat="1" ht="20.100000000000001" customHeight="1">
      <c r="A407" s="115" t="s">
        <v>865</v>
      </c>
      <c r="B407" s="116" t="s">
        <v>866</v>
      </c>
    </row>
    <row r="408" spans="1:6" s="116" customFormat="1" ht="20.100000000000001" customHeight="1">
      <c r="A408" s="115" t="s">
        <v>867</v>
      </c>
      <c r="B408" s="116" t="s">
        <v>868</v>
      </c>
      <c r="C408" s="116" t="s">
        <v>869</v>
      </c>
    </row>
    <row r="409" spans="1:6" s="116" customFormat="1" ht="20.100000000000001" customHeight="1">
      <c r="A409" s="115" t="s">
        <v>870</v>
      </c>
      <c r="B409" s="116" t="s">
        <v>871</v>
      </c>
    </row>
    <row r="410" spans="1:6" s="116" customFormat="1" ht="20.100000000000001" customHeight="1">
      <c r="A410" s="115" t="s">
        <v>872</v>
      </c>
      <c r="B410" s="116" t="s">
        <v>873</v>
      </c>
      <c r="C410" s="116" t="s">
        <v>874</v>
      </c>
      <c r="D410" s="116" t="s">
        <v>875</v>
      </c>
    </row>
    <row r="411" spans="1:6" s="116" customFormat="1" ht="20.100000000000001" customHeight="1">
      <c r="A411" s="115" t="s">
        <v>876</v>
      </c>
      <c r="B411" s="116" t="s">
        <v>877</v>
      </c>
    </row>
    <row r="412" spans="1:6" s="116" customFormat="1" ht="20.100000000000001" customHeight="1">
      <c r="A412" s="115" t="s">
        <v>878</v>
      </c>
      <c r="B412" s="116" t="s">
        <v>879</v>
      </c>
    </row>
    <row r="413" spans="1:6" s="116" customFormat="1" ht="20.100000000000001" customHeight="1">
      <c r="A413" s="115" t="s">
        <v>880</v>
      </c>
      <c r="B413" s="116" t="s">
        <v>881</v>
      </c>
    </row>
    <row r="414" spans="1:6" s="116" customFormat="1" ht="20.100000000000001" customHeight="1">
      <c r="A414" s="115" t="s">
        <v>882</v>
      </c>
      <c r="B414" s="116" t="s">
        <v>677</v>
      </c>
      <c r="C414" s="116" t="s">
        <v>678</v>
      </c>
      <c r="D414" s="116" t="s">
        <v>679</v>
      </c>
      <c r="E414" s="116" t="s">
        <v>680</v>
      </c>
      <c r="F414" s="116" t="s">
        <v>681</v>
      </c>
    </row>
    <row r="415" spans="1:6" s="116" customFormat="1" ht="20.100000000000001" customHeight="1">
      <c r="A415" s="115" t="s">
        <v>883</v>
      </c>
      <c r="B415" s="116" t="s">
        <v>884</v>
      </c>
      <c r="C415" s="116" t="s">
        <v>885</v>
      </c>
      <c r="D415" s="116" t="s">
        <v>886</v>
      </c>
      <c r="E415" s="116" t="s">
        <v>887</v>
      </c>
      <c r="F415" s="116" t="s">
        <v>2025</v>
      </c>
    </row>
    <row r="416" spans="1:6" s="116" customFormat="1" ht="20.100000000000001" customHeight="1">
      <c r="A416" s="115" t="s">
        <v>888</v>
      </c>
      <c r="B416" s="116" t="s">
        <v>889</v>
      </c>
      <c r="C416" s="116" t="s">
        <v>890</v>
      </c>
    </row>
    <row r="417" spans="1:4" s="116" customFormat="1" ht="20.100000000000001" customHeight="1">
      <c r="A417" s="115" t="s">
        <v>891</v>
      </c>
      <c r="B417" s="116" t="s">
        <v>892</v>
      </c>
    </row>
    <row r="418" spans="1:4" s="116" customFormat="1" ht="20.100000000000001" customHeight="1">
      <c r="A418" s="115" t="s">
        <v>893</v>
      </c>
      <c r="B418" s="116" t="s">
        <v>894</v>
      </c>
      <c r="C418" s="116" t="s">
        <v>895</v>
      </c>
    </row>
    <row r="419" spans="1:4" s="116" customFormat="1" ht="20.100000000000001" customHeight="1">
      <c r="A419" s="115" t="s">
        <v>896</v>
      </c>
      <c r="B419" s="116" t="s">
        <v>897</v>
      </c>
    </row>
    <row r="420" spans="1:4" s="116" customFormat="1" ht="20.100000000000001" customHeight="1">
      <c r="A420" s="115" t="s">
        <v>898</v>
      </c>
    </row>
    <row r="421" spans="1:4" s="116" customFormat="1" ht="20.100000000000001" customHeight="1">
      <c r="A421" s="115" t="s">
        <v>899</v>
      </c>
      <c r="B421" s="116" t="s">
        <v>900</v>
      </c>
    </row>
    <row r="422" spans="1:4" s="116" customFormat="1" ht="20.100000000000001" customHeight="1">
      <c r="A422" s="115" t="s">
        <v>901</v>
      </c>
      <c r="B422" s="116" t="s">
        <v>902</v>
      </c>
      <c r="C422" s="116" t="s">
        <v>903</v>
      </c>
      <c r="D422" s="116" t="s">
        <v>904</v>
      </c>
    </row>
    <row r="423" spans="1:4" s="116" customFormat="1" ht="20.100000000000001" customHeight="1">
      <c r="A423" s="115" t="s">
        <v>905</v>
      </c>
      <c r="B423" s="116" t="s">
        <v>906</v>
      </c>
      <c r="C423" s="116" t="s">
        <v>907</v>
      </c>
    </row>
    <row r="424" spans="1:4" s="116" customFormat="1" ht="20.100000000000001" customHeight="1">
      <c r="A424" s="115" t="s">
        <v>908</v>
      </c>
      <c r="B424" s="116" t="s">
        <v>909</v>
      </c>
      <c r="C424" s="116" t="s">
        <v>910</v>
      </c>
    </row>
    <row r="425" spans="1:4" s="116" customFormat="1" ht="20.100000000000001" customHeight="1">
      <c r="A425" s="115" t="s">
        <v>911</v>
      </c>
      <c r="B425" s="116" t="s">
        <v>912</v>
      </c>
      <c r="C425" s="116" t="s">
        <v>3230</v>
      </c>
    </row>
    <row r="426" spans="1:4" s="116" customFormat="1" ht="20.100000000000001" customHeight="1">
      <c r="A426" s="115" t="s">
        <v>913</v>
      </c>
      <c r="B426" s="116" t="s">
        <v>914</v>
      </c>
    </row>
    <row r="427" spans="1:4" s="116" customFormat="1" ht="20.100000000000001" customHeight="1">
      <c r="A427" s="115" t="s">
        <v>915</v>
      </c>
      <c r="B427" s="116" t="s">
        <v>916</v>
      </c>
      <c r="C427" s="116" t="s">
        <v>917</v>
      </c>
      <c r="D427" s="116" t="s">
        <v>918</v>
      </c>
    </row>
    <row r="428" spans="1:4" s="116" customFormat="1" ht="20.100000000000001" customHeight="1">
      <c r="A428" s="115" t="s">
        <v>919</v>
      </c>
      <c r="B428" s="116" t="s">
        <v>920</v>
      </c>
    </row>
    <row r="429" spans="1:4" s="116" customFormat="1" ht="20.100000000000001" customHeight="1">
      <c r="A429" s="115" t="s">
        <v>921</v>
      </c>
      <c r="B429" s="116" t="s">
        <v>922</v>
      </c>
      <c r="C429" s="116" t="s">
        <v>923</v>
      </c>
    </row>
    <row r="430" spans="1:4" s="116" customFormat="1" ht="20.100000000000001" customHeight="1">
      <c r="A430" s="115" t="s">
        <v>924</v>
      </c>
      <c r="B430" s="116" t="s">
        <v>925</v>
      </c>
    </row>
    <row r="431" spans="1:4" s="116" customFormat="1" ht="20.100000000000001" customHeight="1">
      <c r="A431" s="115" t="s">
        <v>926</v>
      </c>
      <c r="B431" s="116" t="s">
        <v>927</v>
      </c>
    </row>
    <row r="432" spans="1:4" s="116" customFormat="1" ht="20.100000000000001" customHeight="1">
      <c r="A432" s="115" t="s">
        <v>928</v>
      </c>
      <c r="B432" s="116" t="s">
        <v>929</v>
      </c>
      <c r="C432" s="116" t="s">
        <v>930</v>
      </c>
    </row>
    <row r="433" spans="1:5" s="116" customFormat="1" ht="20.100000000000001" customHeight="1">
      <c r="A433" s="115" t="s">
        <v>931</v>
      </c>
      <c r="B433" s="116" t="s">
        <v>932</v>
      </c>
    </row>
    <row r="434" spans="1:5" s="116" customFormat="1" ht="20.100000000000001" customHeight="1">
      <c r="A434" s="115" t="s">
        <v>933</v>
      </c>
      <c r="B434" s="116" t="s">
        <v>934</v>
      </c>
    </row>
    <row r="435" spans="1:5" s="116" customFormat="1" ht="20.100000000000001" customHeight="1">
      <c r="A435" s="115" t="s">
        <v>935</v>
      </c>
      <c r="B435" s="116" t="s">
        <v>936</v>
      </c>
      <c r="C435" s="116" t="s">
        <v>937</v>
      </c>
    </row>
    <row r="436" spans="1:5" s="116" customFormat="1" ht="20.100000000000001" customHeight="1">
      <c r="A436" s="115" t="s">
        <v>938</v>
      </c>
      <c r="B436" s="116" t="s">
        <v>939</v>
      </c>
      <c r="C436" s="116" t="s">
        <v>940</v>
      </c>
    </row>
    <row r="437" spans="1:5" s="116" customFormat="1" ht="20.100000000000001" customHeight="1">
      <c r="A437" s="115" t="s">
        <v>941</v>
      </c>
      <c r="B437" s="116" t="s">
        <v>942</v>
      </c>
    </row>
    <row r="438" spans="1:5" s="116" customFormat="1" ht="20.100000000000001" customHeight="1">
      <c r="A438" s="115" t="s">
        <v>943</v>
      </c>
      <c r="B438" s="116" t="s">
        <v>944</v>
      </c>
      <c r="C438" s="116" t="s">
        <v>945</v>
      </c>
      <c r="D438" s="116" t="s">
        <v>946</v>
      </c>
      <c r="E438" s="116" t="s">
        <v>947</v>
      </c>
    </row>
    <row r="439" spans="1:5" s="116" customFormat="1" ht="20.100000000000001" customHeight="1">
      <c r="A439" s="115" t="s">
        <v>948</v>
      </c>
    </row>
    <row r="440" spans="1:5" s="116" customFormat="1" ht="20.100000000000001" customHeight="1">
      <c r="A440" s="115" t="s">
        <v>949</v>
      </c>
      <c r="B440" s="116" t="s">
        <v>950</v>
      </c>
    </row>
    <row r="441" spans="1:5" s="116" customFormat="1" ht="20.100000000000001" customHeight="1">
      <c r="A441" s="115" t="s">
        <v>951</v>
      </c>
      <c r="B441" s="116" t="s">
        <v>952</v>
      </c>
      <c r="C441" s="116" t="s">
        <v>953</v>
      </c>
    </row>
    <row r="442" spans="1:5" s="116" customFormat="1" ht="20.100000000000001" customHeight="1">
      <c r="A442" s="115" t="s">
        <v>954</v>
      </c>
      <c r="B442" s="116" t="s">
        <v>955</v>
      </c>
    </row>
    <row r="443" spans="1:5" s="116" customFormat="1" ht="20.100000000000001" customHeight="1">
      <c r="A443" s="115" t="s">
        <v>956</v>
      </c>
      <c r="B443" s="116" t="s">
        <v>3249</v>
      </c>
    </row>
    <row r="444" spans="1:5" s="116" customFormat="1" ht="20.100000000000001" customHeight="1">
      <c r="A444" s="115" t="s">
        <v>957</v>
      </c>
    </row>
    <row r="445" spans="1:5" s="116" customFormat="1" ht="20.100000000000001" customHeight="1">
      <c r="A445" s="115" t="s">
        <v>958</v>
      </c>
      <c r="B445" s="116" t="s">
        <v>3238</v>
      </c>
    </row>
    <row r="446" spans="1:5" s="116" customFormat="1" ht="20.100000000000001" customHeight="1">
      <c r="A446" s="115" t="s">
        <v>959</v>
      </c>
      <c r="B446" s="116" t="s">
        <v>3240</v>
      </c>
    </row>
    <row r="447" spans="1:5" s="116" customFormat="1" ht="20.100000000000001" customHeight="1">
      <c r="A447" s="115" t="s">
        <v>960</v>
      </c>
      <c r="B447" s="116" t="s">
        <v>3260</v>
      </c>
    </row>
    <row r="448" spans="1:5" s="116" customFormat="1" ht="20.100000000000001" customHeight="1">
      <c r="A448" s="115" t="s">
        <v>961</v>
      </c>
      <c r="B448" s="116" t="s">
        <v>3242</v>
      </c>
    </row>
    <row r="449" spans="1:2" s="116" customFormat="1" ht="20.100000000000001" customHeight="1">
      <c r="A449" s="115" t="s">
        <v>962</v>
      </c>
      <c r="B449" s="116" t="s">
        <v>3266</v>
      </c>
    </row>
    <row r="450" spans="1:2" s="116" customFormat="1" ht="20.100000000000001" customHeight="1">
      <c r="A450" s="115" t="s">
        <v>963</v>
      </c>
      <c r="B450" s="116" t="s">
        <v>3294</v>
      </c>
    </row>
    <row r="451" spans="1:2" s="116" customFormat="1" ht="20.100000000000001" customHeight="1">
      <c r="A451" s="115" t="s">
        <v>964</v>
      </c>
      <c r="B451" s="248" t="s">
        <v>3288</v>
      </c>
    </row>
    <row r="452" spans="1:2" s="116" customFormat="1" ht="20.100000000000001" customHeight="1">
      <c r="A452" s="115" t="s">
        <v>965</v>
      </c>
      <c r="B452" s="116" t="s">
        <v>3248</v>
      </c>
    </row>
    <row r="453" spans="1:2" s="116" customFormat="1" ht="20.100000000000001" customHeight="1">
      <c r="A453" s="115" t="s">
        <v>966</v>
      </c>
      <c r="B453" s="116" t="s">
        <v>3235</v>
      </c>
    </row>
    <row r="454" spans="1:2" s="116" customFormat="1" ht="20.100000000000001" customHeight="1">
      <c r="A454" s="115" t="s">
        <v>967</v>
      </c>
      <c r="B454" s="248" t="s">
        <v>3296</v>
      </c>
    </row>
    <row r="455" spans="1:2" s="116" customFormat="1" ht="20.100000000000001" customHeight="1">
      <c r="A455" s="115" t="s">
        <v>968</v>
      </c>
      <c r="B455" s="116" t="s">
        <v>3255</v>
      </c>
    </row>
    <row r="456" spans="1:2" s="116" customFormat="1" ht="20.100000000000001" customHeight="1">
      <c r="A456" s="115" t="s">
        <v>969</v>
      </c>
      <c r="B456" s="248" t="s">
        <v>3298</v>
      </c>
    </row>
    <row r="457" spans="1:2" s="116" customFormat="1" ht="20.100000000000001" customHeight="1">
      <c r="A457" s="115" t="s">
        <v>970</v>
      </c>
    </row>
    <row r="458" spans="1:2" s="116" customFormat="1" ht="20.100000000000001" customHeight="1">
      <c r="A458" s="115" t="s">
        <v>971</v>
      </c>
      <c r="B458" s="116" t="s">
        <v>3233</v>
      </c>
    </row>
    <row r="459" spans="1:2" s="116" customFormat="1" ht="20.100000000000001" customHeight="1">
      <c r="A459" s="115" t="s">
        <v>972</v>
      </c>
      <c r="B459" s="248" t="s">
        <v>3300</v>
      </c>
    </row>
    <row r="460" spans="1:2" s="116" customFormat="1" ht="20.100000000000001" customHeight="1">
      <c r="A460" s="115" t="s">
        <v>973</v>
      </c>
    </row>
    <row r="461" spans="1:2" s="116" customFormat="1" ht="20.100000000000001" customHeight="1">
      <c r="A461" s="115" t="s">
        <v>974</v>
      </c>
    </row>
    <row r="462" spans="1:2" s="116" customFormat="1" ht="20.100000000000001" customHeight="1">
      <c r="A462" s="115" t="s">
        <v>975</v>
      </c>
    </row>
    <row r="463" spans="1:2" s="116" customFormat="1" ht="20.100000000000001" customHeight="1">
      <c r="A463" s="115" t="s">
        <v>976</v>
      </c>
    </row>
    <row r="464" spans="1:2" s="116" customFormat="1" ht="20.100000000000001" customHeight="1">
      <c r="A464" s="115" t="s">
        <v>977</v>
      </c>
    </row>
    <row r="465" spans="1:1" s="116" customFormat="1" ht="20.100000000000001" customHeight="1">
      <c r="A465" s="115" t="s">
        <v>978</v>
      </c>
    </row>
    <row r="466" spans="1:1" s="116" customFormat="1" ht="20.100000000000001" customHeight="1">
      <c r="A466" s="115" t="s">
        <v>979</v>
      </c>
    </row>
    <row r="467" spans="1:1" s="116" customFormat="1" ht="20.100000000000001" customHeight="1">
      <c r="A467" s="115" t="s">
        <v>980</v>
      </c>
    </row>
    <row r="468" spans="1:1" s="116" customFormat="1" ht="20.100000000000001" customHeight="1">
      <c r="A468" s="115" t="s">
        <v>981</v>
      </c>
    </row>
    <row r="469" spans="1:1" s="116" customFormat="1" ht="20.100000000000001" customHeight="1">
      <c r="A469" s="115" t="s">
        <v>982</v>
      </c>
    </row>
    <row r="470" spans="1:1" s="116" customFormat="1" ht="20.100000000000001" customHeight="1">
      <c r="A470" s="115" t="s">
        <v>983</v>
      </c>
    </row>
    <row r="471" spans="1:1" s="116" customFormat="1" ht="20.100000000000001" customHeight="1">
      <c r="A471" s="115" t="s">
        <v>984</v>
      </c>
    </row>
    <row r="472" spans="1:1" s="116" customFormat="1" ht="20.100000000000001" customHeight="1">
      <c r="A472" s="115" t="s">
        <v>985</v>
      </c>
    </row>
    <row r="473" spans="1:1" s="116" customFormat="1" ht="20.100000000000001" customHeight="1">
      <c r="A473" s="115" t="s">
        <v>986</v>
      </c>
    </row>
    <row r="474" spans="1:1" s="116" customFormat="1" ht="20.100000000000001" customHeight="1">
      <c r="A474" s="115" t="s">
        <v>987</v>
      </c>
    </row>
    <row r="475" spans="1:1" s="116" customFormat="1" ht="20.100000000000001" customHeight="1">
      <c r="A475" s="115" t="s">
        <v>988</v>
      </c>
    </row>
    <row r="476" spans="1:1" s="116" customFormat="1" ht="20.100000000000001" customHeight="1">
      <c r="A476" s="115" t="s">
        <v>989</v>
      </c>
    </row>
    <row r="477" spans="1:1" s="116" customFormat="1" ht="20.100000000000001" customHeight="1">
      <c r="A477" s="115" t="s">
        <v>990</v>
      </c>
    </row>
    <row r="478" spans="1:1" s="116" customFormat="1" ht="20.100000000000001" customHeight="1">
      <c r="A478" s="115" t="s">
        <v>991</v>
      </c>
    </row>
    <row r="479" spans="1:1" s="116" customFormat="1" ht="20.100000000000001" customHeight="1">
      <c r="A479" s="115" t="s">
        <v>992</v>
      </c>
    </row>
    <row r="480" spans="1:1" s="116" customFormat="1" ht="20.100000000000001" customHeight="1">
      <c r="A480" s="115" t="s">
        <v>993</v>
      </c>
    </row>
    <row r="481" spans="1:1" s="116" customFormat="1" ht="20.100000000000001" customHeight="1">
      <c r="A481" s="115" t="s">
        <v>994</v>
      </c>
    </row>
    <row r="482" spans="1:1" s="116" customFormat="1" ht="20.100000000000001" customHeight="1">
      <c r="A482" s="115" t="s">
        <v>995</v>
      </c>
    </row>
    <row r="483" spans="1:1" s="116" customFormat="1" ht="20.100000000000001" customHeight="1">
      <c r="A483" s="115" t="s">
        <v>996</v>
      </c>
    </row>
    <row r="484" spans="1:1" s="116" customFormat="1" ht="20.100000000000001" customHeight="1">
      <c r="A484" s="115" t="s">
        <v>997</v>
      </c>
    </row>
    <row r="485" spans="1:1" s="116" customFormat="1" ht="20.100000000000001" customHeight="1">
      <c r="A485" s="115" t="s">
        <v>998</v>
      </c>
    </row>
    <row r="486" spans="1:1" s="116" customFormat="1" ht="20.100000000000001" customHeight="1">
      <c r="A486" s="115" t="s">
        <v>999</v>
      </c>
    </row>
    <row r="487" spans="1:1" s="116" customFormat="1" ht="20.100000000000001" customHeight="1">
      <c r="A487" s="115" t="s">
        <v>1000</v>
      </c>
    </row>
    <row r="488" spans="1:1" s="116" customFormat="1" ht="20.100000000000001" customHeight="1">
      <c r="A488" s="115" t="s">
        <v>1001</v>
      </c>
    </row>
    <row r="489" spans="1:1" s="116" customFormat="1" ht="20.100000000000001" customHeight="1">
      <c r="A489" s="115" t="s">
        <v>1002</v>
      </c>
    </row>
    <row r="490" spans="1:1" s="116" customFormat="1" ht="20.100000000000001" customHeight="1">
      <c r="A490" s="115" t="s">
        <v>1003</v>
      </c>
    </row>
    <row r="491" spans="1:1" s="116" customFormat="1" ht="20.100000000000001" customHeight="1">
      <c r="A491" s="115" t="s">
        <v>1004</v>
      </c>
    </row>
    <row r="492" spans="1:1" s="116" customFormat="1" ht="20.100000000000001" customHeight="1">
      <c r="A492" s="115" t="s">
        <v>1005</v>
      </c>
    </row>
    <row r="493" spans="1:1" s="116" customFormat="1" ht="20.100000000000001" customHeight="1">
      <c r="A493" s="115" t="s">
        <v>1006</v>
      </c>
    </row>
    <row r="494" spans="1:1" s="116" customFormat="1" ht="20.100000000000001" customHeight="1">
      <c r="A494" s="115" t="s">
        <v>1007</v>
      </c>
    </row>
    <row r="495" spans="1:1" s="116" customFormat="1" ht="20.100000000000001" customHeight="1">
      <c r="A495" s="115" t="s">
        <v>1008</v>
      </c>
    </row>
    <row r="496" spans="1:1" s="116" customFormat="1" ht="20.100000000000001" customHeight="1">
      <c r="A496" s="115" t="s">
        <v>1009</v>
      </c>
    </row>
    <row r="497" spans="1:1" s="116" customFormat="1" ht="20.100000000000001" customHeight="1">
      <c r="A497" s="115" t="s">
        <v>1010</v>
      </c>
    </row>
    <row r="498" spans="1:1" s="116" customFormat="1" ht="20.100000000000001" customHeight="1">
      <c r="A498" s="115" t="s">
        <v>1011</v>
      </c>
    </row>
    <row r="499" spans="1:1" s="116" customFormat="1" ht="20.100000000000001" customHeight="1">
      <c r="A499" s="115" t="s">
        <v>1012</v>
      </c>
    </row>
    <row r="500" spans="1:1" s="116" customFormat="1" ht="20.100000000000001" customHeight="1">
      <c r="A500" s="115" t="s">
        <v>1013</v>
      </c>
    </row>
    <row r="501" spans="1:1" s="116" customFormat="1" ht="20.100000000000001" customHeight="1">
      <c r="A501" s="115" t="s">
        <v>1014</v>
      </c>
    </row>
    <row r="502" spans="1:1" s="116" customFormat="1" ht="20.100000000000001" customHeight="1">
      <c r="A502" s="115" t="s">
        <v>1015</v>
      </c>
    </row>
    <row r="503" spans="1:1" s="116" customFormat="1" ht="20.100000000000001" customHeight="1">
      <c r="A503" s="115" t="s">
        <v>1016</v>
      </c>
    </row>
    <row r="504" spans="1:1" s="116" customFormat="1" ht="20.100000000000001" customHeight="1">
      <c r="A504" s="115" t="s">
        <v>1017</v>
      </c>
    </row>
    <row r="505" spans="1:1" s="116" customFormat="1" ht="20.100000000000001" customHeight="1">
      <c r="A505" s="115" t="s">
        <v>1018</v>
      </c>
    </row>
    <row r="506" spans="1:1" s="116" customFormat="1" ht="20.100000000000001" customHeight="1">
      <c r="A506" s="115" t="s">
        <v>1019</v>
      </c>
    </row>
    <row r="507" spans="1:1" s="116" customFormat="1" ht="20.100000000000001" customHeight="1">
      <c r="A507" s="115" t="s">
        <v>1020</v>
      </c>
    </row>
    <row r="508" spans="1:1" s="116" customFormat="1" ht="20.100000000000001" customHeight="1">
      <c r="A508" s="115" t="s">
        <v>1021</v>
      </c>
    </row>
    <row r="509" spans="1:1" s="116" customFormat="1" ht="20.100000000000001" customHeight="1">
      <c r="A509" s="115" t="s">
        <v>1022</v>
      </c>
    </row>
    <row r="510" spans="1:1" s="116" customFormat="1" ht="20.100000000000001" customHeight="1">
      <c r="A510" s="115" t="s">
        <v>1023</v>
      </c>
    </row>
    <row r="511" spans="1:1" s="116" customFormat="1" ht="20.100000000000001" customHeight="1">
      <c r="A511" s="115" t="s">
        <v>1024</v>
      </c>
    </row>
    <row r="512" spans="1:1" s="116" customFormat="1" ht="20.100000000000001" customHeight="1">
      <c r="A512" s="115" t="s">
        <v>1025</v>
      </c>
    </row>
    <row r="513" spans="1:1" s="116" customFormat="1" ht="20.100000000000001" customHeight="1">
      <c r="A513" s="115" t="s">
        <v>1026</v>
      </c>
    </row>
    <row r="514" spans="1:1" s="116" customFormat="1" ht="20.100000000000001" customHeight="1">
      <c r="A514" s="115" t="s">
        <v>1027</v>
      </c>
    </row>
    <row r="515" spans="1:1" s="116" customFormat="1" ht="20.100000000000001" customHeight="1">
      <c r="A515" s="115" t="s">
        <v>1028</v>
      </c>
    </row>
    <row r="516" spans="1:1" s="116" customFormat="1" ht="20.100000000000001" customHeight="1">
      <c r="A516" s="115" t="s">
        <v>1029</v>
      </c>
    </row>
    <row r="517" spans="1:1" s="116" customFormat="1" ht="20.100000000000001" customHeight="1">
      <c r="A517" s="115" t="s">
        <v>1030</v>
      </c>
    </row>
    <row r="518" spans="1:1" s="116" customFormat="1" ht="20.100000000000001" customHeight="1">
      <c r="A518" s="115" t="s">
        <v>1031</v>
      </c>
    </row>
    <row r="519" spans="1:1" s="116" customFormat="1" ht="20.100000000000001" customHeight="1">
      <c r="A519" s="115" t="s">
        <v>1032</v>
      </c>
    </row>
    <row r="520" spans="1:1" s="116" customFormat="1" ht="20.100000000000001" customHeight="1">
      <c r="A520" s="115" t="s">
        <v>1033</v>
      </c>
    </row>
    <row r="521" spans="1:1" s="116" customFormat="1" ht="20.100000000000001" customHeight="1">
      <c r="A521" s="115" t="s">
        <v>1034</v>
      </c>
    </row>
    <row r="522" spans="1:1" s="116" customFormat="1" ht="20.100000000000001" customHeight="1">
      <c r="A522" s="115" t="s">
        <v>1035</v>
      </c>
    </row>
    <row r="523" spans="1:1" s="116" customFormat="1" ht="20.100000000000001" customHeight="1">
      <c r="A523" s="115" t="s">
        <v>1036</v>
      </c>
    </row>
    <row r="524" spans="1:1" s="116" customFormat="1" ht="20.100000000000001" customHeight="1">
      <c r="A524" s="115" t="s">
        <v>1037</v>
      </c>
    </row>
    <row r="525" spans="1:1" s="116" customFormat="1" ht="20.100000000000001" customHeight="1">
      <c r="A525" s="115" t="s">
        <v>1038</v>
      </c>
    </row>
    <row r="526" spans="1:1" s="116" customFormat="1" ht="20.100000000000001" customHeight="1">
      <c r="A526" s="115" t="s">
        <v>1039</v>
      </c>
    </row>
    <row r="527" spans="1:1" s="116" customFormat="1" ht="20.100000000000001" customHeight="1">
      <c r="A527" s="115" t="s">
        <v>1040</v>
      </c>
    </row>
    <row r="528" spans="1:1" s="116" customFormat="1" ht="20.100000000000001" customHeight="1">
      <c r="A528" s="115" t="s">
        <v>1041</v>
      </c>
    </row>
    <row r="529" spans="1:1" s="116" customFormat="1" ht="20.100000000000001" customHeight="1">
      <c r="A529" s="115" t="s">
        <v>1042</v>
      </c>
    </row>
    <row r="530" spans="1:1" s="116" customFormat="1" ht="20.100000000000001" customHeight="1">
      <c r="A530" s="115" t="s">
        <v>1043</v>
      </c>
    </row>
    <row r="531" spans="1:1" s="116" customFormat="1" ht="20.100000000000001" customHeight="1">
      <c r="A531" s="115" t="s">
        <v>1044</v>
      </c>
    </row>
    <row r="532" spans="1:1" s="116" customFormat="1" ht="20.100000000000001" customHeight="1">
      <c r="A532" s="115" t="s">
        <v>1045</v>
      </c>
    </row>
    <row r="533" spans="1:1" s="116" customFormat="1" ht="20.100000000000001" customHeight="1">
      <c r="A533" s="115" t="s">
        <v>1046</v>
      </c>
    </row>
    <row r="534" spans="1:1" s="116" customFormat="1" ht="20.100000000000001" customHeight="1">
      <c r="A534" s="115" t="s">
        <v>1047</v>
      </c>
    </row>
    <row r="535" spans="1:1" s="116" customFormat="1" ht="20.100000000000001" customHeight="1">
      <c r="A535" s="115" t="s">
        <v>1048</v>
      </c>
    </row>
    <row r="536" spans="1:1" s="116" customFormat="1" ht="20.100000000000001" customHeight="1">
      <c r="A536" s="115" t="s">
        <v>1049</v>
      </c>
    </row>
    <row r="537" spans="1:1" s="116" customFormat="1" ht="20.100000000000001" customHeight="1">
      <c r="A537" s="115" t="s">
        <v>1050</v>
      </c>
    </row>
    <row r="538" spans="1:1" s="116" customFormat="1" ht="20.100000000000001" customHeight="1">
      <c r="A538" s="115" t="s">
        <v>1051</v>
      </c>
    </row>
    <row r="539" spans="1:1" s="116" customFormat="1" ht="20.100000000000001" customHeight="1">
      <c r="A539" s="115" t="s">
        <v>1052</v>
      </c>
    </row>
    <row r="540" spans="1:1" s="116" customFormat="1" ht="20.100000000000001" customHeight="1">
      <c r="A540" s="115" t="s">
        <v>1053</v>
      </c>
    </row>
    <row r="541" spans="1:1" s="116" customFormat="1" ht="20.100000000000001" customHeight="1">
      <c r="A541" s="115" t="s">
        <v>1054</v>
      </c>
    </row>
    <row r="542" spans="1:1" s="116" customFormat="1" ht="20.100000000000001" customHeight="1">
      <c r="A542" s="115" t="s">
        <v>1055</v>
      </c>
    </row>
    <row r="543" spans="1:1" s="116" customFormat="1" ht="20.100000000000001" customHeight="1">
      <c r="A543" s="115" t="s">
        <v>1056</v>
      </c>
    </row>
    <row r="544" spans="1:1" s="116" customFormat="1" ht="20.100000000000001" customHeight="1">
      <c r="A544" s="115" t="s">
        <v>1057</v>
      </c>
    </row>
    <row r="545" spans="1:1" s="116" customFormat="1" ht="20.100000000000001" customHeight="1">
      <c r="A545" s="115" t="s">
        <v>1058</v>
      </c>
    </row>
    <row r="546" spans="1:1" s="116" customFormat="1" ht="20.100000000000001" customHeight="1">
      <c r="A546" s="115" t="s">
        <v>1059</v>
      </c>
    </row>
    <row r="547" spans="1:1" s="116" customFormat="1" ht="20.100000000000001" customHeight="1">
      <c r="A547" s="115" t="s">
        <v>1060</v>
      </c>
    </row>
    <row r="548" spans="1:1" s="116" customFormat="1" ht="20.100000000000001" customHeight="1">
      <c r="A548" s="115" t="s">
        <v>1061</v>
      </c>
    </row>
    <row r="549" spans="1:1" s="116" customFormat="1" ht="20.100000000000001" customHeight="1">
      <c r="A549" s="115" t="s">
        <v>1062</v>
      </c>
    </row>
    <row r="550" spans="1:1" s="116" customFormat="1" ht="20.100000000000001" customHeight="1">
      <c r="A550" s="115" t="s">
        <v>1063</v>
      </c>
    </row>
    <row r="551" spans="1:1" s="116" customFormat="1" ht="20.100000000000001" customHeight="1">
      <c r="A551" s="115" t="s">
        <v>1064</v>
      </c>
    </row>
    <row r="552" spans="1:1" s="116" customFormat="1" ht="20.100000000000001" customHeight="1">
      <c r="A552" s="115" t="s">
        <v>1065</v>
      </c>
    </row>
    <row r="553" spans="1:1" s="116" customFormat="1" ht="20.100000000000001" customHeight="1">
      <c r="A553" s="115" t="s">
        <v>1066</v>
      </c>
    </row>
    <row r="554" spans="1:1" s="116" customFormat="1" ht="20.100000000000001" customHeight="1">
      <c r="A554" s="115" t="s">
        <v>1067</v>
      </c>
    </row>
    <row r="555" spans="1:1" s="116" customFormat="1" ht="20.100000000000001" customHeight="1">
      <c r="A555" s="115" t="s">
        <v>1068</v>
      </c>
    </row>
    <row r="556" spans="1:1" s="116" customFormat="1" ht="20.100000000000001" customHeight="1">
      <c r="A556" s="115" t="s">
        <v>1069</v>
      </c>
    </row>
    <row r="557" spans="1:1" s="116" customFormat="1" ht="20.100000000000001" customHeight="1">
      <c r="A557" s="115" t="s">
        <v>1070</v>
      </c>
    </row>
    <row r="558" spans="1:1" s="116" customFormat="1" ht="20.100000000000001" customHeight="1">
      <c r="A558" s="115" t="s">
        <v>1071</v>
      </c>
    </row>
    <row r="559" spans="1:1" s="116" customFormat="1" ht="20.100000000000001" customHeight="1">
      <c r="A559" s="115" t="s">
        <v>1072</v>
      </c>
    </row>
    <row r="560" spans="1:1" s="116" customFormat="1" ht="20.100000000000001" customHeight="1">
      <c r="A560" s="115" t="s">
        <v>1073</v>
      </c>
    </row>
    <row r="561" spans="1:1" s="116" customFormat="1" ht="20.100000000000001" customHeight="1">
      <c r="A561" s="115" t="s">
        <v>1074</v>
      </c>
    </row>
    <row r="562" spans="1:1" s="116" customFormat="1" ht="20.100000000000001" customHeight="1">
      <c r="A562" s="115" t="s">
        <v>1075</v>
      </c>
    </row>
    <row r="563" spans="1:1" s="116" customFormat="1" ht="20.100000000000001" customHeight="1">
      <c r="A563" s="115" t="s">
        <v>1076</v>
      </c>
    </row>
    <row r="564" spans="1:1" s="116" customFormat="1" ht="20.100000000000001" customHeight="1">
      <c r="A564" s="115" t="s">
        <v>1077</v>
      </c>
    </row>
    <row r="565" spans="1:1" s="116" customFormat="1" ht="20.100000000000001" customHeight="1">
      <c r="A565" s="115" t="s">
        <v>1078</v>
      </c>
    </row>
    <row r="566" spans="1:1" s="116" customFormat="1" ht="20.100000000000001" customHeight="1">
      <c r="A566" s="115" t="s">
        <v>1079</v>
      </c>
    </row>
    <row r="567" spans="1:1" s="116" customFormat="1" ht="20.100000000000001" customHeight="1">
      <c r="A567" s="115" t="s">
        <v>1080</v>
      </c>
    </row>
    <row r="568" spans="1:1" s="116" customFormat="1" ht="20.100000000000001" customHeight="1">
      <c r="A568" s="115" t="s">
        <v>1081</v>
      </c>
    </row>
    <row r="569" spans="1:1" s="116" customFormat="1" ht="20.100000000000001" customHeight="1">
      <c r="A569" s="115" t="s">
        <v>1082</v>
      </c>
    </row>
    <row r="570" spans="1:1" s="116" customFormat="1" ht="20.100000000000001" customHeight="1">
      <c r="A570" s="115" t="s">
        <v>1083</v>
      </c>
    </row>
    <row r="571" spans="1:1" s="116" customFormat="1" ht="20.100000000000001" customHeight="1">
      <c r="A571" s="115" t="s">
        <v>1084</v>
      </c>
    </row>
    <row r="572" spans="1:1" s="116" customFormat="1" ht="20.100000000000001" customHeight="1">
      <c r="A572" s="115" t="s">
        <v>1085</v>
      </c>
    </row>
    <row r="573" spans="1:1" s="116" customFormat="1" ht="20.100000000000001" customHeight="1">
      <c r="A573" s="115" t="s">
        <v>1086</v>
      </c>
    </row>
    <row r="574" spans="1:1" s="116" customFormat="1" ht="20.100000000000001" customHeight="1">
      <c r="A574" s="115" t="s">
        <v>1087</v>
      </c>
    </row>
    <row r="575" spans="1:1" s="116" customFormat="1" ht="20.100000000000001" customHeight="1">
      <c r="A575" s="115" t="s">
        <v>1088</v>
      </c>
    </row>
    <row r="576" spans="1:1" s="116" customFormat="1" ht="20.100000000000001" customHeight="1">
      <c r="A576" s="115" t="s">
        <v>1089</v>
      </c>
    </row>
    <row r="577" spans="1:1" s="116" customFormat="1" ht="20.100000000000001" customHeight="1">
      <c r="A577" s="115" t="s">
        <v>1090</v>
      </c>
    </row>
    <row r="578" spans="1:1" s="116" customFormat="1" ht="20.100000000000001" customHeight="1">
      <c r="A578" s="115" t="s">
        <v>1091</v>
      </c>
    </row>
    <row r="579" spans="1:1" s="116" customFormat="1" ht="20.100000000000001" customHeight="1">
      <c r="A579" s="115" t="s">
        <v>1092</v>
      </c>
    </row>
    <row r="580" spans="1:1" s="116" customFormat="1" ht="20.100000000000001" customHeight="1">
      <c r="A580" s="115" t="s">
        <v>1093</v>
      </c>
    </row>
    <row r="581" spans="1:1" s="116" customFormat="1" ht="20.100000000000001" customHeight="1">
      <c r="A581" s="115" t="s">
        <v>1094</v>
      </c>
    </row>
    <row r="582" spans="1:1" s="116" customFormat="1" ht="20.100000000000001" customHeight="1">
      <c r="A582" s="115" t="s">
        <v>1095</v>
      </c>
    </row>
    <row r="583" spans="1:1" s="116" customFormat="1" ht="20.100000000000001" customHeight="1">
      <c r="A583" s="115" t="s">
        <v>1096</v>
      </c>
    </row>
    <row r="584" spans="1:1" s="116" customFormat="1" ht="20.100000000000001" customHeight="1">
      <c r="A584" s="115" t="s">
        <v>1097</v>
      </c>
    </row>
    <row r="585" spans="1:1" s="116" customFormat="1" ht="20.100000000000001" customHeight="1">
      <c r="A585" s="115" t="s">
        <v>1098</v>
      </c>
    </row>
    <row r="586" spans="1:1" s="116" customFormat="1" ht="20.100000000000001" customHeight="1">
      <c r="A586" s="115" t="s">
        <v>1099</v>
      </c>
    </row>
    <row r="587" spans="1:1" s="116" customFormat="1" ht="20.100000000000001" customHeight="1">
      <c r="A587" s="115" t="s">
        <v>1100</v>
      </c>
    </row>
    <row r="588" spans="1:1" s="116" customFormat="1" ht="20.100000000000001" customHeight="1">
      <c r="A588" s="115" t="s">
        <v>1101</v>
      </c>
    </row>
    <row r="589" spans="1:1" s="116" customFormat="1" ht="20.100000000000001" customHeight="1">
      <c r="A589" s="115" t="s">
        <v>1102</v>
      </c>
    </row>
    <row r="590" spans="1:1" s="116" customFormat="1" ht="20.100000000000001" customHeight="1">
      <c r="A590" s="115" t="s">
        <v>1103</v>
      </c>
    </row>
    <row r="591" spans="1:1" s="116" customFormat="1" ht="20.100000000000001" customHeight="1">
      <c r="A591" s="115" t="s">
        <v>1104</v>
      </c>
    </row>
    <row r="592" spans="1:1" s="116" customFormat="1" ht="20.100000000000001" customHeight="1">
      <c r="A592" s="115" t="s">
        <v>1105</v>
      </c>
    </row>
    <row r="593" spans="1:2" s="116" customFormat="1" ht="20.100000000000001" customHeight="1">
      <c r="A593" s="115" t="s">
        <v>1106</v>
      </c>
    </row>
    <row r="594" spans="1:2" s="116" customFormat="1" ht="20.100000000000001" customHeight="1">
      <c r="A594" s="115" t="s">
        <v>1107</v>
      </c>
    </row>
    <row r="595" spans="1:2" s="116" customFormat="1" ht="20.100000000000001" customHeight="1">
      <c r="A595" s="115" t="s">
        <v>1108</v>
      </c>
    </row>
    <row r="596" spans="1:2" s="116" customFormat="1" ht="20.100000000000001" customHeight="1">
      <c r="A596" s="115" t="s">
        <v>1109</v>
      </c>
    </row>
    <row r="597" spans="1:2" s="116" customFormat="1" ht="20.100000000000001" customHeight="1">
      <c r="A597" s="115" t="s">
        <v>1110</v>
      </c>
    </row>
    <row r="598" spans="1:2" s="116" customFormat="1" ht="20.100000000000001" customHeight="1">
      <c r="A598" s="115" t="s">
        <v>1111</v>
      </c>
      <c r="B598" s="116" t="s">
        <v>1112</v>
      </c>
    </row>
    <row r="599" spans="1:2" s="116" customFormat="1" ht="20.100000000000001" customHeight="1">
      <c r="A599" s="115" t="s">
        <v>1113</v>
      </c>
    </row>
    <row r="600" spans="1:2" s="116" customFormat="1" ht="20.100000000000001" customHeight="1">
      <c r="A600" s="115" t="s">
        <v>1114</v>
      </c>
    </row>
    <row r="601" spans="1:2" s="116" customFormat="1" ht="20.100000000000001" customHeight="1">
      <c r="A601" s="115" t="s">
        <v>1115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2E03-C7EA-44A0-A526-879C669F11C1}">
  <dimension ref="A2:E36"/>
  <sheetViews>
    <sheetView zoomScale="70" zoomScaleNormal="70" workbookViewId="0">
      <selection activeCell="C4" sqref="C4"/>
    </sheetView>
  </sheetViews>
  <sheetFormatPr defaultColWidth="9.140625" defaultRowHeight="15"/>
  <cols>
    <col min="1" max="1" width="23.85546875" style="93" bestFit="1" customWidth="1"/>
    <col min="2" max="2" width="65.7109375" style="94" customWidth="1"/>
    <col min="3" max="3" width="71.7109375" style="99" bestFit="1" customWidth="1"/>
    <col min="4" max="4" width="47.42578125" style="96" customWidth="1"/>
    <col min="5" max="16384" width="9.140625" style="96"/>
  </cols>
  <sheetData>
    <row r="2" spans="1:5" ht="35.1" customHeight="1">
      <c r="A2" s="93" t="s">
        <v>63</v>
      </c>
      <c r="B2" s="94" t="s">
        <v>64</v>
      </c>
      <c r="C2" s="95" t="s">
        <v>65</v>
      </c>
    </row>
    <row r="3" spans="1:5" ht="75">
      <c r="A3" s="97" t="s">
        <v>66</v>
      </c>
      <c r="B3" s="98" t="s">
        <v>67</v>
      </c>
      <c r="C3" s="99" t="s">
        <v>68</v>
      </c>
    </row>
    <row r="4" spans="1:5">
      <c r="A4" s="97" t="s">
        <v>3079</v>
      </c>
      <c r="B4" s="98" t="s">
        <v>3080</v>
      </c>
      <c r="C4" s="99" t="s">
        <v>3081</v>
      </c>
      <c r="D4" s="96" t="s">
        <v>3082</v>
      </c>
    </row>
    <row r="5" spans="1:5" ht="30">
      <c r="A5" s="97" t="s">
        <v>69</v>
      </c>
      <c r="B5" s="98" t="s">
        <v>70</v>
      </c>
      <c r="C5" s="99" t="s">
        <v>71</v>
      </c>
      <c r="D5" s="100" t="s">
        <v>72</v>
      </c>
    </row>
    <row r="6" spans="1:5">
      <c r="A6" s="97" t="s">
        <v>73</v>
      </c>
      <c r="B6" s="98" t="s">
        <v>74</v>
      </c>
      <c r="C6" s="99" t="s">
        <v>75</v>
      </c>
      <c r="D6" s="100" t="s">
        <v>72</v>
      </c>
    </row>
    <row r="7" spans="1:5">
      <c r="A7" s="97" t="s">
        <v>55</v>
      </c>
      <c r="B7" s="98" t="s">
        <v>76</v>
      </c>
      <c r="C7" s="99" t="s">
        <v>77</v>
      </c>
      <c r="D7" s="96" t="s">
        <v>78</v>
      </c>
    </row>
    <row r="8" spans="1:5" ht="35.1" customHeight="1">
      <c r="A8" s="97" t="s">
        <v>79</v>
      </c>
      <c r="B8" s="94" t="s">
        <v>80</v>
      </c>
      <c r="C8" s="99" t="s">
        <v>81</v>
      </c>
    </row>
    <row r="9" spans="1:5" ht="35.1" customHeight="1">
      <c r="A9" s="97" t="s">
        <v>82</v>
      </c>
      <c r="B9" s="94" t="s">
        <v>83</v>
      </c>
      <c r="C9" s="99" t="s">
        <v>84</v>
      </c>
      <c r="D9" s="100" t="s">
        <v>85</v>
      </c>
    </row>
    <row r="10" spans="1:5" ht="35.1" customHeight="1">
      <c r="A10" s="97" t="s">
        <v>86</v>
      </c>
      <c r="B10" s="101" t="s">
        <v>87</v>
      </c>
      <c r="C10" s="99" t="s">
        <v>88</v>
      </c>
      <c r="D10" s="93"/>
    </row>
    <row r="11" spans="1:5">
      <c r="A11" s="97" t="s">
        <v>89</v>
      </c>
      <c r="B11" s="94" t="s">
        <v>90</v>
      </c>
      <c r="C11" s="102" t="s">
        <v>91</v>
      </c>
      <c r="D11" s="96" t="s">
        <v>92</v>
      </c>
    </row>
    <row r="12" spans="1:5" ht="35.1" customHeight="1">
      <c r="A12" s="97" t="s">
        <v>93</v>
      </c>
      <c r="B12" s="94" t="s">
        <v>94</v>
      </c>
      <c r="C12" s="99" t="s">
        <v>95</v>
      </c>
      <c r="D12" s="96" t="s">
        <v>92</v>
      </c>
    </row>
    <row r="13" spans="1:5" ht="35.1" customHeight="1">
      <c r="A13" s="97" t="s">
        <v>96</v>
      </c>
      <c r="B13" s="94" t="s">
        <v>97</v>
      </c>
      <c r="C13" s="95" t="s">
        <v>98</v>
      </c>
      <c r="D13" s="103" t="s">
        <v>99</v>
      </c>
    </row>
    <row r="14" spans="1:5" ht="35.1" customHeight="1">
      <c r="A14" s="97" t="s">
        <v>100</v>
      </c>
      <c r="B14" s="94" t="s">
        <v>101</v>
      </c>
      <c r="C14" s="99" t="s">
        <v>102</v>
      </c>
      <c r="E14" s="104"/>
    </row>
    <row r="15" spans="1:5" ht="30">
      <c r="A15" s="97" t="s">
        <v>103</v>
      </c>
      <c r="B15" s="98" t="s">
        <v>104</v>
      </c>
      <c r="C15" s="99" t="s">
        <v>105</v>
      </c>
      <c r="D15" s="105" t="s">
        <v>106</v>
      </c>
    </row>
    <row r="16" spans="1:5" ht="35.1" customHeight="1">
      <c r="A16" s="97" t="s">
        <v>107</v>
      </c>
      <c r="B16" s="94" t="s">
        <v>108</v>
      </c>
      <c r="C16" s="99" t="s">
        <v>109</v>
      </c>
      <c r="D16" s="96" t="s">
        <v>92</v>
      </c>
    </row>
    <row r="17" spans="1:4" ht="35.1" customHeight="1">
      <c r="A17" s="97" t="s">
        <v>110</v>
      </c>
      <c r="B17" s="94" t="s">
        <v>111</v>
      </c>
      <c r="C17" s="99" t="s">
        <v>105</v>
      </c>
    </row>
    <row r="18" spans="1:4" ht="35.1" customHeight="1">
      <c r="A18" s="97" t="s">
        <v>112</v>
      </c>
      <c r="B18" s="94" t="s">
        <v>113</v>
      </c>
      <c r="C18" s="99" t="s">
        <v>105</v>
      </c>
    </row>
    <row r="19" spans="1:4" ht="35.1" customHeight="1">
      <c r="A19" s="97" t="s">
        <v>114</v>
      </c>
      <c r="B19" s="94" t="s">
        <v>115</v>
      </c>
      <c r="C19" s="99" t="s">
        <v>105</v>
      </c>
    </row>
    <row r="20" spans="1:4" ht="35.1" customHeight="1">
      <c r="A20" s="97" t="s">
        <v>116</v>
      </c>
      <c r="B20" s="94" t="s">
        <v>117</v>
      </c>
      <c r="C20" s="99" t="s">
        <v>118</v>
      </c>
      <c r="D20" s="96" t="s">
        <v>92</v>
      </c>
    </row>
    <row r="21" spans="1:4" ht="35.1" customHeight="1">
      <c r="A21" s="97" t="s">
        <v>119</v>
      </c>
      <c r="B21" s="94" t="s">
        <v>120</v>
      </c>
      <c r="C21" s="99" t="s">
        <v>121</v>
      </c>
      <c r="D21" s="96" t="s">
        <v>122</v>
      </c>
    </row>
    <row r="22" spans="1:4" ht="35.1" customHeight="1">
      <c r="A22" s="97" t="s">
        <v>123</v>
      </c>
      <c r="B22" s="94" t="s">
        <v>124</v>
      </c>
      <c r="C22" s="99" t="s">
        <v>125</v>
      </c>
    </row>
    <row r="23" spans="1:4" ht="35.1" customHeight="1">
      <c r="A23" s="97" t="s">
        <v>126</v>
      </c>
      <c r="B23" s="94" t="s">
        <v>127</v>
      </c>
      <c r="C23" s="99" t="s">
        <v>125</v>
      </c>
    </row>
    <row r="24" spans="1:4" ht="35.1" customHeight="1">
      <c r="A24" s="97" t="s">
        <v>128</v>
      </c>
      <c r="B24" s="94" t="s">
        <v>129</v>
      </c>
      <c r="C24" s="99" t="s">
        <v>125</v>
      </c>
    </row>
    <row r="25" spans="1:4" ht="35.1" customHeight="1">
      <c r="A25" s="97" t="s">
        <v>130</v>
      </c>
      <c r="B25" s="94" t="s">
        <v>131</v>
      </c>
      <c r="C25" s="99" t="s">
        <v>132</v>
      </c>
    </row>
    <row r="26" spans="1:4" ht="35.1" customHeight="1">
      <c r="A26" s="97" t="s">
        <v>133</v>
      </c>
      <c r="B26" s="94" t="s">
        <v>134</v>
      </c>
      <c r="C26" s="99" t="s">
        <v>135</v>
      </c>
      <c r="D26" s="96" t="s">
        <v>92</v>
      </c>
    </row>
    <row r="27" spans="1:4" ht="35.1" customHeight="1">
      <c r="A27" s="97" t="s">
        <v>136</v>
      </c>
      <c r="B27" s="94" t="s">
        <v>137</v>
      </c>
      <c r="C27" s="99" t="s">
        <v>75</v>
      </c>
    </row>
    <row r="28" spans="1:4" ht="35.1" customHeight="1">
      <c r="A28" s="106" t="s">
        <v>138</v>
      </c>
      <c r="B28" s="107" t="s">
        <v>139</v>
      </c>
      <c r="C28" s="108" t="s">
        <v>105</v>
      </c>
    </row>
    <row r="29" spans="1:4" ht="35.1" customHeight="1">
      <c r="A29" s="106" t="s">
        <v>140</v>
      </c>
      <c r="B29" s="107" t="s">
        <v>141</v>
      </c>
      <c r="C29" s="108" t="s">
        <v>105</v>
      </c>
    </row>
    <row r="30" spans="1:4" ht="35.1" customHeight="1">
      <c r="A30" s="97" t="s">
        <v>142</v>
      </c>
      <c r="B30" s="94" t="s">
        <v>143</v>
      </c>
      <c r="C30" s="99" t="s">
        <v>105</v>
      </c>
    </row>
    <row r="31" spans="1:4" ht="35.1" customHeight="1">
      <c r="A31" s="106" t="s">
        <v>144</v>
      </c>
      <c r="B31" s="107"/>
      <c r="C31" s="108"/>
    </row>
    <row r="32" spans="1:4" ht="35.1" customHeight="1">
      <c r="A32" s="106" t="s">
        <v>145</v>
      </c>
      <c r="B32" s="107"/>
      <c r="C32" s="108"/>
    </row>
    <row r="33" spans="1:3" ht="35.1" customHeight="1">
      <c r="A33" s="97" t="s">
        <v>146</v>
      </c>
      <c r="B33" s="94" t="s">
        <v>147</v>
      </c>
      <c r="C33" s="99" t="s">
        <v>148</v>
      </c>
    </row>
    <row r="34" spans="1:3" ht="35.1" customHeight="1">
      <c r="A34" s="109" t="s">
        <v>149</v>
      </c>
      <c r="B34" s="94" t="s">
        <v>150</v>
      </c>
      <c r="C34" s="99" t="s">
        <v>151</v>
      </c>
    </row>
    <row r="35" spans="1:3" ht="35.1" customHeight="1">
      <c r="A35" s="109" t="s">
        <v>152</v>
      </c>
      <c r="B35" s="94" t="s">
        <v>153</v>
      </c>
      <c r="C35" s="99" t="s">
        <v>154</v>
      </c>
    </row>
    <row r="36" spans="1:3" ht="35.1" customHeight="1">
      <c r="B36" s="94" t="s">
        <v>155</v>
      </c>
      <c r="C36" s="99" t="s">
        <v>156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BB25-C89E-4C99-972E-F0E79A1E5BDE}">
  <dimension ref="B2:F6"/>
  <sheetViews>
    <sheetView workbookViewId="0">
      <selection activeCell="F6" sqref="F6"/>
    </sheetView>
  </sheetViews>
  <sheetFormatPr defaultRowHeight="15"/>
  <cols>
    <col min="2" max="2" width="11.7109375" bestFit="1" customWidth="1"/>
    <col min="3" max="3" width="20.85546875" bestFit="1" customWidth="1"/>
    <col min="4" max="4" width="17" bestFit="1" customWidth="1"/>
  </cols>
  <sheetData>
    <row r="2" spans="2:6">
      <c r="B2" s="92" t="s">
        <v>55</v>
      </c>
      <c r="C2" s="92" t="s">
        <v>56</v>
      </c>
      <c r="D2" s="92" t="s">
        <v>57</v>
      </c>
      <c r="E2" s="92" t="s">
        <v>3079</v>
      </c>
      <c r="F2" s="92" t="s">
        <v>93</v>
      </c>
    </row>
    <row r="3" spans="2:6">
      <c r="B3" t="s">
        <v>58</v>
      </c>
      <c r="C3" t="s">
        <v>3</v>
      </c>
      <c r="D3" t="s">
        <v>59</v>
      </c>
      <c r="E3" t="s">
        <v>3083</v>
      </c>
      <c r="F3" t="s">
        <v>1151</v>
      </c>
    </row>
    <row r="4" spans="2:6">
      <c r="B4" t="s">
        <v>60</v>
      </c>
      <c r="C4" t="s">
        <v>2</v>
      </c>
      <c r="D4" t="s">
        <v>61</v>
      </c>
      <c r="E4" t="s">
        <v>3084</v>
      </c>
      <c r="F4" t="s">
        <v>1195</v>
      </c>
    </row>
    <row r="5" spans="2:6">
      <c r="B5" t="s">
        <v>62</v>
      </c>
      <c r="C5" t="s">
        <v>40</v>
      </c>
      <c r="F5" t="s">
        <v>1160</v>
      </c>
    </row>
    <row r="6" spans="2:6">
      <c r="C6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Consolidado_OUC-FL</vt:lpstr>
      <vt:lpstr>5_18175</vt:lpstr>
      <vt:lpstr>1_controle_codigo</vt:lpstr>
      <vt:lpstr>2_CONTROLE_ESTOQUE</vt:lpstr>
      <vt:lpstr>3_controle_certidoes</vt:lpstr>
      <vt:lpstr>4_resumo_propostas</vt:lpstr>
      <vt:lpstr>METADADOS</vt:lpstr>
      <vt:lpstr>lista_suspensa</vt:lpstr>
      <vt:lpstr>'Consolidado_OUC-FL'!Area_de_impressao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Avila</dc:creator>
  <cp:lastModifiedBy>Priscila Souza Gyenge</cp:lastModifiedBy>
  <cp:lastPrinted>2026-03-31T18:41:06Z</cp:lastPrinted>
  <dcterms:created xsi:type="dcterms:W3CDTF">2025-08-07T16:43:26Z</dcterms:created>
  <dcterms:modified xsi:type="dcterms:W3CDTF">2026-04-23T11:38:30Z</dcterms:modified>
</cp:coreProperties>
</file>